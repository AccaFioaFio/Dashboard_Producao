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0" yWindow="0" windowWidth="19200" windowHeight="1029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LISTA_DE_CLIENTES!$F$3:$M$5790</definedName>
    <definedName name="DadosExternos_1" localSheetId="2" hidden="1">Tab_Produtos!$A$1:$C$1389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94" i="1" l="1"/>
  <c r="G1594" i="1"/>
  <c r="O1594" i="1"/>
  <c r="P1594" i="1"/>
  <c r="Q1594" i="1"/>
  <c r="V1594" i="1"/>
  <c r="Z1594" i="1"/>
  <c r="W1124" i="1" l="1"/>
  <c r="W1123" i="1"/>
  <c r="W888" i="1" l="1"/>
  <c r="W887" i="1"/>
  <c r="W1151" i="1"/>
  <c r="W1146" i="1"/>
  <c r="W1147" i="1"/>
  <c r="W1148" i="1"/>
  <c r="W1149" i="1"/>
  <c r="W1150" i="1"/>
  <c r="W1145" i="1"/>
  <c r="W1068" i="1"/>
  <c r="I1133" i="1" l="1"/>
  <c r="N947" i="1" l="1"/>
  <c r="N948" i="1"/>
  <c r="W1058" i="1"/>
  <c r="W1039" i="1"/>
  <c r="W1040" i="1"/>
  <c r="W1038" i="1"/>
  <c r="W958" i="1"/>
  <c r="F65" i="1"/>
  <c r="I1121" i="1" l="1"/>
  <c r="I1019" i="1"/>
  <c r="V1100" i="1"/>
  <c r="N1100" i="1"/>
  <c r="W1004" i="1"/>
  <c r="V1099" i="1"/>
  <c r="I1058" i="1" l="1"/>
  <c r="I106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W942" i="1" l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N938" i="1"/>
  <c r="O938" i="1" s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N949" i="1"/>
  <c r="O949" i="1" s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O958" i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Q962" i="1"/>
  <c r="Z962" i="1" s="1"/>
  <c r="V962" i="1"/>
  <c r="F963" i="1"/>
  <c r="G963" i="1"/>
  <c r="I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O968" i="1"/>
  <c r="P968" i="1" s="1"/>
  <c r="Q968" i="1"/>
  <c r="Z968" i="1" s="1"/>
  <c r="V968" i="1"/>
  <c r="F969" i="1"/>
  <c r="G969" i="1"/>
  <c r="I969" i="1"/>
  <c r="O969" i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O1004" i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V1008" i="1"/>
  <c r="Z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I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N1034" i="1"/>
  <c r="O1034" i="1" s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N1037" i="1"/>
  <c r="O1037" i="1" s="1"/>
  <c r="P1037" i="1" s="1"/>
  <c r="Q1037" i="1"/>
  <c r="Z1037" i="1" s="1"/>
  <c r="V1037" i="1"/>
  <c r="F1038" i="1"/>
  <c r="G1038" i="1"/>
  <c r="I1038" i="1"/>
  <c r="O1038" i="1"/>
  <c r="P1038" i="1" s="1"/>
  <c r="Q1038" i="1"/>
  <c r="Z1038" i="1" s="1"/>
  <c r="V1038" i="1"/>
  <c r="F1039" i="1"/>
  <c r="G1039" i="1"/>
  <c r="I1039" i="1"/>
  <c r="O1039" i="1"/>
  <c r="P1039" i="1" s="1"/>
  <c r="Q1039" i="1"/>
  <c r="Z1039" i="1" s="1"/>
  <c r="V1039" i="1"/>
  <c r="F1040" i="1"/>
  <c r="G1040" i="1"/>
  <c r="I1040" i="1"/>
  <c r="O1040" i="1"/>
  <c r="P1040" i="1" s="1"/>
  <c r="Q1040" i="1"/>
  <c r="Z1040" i="1" s="1"/>
  <c r="V1040" i="1"/>
  <c r="F1041" i="1"/>
  <c r="G1041" i="1"/>
  <c r="I1041" i="1"/>
  <c r="Q1041" i="1"/>
  <c r="Z1041" i="1" s="1"/>
  <c r="V1041" i="1"/>
  <c r="F1042" i="1"/>
  <c r="G1042" i="1"/>
  <c r="I1042" i="1"/>
  <c r="O1042" i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O1056" i="1"/>
  <c r="P1056" i="1" s="1"/>
  <c r="Q1056" i="1"/>
  <c r="Z1056" i="1" s="1"/>
  <c r="V1056" i="1"/>
  <c r="F1057" i="1"/>
  <c r="G1057" i="1"/>
  <c r="I1057" i="1"/>
  <c r="O1057" i="1"/>
  <c r="P1057" i="1" s="1"/>
  <c r="Q1057" i="1"/>
  <c r="Z1057" i="1" s="1"/>
  <c r="V1057" i="1"/>
  <c r="F1058" i="1"/>
  <c r="G1058" i="1"/>
  <c r="O1058" i="1"/>
  <c r="P1058" i="1" s="1"/>
  <c r="Q1058" i="1"/>
  <c r="Z1058" i="1" s="1"/>
  <c r="V1058" i="1"/>
  <c r="F1059" i="1"/>
  <c r="G1059" i="1"/>
  <c r="I1059" i="1"/>
  <c r="Q1059" i="1"/>
  <c r="V1059" i="1"/>
  <c r="Z1059" i="1"/>
  <c r="F1060" i="1"/>
  <c r="G1060" i="1"/>
  <c r="I1060" i="1"/>
  <c r="O1060" i="1"/>
  <c r="P1060" i="1" s="1"/>
  <c r="Q1060" i="1"/>
  <c r="V1060" i="1"/>
  <c r="Z1060" i="1"/>
  <c r="F1061" i="1"/>
  <c r="G1061" i="1"/>
  <c r="I1061" i="1"/>
  <c r="O1061" i="1"/>
  <c r="P1061" i="1" s="1"/>
  <c r="Q1061" i="1"/>
  <c r="Z1061" i="1" s="1"/>
  <c r="V1061" i="1"/>
  <c r="F1062" i="1"/>
  <c r="G1062" i="1"/>
  <c r="I1062" i="1"/>
  <c r="O1062" i="1"/>
  <c r="P1062" i="1" s="1"/>
  <c r="Q1062" i="1"/>
  <c r="V1062" i="1"/>
  <c r="Z1062" i="1"/>
  <c r="F1063" i="1"/>
  <c r="G1063" i="1"/>
  <c r="I1063" i="1"/>
  <c r="O1063" i="1"/>
  <c r="P1063" i="1" s="1"/>
  <c r="Q1063" i="1"/>
  <c r="V1063" i="1"/>
  <c r="Z1063" i="1"/>
  <c r="F1064" i="1"/>
  <c r="G1064" i="1"/>
  <c r="I1064" i="1"/>
  <c r="O1064" i="1"/>
  <c r="P1064" i="1" s="1"/>
  <c r="Q1064" i="1"/>
  <c r="Z1064" i="1" s="1"/>
  <c r="V1064" i="1"/>
  <c r="F1065" i="1"/>
  <c r="G1065" i="1"/>
  <c r="I1065" i="1"/>
  <c r="O1065" i="1"/>
  <c r="P1065" i="1" s="1"/>
  <c r="Q1065" i="1"/>
  <c r="V1065" i="1"/>
  <c r="Z1065" i="1"/>
  <c r="F1066" i="1"/>
  <c r="G1066" i="1"/>
  <c r="I1066" i="1"/>
  <c r="O1066" i="1"/>
  <c r="P1066" i="1" s="1"/>
  <c r="Q1066" i="1"/>
  <c r="V1066" i="1"/>
  <c r="Z1066" i="1"/>
  <c r="F1067" i="1"/>
  <c r="G1067" i="1"/>
  <c r="I1067" i="1"/>
  <c r="O1067" i="1"/>
  <c r="P1067" i="1" s="1"/>
  <c r="Q1067" i="1"/>
  <c r="Z1067" i="1" s="1"/>
  <c r="V1067" i="1"/>
  <c r="F1068" i="1"/>
  <c r="G1068" i="1"/>
  <c r="Q1068" i="1"/>
  <c r="Z1068" i="1" s="1"/>
  <c r="V1068" i="1"/>
  <c r="F1069" i="1"/>
  <c r="G1069" i="1"/>
  <c r="I1069" i="1"/>
  <c r="O1069" i="1"/>
  <c r="P1069" i="1" s="1"/>
  <c r="Q1069" i="1"/>
  <c r="Z1069" i="1" s="1"/>
  <c r="V1069" i="1"/>
  <c r="F1070" i="1"/>
  <c r="G1070" i="1"/>
  <c r="I1070" i="1"/>
  <c r="O1070" i="1"/>
  <c r="P1070" i="1" s="1"/>
  <c r="Q1070" i="1"/>
  <c r="Z1070" i="1" s="1"/>
  <c r="V1070" i="1"/>
  <c r="F1071" i="1"/>
  <c r="G1071" i="1"/>
  <c r="I1071" i="1"/>
  <c r="O1071" i="1"/>
  <c r="P1071" i="1" s="1"/>
  <c r="Q1071" i="1"/>
  <c r="Z1071" i="1" s="1"/>
  <c r="V1071" i="1"/>
  <c r="F1072" i="1"/>
  <c r="G1072" i="1"/>
  <c r="O1072" i="1"/>
  <c r="P1072" i="1" s="1"/>
  <c r="Q1072" i="1"/>
  <c r="Z1072" i="1" s="1"/>
  <c r="V1072" i="1"/>
  <c r="F1073" i="1"/>
  <c r="G1073" i="1"/>
  <c r="O1073" i="1"/>
  <c r="P1073" i="1" s="1"/>
  <c r="Q1073" i="1"/>
  <c r="V1073" i="1"/>
  <c r="Z1073" i="1"/>
  <c r="F1074" i="1"/>
  <c r="G1074" i="1"/>
  <c r="O1074" i="1"/>
  <c r="P1074" i="1" s="1"/>
  <c r="Q1074" i="1"/>
  <c r="Z1074" i="1" s="1"/>
  <c r="V1074" i="1"/>
  <c r="F1075" i="1"/>
  <c r="G1075" i="1"/>
  <c r="I1075" i="1"/>
  <c r="O1075" i="1"/>
  <c r="P1075" i="1" s="1"/>
  <c r="Q1075" i="1"/>
  <c r="V1075" i="1"/>
  <c r="Z1075" i="1"/>
  <c r="F1076" i="1"/>
  <c r="G1076" i="1"/>
  <c r="I1076" i="1"/>
  <c r="O1076" i="1"/>
  <c r="P1076" i="1" s="1"/>
  <c r="Q1076" i="1"/>
  <c r="Z1076" i="1" s="1"/>
  <c r="V1076" i="1"/>
  <c r="F1077" i="1"/>
  <c r="G1077" i="1"/>
  <c r="I1077" i="1"/>
  <c r="O1077" i="1"/>
  <c r="P1077" i="1" s="1"/>
  <c r="Q1077" i="1"/>
  <c r="Z1077" i="1" s="1"/>
  <c r="V1077" i="1"/>
  <c r="F1078" i="1"/>
  <c r="G1078" i="1"/>
  <c r="I1078" i="1"/>
  <c r="O1078" i="1"/>
  <c r="P1078" i="1" s="1"/>
  <c r="Q1078" i="1"/>
  <c r="Z1078" i="1" s="1"/>
  <c r="V1078" i="1"/>
  <c r="F1079" i="1"/>
  <c r="G1079" i="1"/>
  <c r="I1079" i="1"/>
  <c r="O1079" i="1"/>
  <c r="P1079" i="1" s="1"/>
  <c r="Q1079" i="1"/>
  <c r="Z1079" i="1" s="1"/>
  <c r="V1079" i="1"/>
  <c r="F1080" i="1"/>
  <c r="G1080" i="1"/>
  <c r="O1080" i="1"/>
  <c r="P1080" i="1" s="1"/>
  <c r="Q1080" i="1"/>
  <c r="V1080" i="1"/>
  <c r="Z1080" i="1"/>
  <c r="F1081" i="1"/>
  <c r="G1081" i="1"/>
  <c r="O1081" i="1"/>
  <c r="P1081" i="1" s="1"/>
  <c r="Q1081" i="1"/>
  <c r="V1081" i="1"/>
  <c r="Z1081" i="1"/>
  <c r="F1082" i="1"/>
  <c r="G1082" i="1"/>
  <c r="O1082" i="1"/>
  <c r="P1082" i="1" s="1"/>
  <c r="Q1082" i="1"/>
  <c r="V1082" i="1"/>
  <c r="Z1082" i="1"/>
  <c r="F1083" i="1"/>
  <c r="G1083" i="1"/>
  <c r="N1083" i="1"/>
  <c r="O1083" i="1" s="1"/>
  <c r="P1083" i="1" s="1"/>
  <c r="Q1083" i="1"/>
  <c r="Z1083" i="1" s="1"/>
  <c r="V1083" i="1"/>
  <c r="F1084" i="1"/>
  <c r="G1084" i="1"/>
  <c r="I1084" i="1"/>
  <c r="N1084" i="1"/>
  <c r="O1084" i="1" s="1"/>
  <c r="P1084" i="1" s="1"/>
  <c r="Q1084" i="1"/>
  <c r="Z1084" i="1" s="1"/>
  <c r="V1084" i="1"/>
  <c r="F1085" i="1"/>
  <c r="G1085" i="1"/>
  <c r="O1085" i="1"/>
  <c r="P1085" i="1" s="1"/>
  <c r="Q1085" i="1"/>
  <c r="V1085" i="1"/>
  <c r="Z1085" i="1"/>
  <c r="F1086" i="1"/>
  <c r="G1086" i="1"/>
  <c r="O1086" i="1"/>
  <c r="P1086" i="1" s="1"/>
  <c r="Q1086" i="1"/>
  <c r="V1086" i="1"/>
  <c r="Z1086" i="1"/>
  <c r="F1087" i="1"/>
  <c r="G1087" i="1"/>
  <c r="O1087" i="1"/>
  <c r="P1087" i="1" s="1"/>
  <c r="Q1087" i="1"/>
  <c r="V1087" i="1"/>
  <c r="Z1087" i="1"/>
  <c r="F1088" i="1"/>
  <c r="G1088" i="1"/>
  <c r="O1088" i="1"/>
  <c r="P1088" i="1" s="1"/>
  <c r="Q1088" i="1"/>
  <c r="Z1088" i="1" s="1"/>
  <c r="V1088" i="1"/>
  <c r="F1089" i="1"/>
  <c r="G1089" i="1"/>
  <c r="O1089" i="1"/>
  <c r="P1089" i="1" s="1"/>
  <c r="Q1089" i="1"/>
  <c r="V1089" i="1"/>
  <c r="Z1089" i="1"/>
  <c r="F1090" i="1"/>
  <c r="G1090" i="1"/>
  <c r="O1090" i="1"/>
  <c r="P1090" i="1" s="1"/>
  <c r="Q1090" i="1"/>
  <c r="V1090" i="1"/>
  <c r="Z1090" i="1"/>
  <c r="F1091" i="1"/>
  <c r="G1091" i="1"/>
  <c r="O1091" i="1"/>
  <c r="P1091" i="1" s="1"/>
  <c r="Q1091" i="1"/>
  <c r="V1091" i="1"/>
  <c r="Z1091" i="1"/>
  <c r="F1092" i="1"/>
  <c r="G1092" i="1"/>
  <c r="O1092" i="1"/>
  <c r="P1092" i="1" s="1"/>
  <c r="Q1092" i="1"/>
  <c r="V1092" i="1"/>
  <c r="Z1092" i="1"/>
  <c r="F1093" i="1"/>
  <c r="G1093" i="1"/>
  <c r="O1093" i="1"/>
  <c r="P1093" i="1" s="1"/>
  <c r="Q1093" i="1"/>
  <c r="V1093" i="1"/>
  <c r="Z1093" i="1"/>
  <c r="F1094" i="1"/>
  <c r="G1094" i="1"/>
  <c r="I1094" i="1"/>
  <c r="O1094" i="1"/>
  <c r="P1094" i="1" s="1"/>
  <c r="Q1094" i="1"/>
  <c r="Z1094" i="1" s="1"/>
  <c r="V1094" i="1"/>
  <c r="F1095" i="1"/>
  <c r="G1095" i="1"/>
  <c r="I1095" i="1"/>
  <c r="O1095" i="1"/>
  <c r="P1095" i="1" s="1"/>
  <c r="Q1095" i="1"/>
  <c r="Z1095" i="1" s="1"/>
  <c r="V1095" i="1"/>
  <c r="F1096" i="1"/>
  <c r="G1096" i="1"/>
  <c r="I1096" i="1"/>
  <c r="O1096" i="1"/>
  <c r="P1096" i="1" s="1"/>
  <c r="Q1096" i="1"/>
  <c r="Z1096" i="1" s="1"/>
  <c r="V1096" i="1"/>
  <c r="F1097" i="1"/>
  <c r="G1097" i="1"/>
  <c r="I1097" i="1"/>
  <c r="N1097" i="1"/>
  <c r="Q1097" i="1"/>
  <c r="Z1097" i="1" s="1"/>
  <c r="V1097" i="1"/>
  <c r="F1098" i="1"/>
  <c r="G1098" i="1"/>
  <c r="I1098" i="1"/>
  <c r="N1098" i="1"/>
  <c r="Q1098" i="1"/>
  <c r="Z1098" i="1" s="1"/>
  <c r="V1098" i="1"/>
  <c r="F1099" i="1"/>
  <c r="G1099" i="1"/>
  <c r="I1099" i="1"/>
  <c r="N1099" i="1"/>
  <c r="Q1099" i="1"/>
  <c r="Z1099" i="1" s="1"/>
  <c r="F1100" i="1"/>
  <c r="G1100" i="1"/>
  <c r="I1100" i="1"/>
  <c r="O1100" i="1"/>
  <c r="P1100" i="1" s="1"/>
  <c r="Q1100" i="1"/>
  <c r="Z1100" i="1" s="1"/>
  <c r="F1101" i="1"/>
  <c r="G1101" i="1"/>
  <c r="I1101" i="1"/>
  <c r="N1101" i="1"/>
  <c r="O1101" i="1" s="1"/>
  <c r="P1101" i="1" s="1"/>
  <c r="Q1101" i="1"/>
  <c r="Z1101" i="1" s="1"/>
  <c r="V1101" i="1"/>
  <c r="F1102" i="1"/>
  <c r="G1102" i="1"/>
  <c r="I1102" i="1"/>
  <c r="N1102" i="1"/>
  <c r="O1102" i="1" s="1"/>
  <c r="P1102" i="1" s="1"/>
  <c r="Q1102" i="1"/>
  <c r="Z1102" i="1" s="1"/>
  <c r="V1102" i="1"/>
  <c r="F1103" i="1"/>
  <c r="G1103" i="1"/>
  <c r="I1103" i="1"/>
  <c r="N1103" i="1"/>
  <c r="O1103" i="1" s="1"/>
  <c r="P1103" i="1" s="1"/>
  <c r="Q1103" i="1"/>
  <c r="Z1103" i="1" s="1"/>
  <c r="V1103" i="1"/>
  <c r="F1104" i="1"/>
  <c r="G1104" i="1"/>
  <c r="I1104" i="1"/>
  <c r="Q1104" i="1"/>
  <c r="Z1104" i="1" s="1"/>
  <c r="V1104" i="1"/>
  <c r="F1105" i="1"/>
  <c r="G1105" i="1"/>
  <c r="I1105" i="1"/>
  <c r="N1105" i="1"/>
  <c r="O1105" i="1" s="1"/>
  <c r="P1105" i="1" s="1"/>
  <c r="Q1105" i="1"/>
  <c r="Z1105" i="1" s="1"/>
  <c r="V1105" i="1"/>
  <c r="F1106" i="1"/>
  <c r="G1106" i="1"/>
  <c r="I1106" i="1"/>
  <c r="O1106" i="1"/>
  <c r="P1106" i="1" s="1"/>
  <c r="Q1106" i="1"/>
  <c r="Z1106" i="1" s="1"/>
  <c r="V1106" i="1"/>
  <c r="F1107" i="1"/>
  <c r="G1107" i="1"/>
  <c r="I1107" i="1"/>
  <c r="O1107" i="1"/>
  <c r="P1107" i="1" s="1"/>
  <c r="Q1107" i="1"/>
  <c r="Z1107" i="1" s="1"/>
  <c r="V1107" i="1"/>
  <c r="F1108" i="1"/>
  <c r="G1108" i="1"/>
  <c r="O1108" i="1"/>
  <c r="P1108" i="1" s="1"/>
  <c r="Q1108" i="1"/>
  <c r="Z1108" i="1" s="1"/>
  <c r="V1108" i="1"/>
  <c r="F1109" i="1"/>
  <c r="G1109" i="1"/>
  <c r="O1109" i="1"/>
  <c r="P1109" i="1" s="1"/>
  <c r="Q1109" i="1"/>
  <c r="Z1109" i="1" s="1"/>
  <c r="V1109" i="1"/>
  <c r="F1110" i="1"/>
  <c r="G1110" i="1"/>
  <c r="O1110" i="1"/>
  <c r="P1110" i="1" s="1"/>
  <c r="Q1110" i="1"/>
  <c r="Z1110" i="1" s="1"/>
  <c r="V1110" i="1"/>
  <c r="F1111" i="1"/>
  <c r="G1111" i="1"/>
  <c r="O1111" i="1"/>
  <c r="P1111" i="1" s="1"/>
  <c r="Q1111" i="1"/>
  <c r="Z1111" i="1" s="1"/>
  <c r="V1111" i="1"/>
  <c r="F1112" i="1"/>
  <c r="G1112" i="1"/>
  <c r="I1112" i="1"/>
  <c r="O1112" i="1"/>
  <c r="P1112" i="1" s="1"/>
  <c r="Q1112" i="1"/>
  <c r="Z1112" i="1" s="1"/>
  <c r="V1112" i="1"/>
  <c r="F1113" i="1"/>
  <c r="G1113" i="1"/>
  <c r="I1113" i="1"/>
  <c r="O1113" i="1"/>
  <c r="P1113" i="1" s="1"/>
  <c r="Q1113" i="1"/>
  <c r="Z1113" i="1" s="1"/>
  <c r="V1113" i="1"/>
  <c r="F1114" i="1"/>
  <c r="G1114" i="1"/>
  <c r="O1114" i="1"/>
  <c r="P1114" i="1" s="1"/>
  <c r="Q1114" i="1"/>
  <c r="Z1114" i="1" s="1"/>
  <c r="V1114" i="1"/>
  <c r="F1115" i="1"/>
  <c r="G1115" i="1"/>
  <c r="O1115" i="1"/>
  <c r="P1115" i="1" s="1"/>
  <c r="Q1115" i="1"/>
  <c r="Z1115" i="1" s="1"/>
  <c r="V1115" i="1"/>
  <c r="F1116" i="1"/>
  <c r="G1116" i="1"/>
  <c r="I1116" i="1"/>
  <c r="O1116" i="1"/>
  <c r="P1116" i="1" s="1"/>
  <c r="Z1116" i="1"/>
  <c r="V1116" i="1"/>
  <c r="F1117" i="1"/>
  <c r="G1117" i="1"/>
  <c r="I1117" i="1"/>
  <c r="O1117" i="1"/>
  <c r="P1117" i="1" s="1"/>
  <c r="Q1117" i="1"/>
  <c r="Z1117" i="1" s="1"/>
  <c r="V1117" i="1"/>
  <c r="F1118" i="1"/>
  <c r="G1118" i="1"/>
  <c r="I1118" i="1"/>
  <c r="O1118" i="1"/>
  <c r="P1118" i="1" s="1"/>
  <c r="Q1118" i="1"/>
  <c r="Z1118" i="1" s="1"/>
  <c r="V1118" i="1"/>
  <c r="F1119" i="1"/>
  <c r="G1119" i="1"/>
  <c r="I1119" i="1"/>
  <c r="O1119" i="1"/>
  <c r="P1119" i="1" s="1"/>
  <c r="Q1119" i="1"/>
  <c r="Z1119" i="1" s="1"/>
  <c r="V1119" i="1"/>
  <c r="F1120" i="1"/>
  <c r="G1120" i="1"/>
  <c r="O1120" i="1"/>
  <c r="P1120" i="1" s="1"/>
  <c r="Q1120" i="1"/>
  <c r="Z1120" i="1" s="1"/>
  <c r="V1120" i="1"/>
  <c r="F1121" i="1"/>
  <c r="G1121" i="1"/>
  <c r="N1121" i="1"/>
  <c r="O1121" i="1" s="1"/>
  <c r="P1121" i="1" s="1"/>
  <c r="Q1121" i="1"/>
  <c r="Z1121" i="1" s="1"/>
  <c r="V1121" i="1"/>
  <c r="F1122" i="1"/>
  <c r="G1122" i="1"/>
  <c r="N1122" i="1"/>
  <c r="O1122" i="1" s="1"/>
  <c r="P1122" i="1" s="1"/>
  <c r="Q1122" i="1"/>
  <c r="Z1122" i="1" s="1"/>
  <c r="V1122" i="1"/>
  <c r="F1123" i="1"/>
  <c r="G1123" i="1"/>
  <c r="I1123" i="1"/>
  <c r="O1123" i="1"/>
  <c r="P1123" i="1" s="1"/>
  <c r="Q1123" i="1"/>
  <c r="Z1123" i="1" s="1"/>
  <c r="V1123" i="1"/>
  <c r="F1124" i="1"/>
  <c r="G1124" i="1"/>
  <c r="I1124" i="1"/>
  <c r="O1124" i="1"/>
  <c r="P1124" i="1" s="1"/>
  <c r="Q1124" i="1"/>
  <c r="Z1124" i="1" s="1"/>
  <c r="V1124" i="1"/>
  <c r="F1125" i="1"/>
  <c r="G1125" i="1"/>
  <c r="O1125" i="1"/>
  <c r="P1125" i="1" s="1"/>
  <c r="Q1125" i="1"/>
  <c r="V1125" i="1"/>
  <c r="Z1125" i="1"/>
  <c r="F1126" i="1"/>
  <c r="G1126" i="1"/>
  <c r="O1126" i="1"/>
  <c r="P1126" i="1" s="1"/>
  <c r="Q1126" i="1"/>
  <c r="V1126" i="1"/>
  <c r="Z1126" i="1"/>
  <c r="F1127" i="1"/>
  <c r="G1127" i="1"/>
  <c r="O1127" i="1"/>
  <c r="P1127" i="1" s="1"/>
  <c r="Q1127" i="1"/>
  <c r="V1127" i="1"/>
  <c r="Z1127" i="1"/>
  <c r="F1128" i="1"/>
  <c r="G1128" i="1"/>
  <c r="O1128" i="1"/>
  <c r="P1128" i="1" s="1"/>
  <c r="Q1128" i="1"/>
  <c r="V1128" i="1"/>
  <c r="Z1128" i="1"/>
  <c r="F1129" i="1"/>
  <c r="G1129" i="1"/>
  <c r="O1129" i="1"/>
  <c r="P1129" i="1" s="1"/>
  <c r="Q1129" i="1"/>
  <c r="V1129" i="1"/>
  <c r="Z1129" i="1"/>
  <c r="F1130" i="1"/>
  <c r="G1130" i="1"/>
  <c r="I1130" i="1"/>
  <c r="O1130" i="1"/>
  <c r="P1130" i="1" s="1"/>
  <c r="Q1130" i="1"/>
  <c r="V1130" i="1"/>
  <c r="Z1130" i="1"/>
  <c r="F1131" i="1"/>
  <c r="G1131" i="1"/>
  <c r="N1131" i="1"/>
  <c r="O1131" i="1" s="1"/>
  <c r="P1131" i="1" s="1"/>
  <c r="Q1131" i="1"/>
  <c r="Z1131" i="1" s="1"/>
  <c r="V1131" i="1"/>
  <c r="F1132" i="1"/>
  <c r="G1132" i="1"/>
  <c r="N1132" i="1"/>
  <c r="O1132" i="1" s="1"/>
  <c r="P1132" i="1" s="1"/>
  <c r="Q1132" i="1"/>
  <c r="Z1132" i="1" s="1"/>
  <c r="V1132" i="1"/>
  <c r="F1133" i="1"/>
  <c r="G1133" i="1"/>
  <c r="N1133" i="1"/>
  <c r="O1133" i="1" s="1"/>
  <c r="P1133" i="1" s="1"/>
  <c r="Q1133" i="1"/>
  <c r="V1133" i="1"/>
  <c r="Z1133" i="1"/>
  <c r="F1134" i="1"/>
  <c r="G1134" i="1"/>
  <c r="I1134" i="1"/>
  <c r="N1134" i="1"/>
  <c r="O1134" i="1" s="1"/>
  <c r="P1134" i="1" s="1"/>
  <c r="Q1134" i="1"/>
  <c r="Z1134" i="1" s="1"/>
  <c r="V1134" i="1"/>
  <c r="F1135" i="1"/>
  <c r="G1135" i="1"/>
  <c r="I1135" i="1"/>
  <c r="N1135" i="1"/>
  <c r="O1135" i="1" s="1"/>
  <c r="P1135" i="1" s="1"/>
  <c r="Q1135" i="1"/>
  <c r="Z1135" i="1" s="1"/>
  <c r="V1135" i="1"/>
  <c r="F1136" i="1"/>
  <c r="G1136" i="1"/>
  <c r="I1136" i="1"/>
  <c r="N1136" i="1"/>
  <c r="O1136" i="1" s="1"/>
  <c r="P1136" i="1" s="1"/>
  <c r="Q1136" i="1"/>
  <c r="V1136" i="1"/>
  <c r="Z1136" i="1"/>
  <c r="F1137" i="1"/>
  <c r="G1137" i="1"/>
  <c r="I1137" i="1"/>
  <c r="N1137" i="1"/>
  <c r="O1137" i="1" s="1"/>
  <c r="P1137" i="1" s="1"/>
  <c r="Q1137" i="1"/>
  <c r="V1137" i="1"/>
  <c r="Z1137" i="1"/>
  <c r="F1138" i="1"/>
  <c r="G1138" i="1"/>
  <c r="I1138" i="1"/>
  <c r="N1138" i="1"/>
  <c r="O1138" i="1" s="1"/>
  <c r="P1138" i="1" s="1"/>
  <c r="Q1138" i="1"/>
  <c r="Z1138" i="1" s="1"/>
  <c r="V1138" i="1"/>
  <c r="F1139" i="1"/>
  <c r="G1139" i="1"/>
  <c r="I1139" i="1"/>
  <c r="O1139" i="1"/>
  <c r="P1139" i="1" s="1"/>
  <c r="Q1139" i="1"/>
  <c r="Z1139" i="1" s="1"/>
  <c r="V1139" i="1"/>
  <c r="F1140" i="1"/>
  <c r="G1140" i="1"/>
  <c r="I1140" i="1"/>
  <c r="O1140" i="1"/>
  <c r="P1140" i="1" s="1"/>
  <c r="Q1140" i="1"/>
  <c r="Z1140" i="1" s="1"/>
  <c r="V1140" i="1"/>
  <c r="F1141" i="1"/>
  <c r="G1141" i="1"/>
  <c r="I1141" i="1"/>
  <c r="O1141" i="1"/>
  <c r="P1141" i="1" s="1"/>
  <c r="Q1141" i="1"/>
  <c r="Z1141" i="1" s="1"/>
  <c r="V1141" i="1"/>
  <c r="F1142" i="1"/>
  <c r="G1142" i="1"/>
  <c r="I1142" i="1"/>
  <c r="N1142" i="1"/>
  <c r="O1142" i="1" s="1"/>
  <c r="P1142" i="1" s="1"/>
  <c r="Q1142" i="1"/>
  <c r="Z1142" i="1" s="1"/>
  <c r="V1142" i="1"/>
  <c r="F1143" i="1"/>
  <c r="G1143" i="1"/>
  <c r="I1143" i="1"/>
  <c r="O1143" i="1"/>
  <c r="P1143" i="1" s="1"/>
  <c r="Q1143" i="1"/>
  <c r="Z1143" i="1" s="1"/>
  <c r="V1143" i="1"/>
  <c r="F1144" i="1"/>
  <c r="G1144" i="1"/>
  <c r="I1144" i="1"/>
  <c r="O1144" i="1"/>
  <c r="P1144" i="1" s="1"/>
  <c r="Q1144" i="1"/>
  <c r="Z1144" i="1" s="1"/>
  <c r="V1144" i="1"/>
  <c r="F1145" i="1"/>
  <c r="G1145" i="1"/>
  <c r="I1145" i="1"/>
  <c r="O1145" i="1"/>
  <c r="P1145" i="1" s="1"/>
  <c r="Q1145" i="1"/>
  <c r="Z1145" i="1" s="1"/>
  <c r="V1145" i="1"/>
  <c r="F1146" i="1"/>
  <c r="G1146" i="1"/>
  <c r="I1146" i="1"/>
  <c r="O1146" i="1"/>
  <c r="P1146" i="1" s="1"/>
  <c r="Q1146" i="1"/>
  <c r="Z1146" i="1" s="1"/>
  <c r="V1146" i="1"/>
  <c r="F1147" i="1"/>
  <c r="G1147" i="1"/>
  <c r="I1147" i="1"/>
  <c r="O1147" i="1"/>
  <c r="P1147" i="1" s="1"/>
  <c r="Q1147" i="1"/>
  <c r="Z1147" i="1" s="1"/>
  <c r="V1147" i="1"/>
  <c r="F1148" i="1"/>
  <c r="G1148" i="1"/>
  <c r="I1148" i="1"/>
  <c r="O1148" i="1"/>
  <c r="P1148" i="1" s="1"/>
  <c r="Q1148" i="1"/>
  <c r="Z1148" i="1" s="1"/>
  <c r="V1148" i="1"/>
  <c r="F1149" i="1"/>
  <c r="G1149" i="1"/>
  <c r="I1149" i="1"/>
  <c r="O1149" i="1"/>
  <c r="P1149" i="1" s="1"/>
  <c r="Q1149" i="1"/>
  <c r="Z1149" i="1" s="1"/>
  <c r="V1149" i="1"/>
  <c r="F1150" i="1"/>
  <c r="G1150" i="1"/>
  <c r="I1150" i="1"/>
  <c r="O1150" i="1"/>
  <c r="P1150" i="1" s="1"/>
  <c r="Q1150" i="1"/>
  <c r="Z1150" i="1" s="1"/>
  <c r="V1150" i="1"/>
  <c r="F1151" i="1"/>
  <c r="G1151" i="1"/>
  <c r="I1151" i="1"/>
  <c r="O1151" i="1"/>
  <c r="P1151" i="1" s="1"/>
  <c r="Q1151" i="1"/>
  <c r="Z1151" i="1" s="1"/>
  <c r="V1151" i="1"/>
  <c r="F1152" i="1"/>
  <c r="G1152" i="1"/>
  <c r="I1152" i="1"/>
  <c r="N1152" i="1"/>
  <c r="O1152" i="1" s="1"/>
  <c r="P1152" i="1" s="1"/>
  <c r="Q1152" i="1"/>
  <c r="Z1152" i="1" s="1"/>
  <c r="V1152" i="1"/>
  <c r="F1153" i="1"/>
  <c r="G1153" i="1"/>
  <c r="I1153" i="1"/>
  <c r="N1153" i="1"/>
  <c r="O1153" i="1" s="1"/>
  <c r="P1153" i="1" s="1"/>
  <c r="Q1153" i="1"/>
  <c r="Z1153" i="1" s="1"/>
  <c r="V1153" i="1"/>
  <c r="F1154" i="1"/>
  <c r="G1154" i="1"/>
  <c r="I1154" i="1"/>
  <c r="N1154" i="1"/>
  <c r="O1154" i="1" s="1"/>
  <c r="P1154" i="1" s="1"/>
  <c r="Q1154" i="1"/>
  <c r="Z1154" i="1" s="1"/>
  <c r="V1154" i="1"/>
  <c r="F1155" i="1"/>
  <c r="G1155" i="1"/>
  <c r="I1155" i="1"/>
  <c r="N1155" i="1"/>
  <c r="O1155" i="1" s="1"/>
  <c r="P1155" i="1" s="1"/>
  <c r="Q1155" i="1"/>
  <c r="Z1155" i="1" s="1"/>
  <c r="V1155" i="1"/>
  <c r="F1156" i="1"/>
  <c r="G1156" i="1"/>
  <c r="I1156" i="1"/>
  <c r="N1156" i="1"/>
  <c r="O1156" i="1" s="1"/>
  <c r="P1156" i="1" s="1"/>
  <c r="Q1156" i="1"/>
  <c r="Z1156" i="1" s="1"/>
  <c r="V1156" i="1"/>
  <c r="F1157" i="1"/>
  <c r="G1157" i="1"/>
  <c r="I1157" i="1"/>
  <c r="N1157" i="1"/>
  <c r="O1157" i="1" s="1"/>
  <c r="P1157" i="1" s="1"/>
  <c r="Q1157" i="1"/>
  <c r="Z1157" i="1" s="1"/>
  <c r="V1157" i="1"/>
  <c r="F1158" i="1"/>
  <c r="G1158" i="1"/>
  <c r="I1158" i="1"/>
  <c r="O1158" i="1"/>
  <c r="P1158" i="1" s="1"/>
  <c r="Q1158" i="1"/>
  <c r="Z1158" i="1" s="1"/>
  <c r="V1158" i="1"/>
  <c r="F1159" i="1"/>
  <c r="G1159" i="1"/>
  <c r="I1159" i="1"/>
  <c r="O1159" i="1"/>
  <c r="P1159" i="1" s="1"/>
  <c r="Q1159" i="1"/>
  <c r="V1159" i="1"/>
  <c r="Z1159" i="1"/>
  <c r="F1160" i="1"/>
  <c r="G1160" i="1"/>
  <c r="I1160" i="1"/>
  <c r="O1160" i="1"/>
  <c r="P1160" i="1" s="1"/>
  <c r="Q1160" i="1"/>
  <c r="Z1160" i="1" s="1"/>
  <c r="V1160" i="1"/>
  <c r="F1161" i="1"/>
  <c r="G1161" i="1"/>
  <c r="I1161" i="1"/>
  <c r="N1161" i="1"/>
  <c r="O1161" i="1" s="1"/>
  <c r="P1161" i="1" s="1"/>
  <c r="Q1161" i="1"/>
  <c r="V1161" i="1"/>
  <c r="Z1161" i="1"/>
  <c r="F1162" i="1"/>
  <c r="G1162" i="1"/>
  <c r="I1162" i="1"/>
  <c r="N1162" i="1"/>
  <c r="O1162" i="1" s="1"/>
  <c r="P1162" i="1" s="1"/>
  <c r="Q1162" i="1"/>
  <c r="V1162" i="1"/>
  <c r="Z1162" i="1"/>
  <c r="F1163" i="1"/>
  <c r="G1163" i="1"/>
  <c r="I1163" i="1"/>
  <c r="N1163" i="1"/>
  <c r="O1163" i="1" s="1"/>
  <c r="P1163" i="1" s="1"/>
  <c r="Q1163" i="1"/>
  <c r="V1163" i="1"/>
  <c r="Z1163" i="1"/>
  <c r="F1164" i="1"/>
  <c r="G1164" i="1"/>
  <c r="I1164" i="1"/>
  <c r="N1164" i="1"/>
  <c r="O1164" i="1" s="1"/>
  <c r="P1164" i="1" s="1"/>
  <c r="Q1164" i="1"/>
  <c r="V1164" i="1"/>
  <c r="Z1164" i="1"/>
  <c r="F1165" i="1"/>
  <c r="G1165" i="1"/>
  <c r="I1165" i="1"/>
  <c r="N1165" i="1"/>
  <c r="O1165" i="1" s="1"/>
  <c r="P1165" i="1" s="1"/>
  <c r="Q1165" i="1"/>
  <c r="V1165" i="1"/>
  <c r="Z1165" i="1"/>
  <c r="F1166" i="1"/>
  <c r="G1166" i="1"/>
  <c r="I1166" i="1"/>
  <c r="N1166" i="1"/>
  <c r="O1166" i="1" s="1"/>
  <c r="P1166" i="1" s="1"/>
  <c r="Q1166" i="1"/>
  <c r="V1166" i="1"/>
  <c r="Z1166" i="1"/>
  <c r="F1167" i="1"/>
  <c r="G1167" i="1"/>
  <c r="I1167" i="1"/>
  <c r="N1167" i="1"/>
  <c r="O1167" i="1" s="1"/>
  <c r="P1167" i="1" s="1"/>
  <c r="Q1167" i="1"/>
  <c r="V1167" i="1"/>
  <c r="Z1167" i="1"/>
  <c r="F1168" i="1"/>
  <c r="G1168" i="1"/>
  <c r="I1168" i="1"/>
  <c r="N1168" i="1"/>
  <c r="O1168" i="1" s="1"/>
  <c r="P1168" i="1" s="1"/>
  <c r="Q1168" i="1"/>
  <c r="V1168" i="1"/>
  <c r="Z1168" i="1"/>
  <c r="F1169" i="1"/>
  <c r="G1169" i="1"/>
  <c r="I1169" i="1"/>
  <c r="N1169" i="1"/>
  <c r="O1169" i="1" s="1"/>
  <c r="P1169" i="1" s="1"/>
  <c r="Q1169" i="1"/>
  <c r="V1169" i="1"/>
  <c r="Z1169" i="1"/>
  <c r="F1170" i="1"/>
  <c r="G1170" i="1"/>
  <c r="I1170" i="1"/>
  <c r="N1170" i="1"/>
  <c r="O1170" i="1" s="1"/>
  <c r="P1170" i="1" s="1"/>
  <c r="Q1170" i="1"/>
  <c r="V1170" i="1"/>
  <c r="Z1170" i="1"/>
  <c r="F1171" i="1"/>
  <c r="G1171" i="1"/>
  <c r="I1171" i="1"/>
  <c r="N1171" i="1"/>
  <c r="O1171" i="1" s="1"/>
  <c r="P1171" i="1" s="1"/>
  <c r="Q1171" i="1"/>
  <c r="V1171" i="1"/>
  <c r="Z1171" i="1"/>
  <c r="F1172" i="1"/>
  <c r="G1172" i="1"/>
  <c r="I1172" i="1"/>
  <c r="N1172" i="1"/>
  <c r="O1172" i="1" s="1"/>
  <c r="P1172" i="1" s="1"/>
  <c r="Q1172" i="1"/>
  <c r="V1172" i="1"/>
  <c r="Z1172" i="1"/>
  <c r="F1173" i="1"/>
  <c r="G1173" i="1"/>
  <c r="I1173" i="1"/>
  <c r="N1173" i="1"/>
  <c r="O1173" i="1" s="1"/>
  <c r="P1173" i="1" s="1"/>
  <c r="Q1173" i="1"/>
  <c r="V1173" i="1"/>
  <c r="Z1173" i="1"/>
  <c r="F1174" i="1"/>
  <c r="G1174" i="1"/>
  <c r="I1174" i="1"/>
  <c r="N1174" i="1"/>
  <c r="O1174" i="1" s="1"/>
  <c r="P1174" i="1" s="1"/>
  <c r="Q1174" i="1"/>
  <c r="V1174" i="1"/>
  <c r="Z1174" i="1"/>
  <c r="F1175" i="1"/>
  <c r="G1175" i="1"/>
  <c r="I1175" i="1"/>
  <c r="N1175" i="1"/>
  <c r="O1175" i="1" s="1"/>
  <c r="P1175" i="1" s="1"/>
  <c r="Q1175" i="1"/>
  <c r="V1175" i="1"/>
  <c r="Z1175" i="1"/>
  <c r="F1176" i="1"/>
  <c r="G1176" i="1"/>
  <c r="I1176" i="1"/>
  <c r="N1176" i="1"/>
  <c r="O1176" i="1" s="1"/>
  <c r="P1176" i="1" s="1"/>
  <c r="Q1176" i="1"/>
  <c r="V1176" i="1"/>
  <c r="Z1176" i="1"/>
  <c r="F1177" i="1"/>
  <c r="G1177" i="1"/>
  <c r="I1177" i="1"/>
  <c r="N1177" i="1"/>
  <c r="O1177" i="1" s="1"/>
  <c r="P1177" i="1" s="1"/>
  <c r="Q1177" i="1"/>
  <c r="V1177" i="1"/>
  <c r="Z1177" i="1"/>
  <c r="F1178" i="1"/>
  <c r="G1178" i="1"/>
  <c r="I1178" i="1"/>
  <c r="N1178" i="1"/>
  <c r="O1178" i="1" s="1"/>
  <c r="P1178" i="1" s="1"/>
  <c r="Q1178" i="1"/>
  <c r="V1178" i="1"/>
  <c r="Z1178" i="1"/>
  <c r="F1179" i="1"/>
  <c r="G1179" i="1"/>
  <c r="I1179" i="1"/>
  <c r="N1179" i="1"/>
  <c r="O1179" i="1" s="1"/>
  <c r="P1179" i="1" s="1"/>
  <c r="Q1179" i="1"/>
  <c r="V1179" i="1"/>
  <c r="Z1179" i="1"/>
  <c r="F1180" i="1"/>
  <c r="G1180" i="1"/>
  <c r="I1180" i="1"/>
  <c r="N1180" i="1"/>
  <c r="O1180" i="1" s="1"/>
  <c r="P1180" i="1" s="1"/>
  <c r="Q1180" i="1"/>
  <c r="V1180" i="1"/>
  <c r="Z1180" i="1"/>
  <c r="F1181" i="1"/>
  <c r="G1181" i="1"/>
  <c r="I1181" i="1"/>
  <c r="N1181" i="1"/>
  <c r="O1181" i="1" s="1"/>
  <c r="P1181" i="1" s="1"/>
  <c r="Q1181" i="1"/>
  <c r="V1181" i="1"/>
  <c r="Z1181" i="1"/>
  <c r="F1182" i="1"/>
  <c r="G1182" i="1"/>
  <c r="I1182" i="1"/>
  <c r="N1182" i="1"/>
  <c r="O1182" i="1" s="1"/>
  <c r="P1182" i="1" s="1"/>
  <c r="Q1182" i="1"/>
  <c r="V1182" i="1"/>
  <c r="Z1182" i="1"/>
  <c r="F1183" i="1"/>
  <c r="G1183" i="1"/>
  <c r="I1183" i="1"/>
  <c r="N1183" i="1"/>
  <c r="O1183" i="1" s="1"/>
  <c r="P1183" i="1" s="1"/>
  <c r="Q1183" i="1"/>
  <c r="V1183" i="1"/>
  <c r="Z1183" i="1"/>
  <c r="F1184" i="1"/>
  <c r="G1184" i="1"/>
  <c r="I1184" i="1"/>
  <c r="N1184" i="1"/>
  <c r="O1184" i="1" s="1"/>
  <c r="P1184" i="1" s="1"/>
  <c r="Q1184" i="1"/>
  <c r="V1184" i="1"/>
  <c r="Z1184" i="1"/>
  <c r="F1185" i="1"/>
  <c r="G1185" i="1"/>
  <c r="I1185" i="1"/>
  <c r="N1185" i="1"/>
  <c r="O1185" i="1" s="1"/>
  <c r="P1185" i="1" s="1"/>
  <c r="Q1185" i="1"/>
  <c r="V1185" i="1"/>
  <c r="Z1185" i="1"/>
  <c r="F1186" i="1"/>
  <c r="G1186" i="1"/>
  <c r="I1186" i="1"/>
  <c r="N1186" i="1"/>
  <c r="O1186" i="1" s="1"/>
  <c r="P1186" i="1" s="1"/>
  <c r="Q1186" i="1"/>
  <c r="V1186" i="1"/>
  <c r="Z1186" i="1"/>
  <c r="F1187" i="1"/>
  <c r="G1187" i="1"/>
  <c r="I1187" i="1"/>
  <c r="N1187" i="1"/>
  <c r="O1187" i="1" s="1"/>
  <c r="P1187" i="1" s="1"/>
  <c r="Q1187" i="1"/>
  <c r="V1187" i="1"/>
  <c r="Z1187" i="1"/>
  <c r="F1188" i="1"/>
  <c r="G1188" i="1"/>
  <c r="I1188" i="1"/>
  <c r="N1188" i="1"/>
  <c r="O1188" i="1" s="1"/>
  <c r="P1188" i="1" s="1"/>
  <c r="Q1188" i="1"/>
  <c r="V1188" i="1"/>
  <c r="Z1188" i="1"/>
  <c r="F1189" i="1"/>
  <c r="G1189" i="1"/>
  <c r="I1189" i="1"/>
  <c r="N1189" i="1"/>
  <c r="O1189" i="1" s="1"/>
  <c r="P1189" i="1" s="1"/>
  <c r="Q1189" i="1"/>
  <c r="V1189" i="1"/>
  <c r="Z1189" i="1"/>
  <c r="F1190" i="1"/>
  <c r="G1190" i="1"/>
  <c r="I1190" i="1"/>
  <c r="N1190" i="1"/>
  <c r="O1190" i="1" s="1"/>
  <c r="P1190" i="1" s="1"/>
  <c r="Q1190" i="1"/>
  <c r="V1190" i="1"/>
  <c r="Z1190" i="1"/>
  <c r="F1191" i="1"/>
  <c r="G1191" i="1"/>
  <c r="I1191" i="1"/>
  <c r="N1191" i="1"/>
  <c r="O1191" i="1" s="1"/>
  <c r="P1191" i="1" s="1"/>
  <c r="Q1191" i="1"/>
  <c r="V1191" i="1"/>
  <c r="Z1191" i="1"/>
  <c r="F1192" i="1"/>
  <c r="G1192" i="1"/>
  <c r="I1192" i="1"/>
  <c r="N1192" i="1"/>
  <c r="O1192" i="1" s="1"/>
  <c r="P1192" i="1" s="1"/>
  <c r="Q1192" i="1"/>
  <c r="V1192" i="1"/>
  <c r="Z1192" i="1"/>
  <c r="F1193" i="1"/>
  <c r="G1193" i="1"/>
  <c r="I1193" i="1"/>
  <c r="N1193" i="1"/>
  <c r="O1193" i="1" s="1"/>
  <c r="P1193" i="1" s="1"/>
  <c r="Q1193" i="1"/>
  <c r="V1193" i="1"/>
  <c r="Z1193" i="1"/>
  <c r="F1194" i="1"/>
  <c r="G1194" i="1"/>
  <c r="I1194" i="1"/>
  <c r="N1194" i="1"/>
  <c r="O1194" i="1" s="1"/>
  <c r="P1194" i="1" s="1"/>
  <c r="Q1194" i="1"/>
  <c r="V1194" i="1"/>
  <c r="Z1194" i="1"/>
  <c r="F1195" i="1"/>
  <c r="G1195" i="1"/>
  <c r="I1195" i="1"/>
  <c r="N1195" i="1"/>
  <c r="O1195" i="1" s="1"/>
  <c r="P1195" i="1" s="1"/>
  <c r="Q1195" i="1"/>
  <c r="V1195" i="1"/>
  <c r="Z1195" i="1"/>
  <c r="F1196" i="1"/>
  <c r="G1196" i="1"/>
  <c r="I1196" i="1"/>
  <c r="N1196" i="1"/>
  <c r="O1196" i="1" s="1"/>
  <c r="P1196" i="1" s="1"/>
  <c r="Q1196" i="1"/>
  <c r="V1196" i="1"/>
  <c r="Z1196" i="1"/>
  <c r="F1197" i="1"/>
  <c r="G1197" i="1"/>
  <c r="I1197" i="1"/>
  <c r="N1197" i="1"/>
  <c r="O1197" i="1" s="1"/>
  <c r="P1197" i="1" s="1"/>
  <c r="Q1197" i="1"/>
  <c r="V1197" i="1"/>
  <c r="Z1197" i="1"/>
  <c r="F1198" i="1"/>
  <c r="G1198" i="1"/>
  <c r="I1198" i="1"/>
  <c r="N1198" i="1"/>
  <c r="O1198" i="1" s="1"/>
  <c r="P1198" i="1" s="1"/>
  <c r="Q1198" i="1"/>
  <c r="V1198" i="1"/>
  <c r="Z1198" i="1"/>
  <c r="F1199" i="1"/>
  <c r="G1199" i="1"/>
  <c r="I1199" i="1"/>
  <c r="N1199" i="1"/>
  <c r="O1199" i="1" s="1"/>
  <c r="P1199" i="1" s="1"/>
  <c r="Q1199" i="1"/>
  <c r="V1199" i="1"/>
  <c r="Z1199" i="1"/>
  <c r="F1200" i="1"/>
  <c r="G1200" i="1"/>
  <c r="I1200" i="1"/>
  <c r="N1200" i="1"/>
  <c r="O1200" i="1" s="1"/>
  <c r="P1200" i="1" s="1"/>
  <c r="Q1200" i="1"/>
  <c r="V1200" i="1"/>
  <c r="Z1200" i="1"/>
  <c r="F1201" i="1"/>
  <c r="G1201" i="1"/>
  <c r="I1201" i="1"/>
  <c r="N1201" i="1"/>
  <c r="O1201" i="1" s="1"/>
  <c r="P1201" i="1" s="1"/>
  <c r="Q1201" i="1"/>
  <c r="V1201" i="1"/>
  <c r="Z1201" i="1"/>
  <c r="F1202" i="1"/>
  <c r="G1202" i="1"/>
  <c r="I1202" i="1"/>
  <c r="N1202" i="1"/>
  <c r="O1202" i="1" s="1"/>
  <c r="P1202" i="1" s="1"/>
  <c r="Q1202" i="1"/>
  <c r="V1202" i="1"/>
  <c r="Z1202" i="1"/>
  <c r="F1203" i="1"/>
  <c r="G1203" i="1"/>
  <c r="I1203" i="1"/>
  <c r="N1203" i="1"/>
  <c r="O1203" i="1" s="1"/>
  <c r="P1203" i="1" s="1"/>
  <c r="Q1203" i="1"/>
  <c r="V1203" i="1"/>
  <c r="Z1203" i="1"/>
  <c r="F1204" i="1"/>
  <c r="G1204" i="1"/>
  <c r="I1204" i="1"/>
  <c r="N1204" i="1"/>
  <c r="O1204" i="1" s="1"/>
  <c r="P1204" i="1" s="1"/>
  <c r="Q1204" i="1"/>
  <c r="V1204" i="1"/>
  <c r="Z1204" i="1"/>
  <c r="F1205" i="1"/>
  <c r="G1205" i="1"/>
  <c r="I1205" i="1"/>
  <c r="N1205" i="1"/>
  <c r="O1205" i="1" s="1"/>
  <c r="P1205" i="1" s="1"/>
  <c r="Q1205" i="1"/>
  <c r="V1205" i="1"/>
  <c r="Z1205" i="1"/>
  <c r="F1206" i="1"/>
  <c r="G1206" i="1"/>
  <c r="I1206" i="1"/>
  <c r="N1206" i="1"/>
  <c r="O1206" i="1" s="1"/>
  <c r="P1206" i="1" s="1"/>
  <c r="Q1206" i="1"/>
  <c r="V1206" i="1"/>
  <c r="Z1206" i="1"/>
  <c r="F1207" i="1"/>
  <c r="G1207" i="1"/>
  <c r="I1207" i="1"/>
  <c r="N1207" i="1"/>
  <c r="O1207" i="1" s="1"/>
  <c r="P1207" i="1" s="1"/>
  <c r="Q1207" i="1"/>
  <c r="V1207" i="1"/>
  <c r="Z1207" i="1"/>
  <c r="F1208" i="1"/>
  <c r="G1208" i="1"/>
  <c r="I1208" i="1"/>
  <c r="N1208" i="1"/>
  <c r="O1208" i="1" s="1"/>
  <c r="P1208" i="1" s="1"/>
  <c r="Q1208" i="1"/>
  <c r="V1208" i="1"/>
  <c r="Z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V1211" i="1"/>
  <c r="Z1211" i="1"/>
  <c r="F1212" i="1"/>
  <c r="G1212" i="1"/>
  <c r="I1212" i="1"/>
  <c r="N1212" i="1"/>
  <c r="O1212" i="1" s="1"/>
  <c r="P1212" i="1" s="1"/>
  <c r="Q1212" i="1"/>
  <c r="V1212" i="1"/>
  <c r="Z1212" i="1"/>
  <c r="F1213" i="1"/>
  <c r="G1213" i="1"/>
  <c r="I1213" i="1"/>
  <c r="N1213" i="1"/>
  <c r="O1213" i="1" s="1"/>
  <c r="P1213" i="1" s="1"/>
  <c r="Q1213" i="1"/>
  <c r="V1213" i="1"/>
  <c r="Z1213" i="1"/>
  <c r="F1214" i="1"/>
  <c r="G1214" i="1"/>
  <c r="I1214" i="1"/>
  <c r="N1214" i="1"/>
  <c r="O1214" i="1" s="1"/>
  <c r="P1214" i="1" s="1"/>
  <c r="Q1214" i="1"/>
  <c r="V1214" i="1"/>
  <c r="Z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I1217" i="1"/>
  <c r="N1217" i="1"/>
  <c r="O1217" i="1" s="1"/>
  <c r="P1217" i="1" s="1"/>
  <c r="Q1217" i="1"/>
  <c r="V1217" i="1"/>
  <c r="Z1217" i="1"/>
  <c r="F1218" i="1"/>
  <c r="G1218" i="1"/>
  <c r="I1218" i="1"/>
  <c r="N1218" i="1"/>
  <c r="O1218" i="1" s="1"/>
  <c r="P1218" i="1" s="1"/>
  <c r="Q1218" i="1"/>
  <c r="V1218" i="1"/>
  <c r="Z1218" i="1"/>
  <c r="F1219" i="1"/>
  <c r="G1219" i="1"/>
  <c r="I1219" i="1"/>
  <c r="N1219" i="1"/>
  <c r="O1219" i="1" s="1"/>
  <c r="P1219" i="1" s="1"/>
  <c r="Q1219" i="1"/>
  <c r="V1219" i="1"/>
  <c r="Z1219" i="1"/>
  <c r="F1220" i="1"/>
  <c r="G1220" i="1"/>
  <c r="I1220" i="1"/>
  <c r="N1220" i="1"/>
  <c r="O1220" i="1" s="1"/>
  <c r="P1220" i="1" s="1"/>
  <c r="Q1220" i="1"/>
  <c r="V1220" i="1"/>
  <c r="Z1220" i="1"/>
  <c r="F1221" i="1"/>
  <c r="G1221" i="1"/>
  <c r="I1221" i="1"/>
  <c r="N1221" i="1"/>
  <c r="O1221" i="1" s="1"/>
  <c r="P1221" i="1" s="1"/>
  <c r="Q1221" i="1"/>
  <c r="V1221" i="1"/>
  <c r="Z1221" i="1"/>
  <c r="F1222" i="1"/>
  <c r="G1222" i="1"/>
  <c r="I1222" i="1"/>
  <c r="N1222" i="1"/>
  <c r="O1222" i="1" s="1"/>
  <c r="P1222" i="1" s="1"/>
  <c r="Q1222" i="1"/>
  <c r="V1222" i="1"/>
  <c r="Z1222" i="1"/>
  <c r="F1223" i="1"/>
  <c r="G1223" i="1"/>
  <c r="I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1104" i="1" l="1"/>
  <c r="P1104" i="1" s="1"/>
  <c r="W1104" i="1"/>
  <c r="O1068" i="1"/>
  <c r="P1068" i="1" s="1"/>
  <c r="O1099" i="1"/>
  <c r="P1099" i="1" s="1"/>
  <c r="W1099" i="1"/>
  <c r="O1098" i="1"/>
  <c r="P1098" i="1" s="1"/>
  <c r="W1098" i="1"/>
  <c r="O1097" i="1"/>
  <c r="P1097" i="1" s="1"/>
  <c r="W1097" i="1"/>
  <c r="O1041" i="1"/>
  <c r="P1041" i="1" s="1"/>
  <c r="O1059" i="1"/>
  <c r="P1059" i="1" s="1"/>
  <c r="W1059" i="1"/>
  <c r="O963" i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W788" i="1"/>
  <c r="N825" i="1"/>
  <c r="N831" i="1"/>
  <c r="N841" i="1"/>
  <c r="N844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<sst xmlns="http://schemas.openxmlformats.org/spreadsheetml/2006/main" count="30255" uniqueCount="25015">
  <si>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</si>
  <si>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</si>
  <si>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</si>
  <si>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</si>
  <si>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</si>
  <si>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</si>
  <si>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</si>
  <si>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</si>
  <si>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</si>
  <si>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</si>
  <si>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</si>
  <si>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</si>
  <si>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</si>
  <si>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</si>
  <si>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</si>
  <si>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</si>
  <si>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</si>
  <si>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</si>
  <si>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</si>
  <si>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</si>
  <si>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</si>
  <si>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</si>
  <si>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</si>
  <si>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</si>
  <si>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</si>
  <si>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</si>
  <si>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</si>
  <si>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</si>
  <si>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</si>
  <si>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</si>
  <si>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</si>
  <si>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</si>
  <si>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</si>
  <si>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</si>
  <si>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</si>
  <si>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</si>
  <si>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</si>
  <si>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</si>
  <si>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</si>
  <si>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</si>
  <si>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</si>
  <si>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</si>
  <si>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</si>
  <si>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</si>
  <si>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</si>
  <si>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</si>
  <si>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</si>
  <si>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</si>
  <si>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</si>
  <si>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</si>
  <si>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</si>
  <si>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</si>
  <si>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</si>
  <si>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</si>
  <si>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</si>
  <si>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</si>
  <si>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</si>
  <si>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</si>
  <si>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</si>
  <si>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</si>
  <si>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</si>
  <si>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</si>
  <si>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</si>
  <si>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</si>
  <si>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</si>
  <si>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</si>
  <si>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</si>
  <si>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</si>
  <si>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</si>
  <si>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</si>
  <si>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</si>
  <si>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</si>
  <si>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</si>
  <si>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</si>
  <si>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</si>
  <si>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</si>
  <si>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</si>
  <si>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</si>
  <si>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</si>
  <si>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</si>
  <si>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</si>
  <si>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</si>
  <si>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</si>
  <si>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</si>
  <si>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</si>
  <si>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</si>
  <si>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</si>
  <si>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</si>
  <si>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</si>
  <si>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</si>
  <si>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</si>
  <si>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</si>
  <si>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</si>
  <si>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</si>
  <si>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</si>
  <si>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</si>
  <si>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</si>
  <si>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</si>
  <si>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</si>
  <si>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</si>
  <si>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</si>
  <si>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</si>
  <si>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</si>
  <si>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</si>
  <si>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</si>
  <si>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</si>
  <si>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</si>
  <si>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</si>
  <si>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</si>
  <si>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</si>
  <si>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</si>
  <si>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</si>
  <si>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</si>
  <si>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</si>
  <si>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</si>
  <si>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</si>
  <si>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</si>
  <si>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</si>
  <si>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</si>
  <si>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</si>
  <si>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</si>
  <si>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</si>
  <si>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</si>
  <si>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</si>
  <si>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</si>
  <si>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</si>
  <si>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</si>
  <si>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</si>
  <si>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</si>
  <si>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</si>
  <si>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</si>
  <si>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</si>
  <si>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</si>
  <si>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</si>
  <si>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</si>
  <si>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</si>
  <si>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</si>
  <si>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</si>
  <si>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</si>
  <si>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</si>
  <si>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</si>
  <si>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</si>
  <si>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</si>
  <si>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</si>
  <si>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</si>
  <si>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</si>
  <si>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</si>
  <si>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</si>
  <si>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</si>
  <si>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</si>
  <si>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</si>
  <si>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</si>
  <si>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</si>
  <si>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</si>
  <si>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</si>
  <si>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</si>
  <si>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</si>
  <si>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</si>
  <si>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</si>
  <si>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</si>
  <si>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</si>
  <si>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</si>
  <si>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</si>
  <si>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</si>
  <si>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</si>
  <si>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</si>
  <si>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</si>
  <si>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</si>
  <si>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</si>
  <si>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</si>
  <si>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</si>
  <si>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</si>
  <si>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</si>
  <si>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</si>
  <si>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</si>
  <si>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</si>
  <si>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</si>
  <si>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</si>
  <si>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</si>
  <si>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</si>
  <si>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</si>
  <si>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</si>
  <si>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</si>
  <si>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</si>
  <si>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</si>
  <si>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</si>
  <si>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</si>
  <si>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</si>
  <si>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</si>
  <si>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</si>
  <si>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</si>
  <si>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</si>
  <si>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</si>
  <si>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</si>
  <si>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</si>
  <si>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</si>
  <si>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</si>
  <si>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</si>
  <si>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</si>
  <si>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</si>
  <si>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</si>
  <si>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</si>
  <si>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</si>
  <si>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</si>
  <si>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</si>
  <si>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</si>
  <si>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</si>
  <si>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</si>
  <si>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</si>
  <si>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</si>
  <si>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</si>
  <si>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</si>
  <si>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</si>
  <si>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</si>
  <si>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</si>
  <si>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</si>
  <si>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</si>
  <si>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</si>
  <si>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</si>
  <si>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</si>
  <si>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</si>
  <si>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</si>
  <si>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</si>
  <si>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</si>
  <si>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</si>
  <si>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</si>
  <si>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</si>
  <si>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</si>
  <si>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</si>
  <si>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</si>
  <si>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</si>
  <si>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</si>
  <si>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</si>
  <si>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</si>
  <si>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</si>
  <si>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</si>
  <si>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</si>
  <si>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</si>
  <si>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</si>
  <si>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</si>
  <si>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</si>
  <si>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</si>
  <si>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</si>
  <si>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</si>
  <si>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</si>
  <si>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</si>
  <si>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</si>
  <si>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</si>
  <si>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</si>
  <si>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</si>
  <si>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</si>
  <si>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</si>
  <si>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</si>
  <si>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</si>
  <si>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</si>
  <si>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</si>
  <si>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</si>
  <si>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</si>
  <si>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</si>
  <si>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</si>
  <si>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</si>
  <si>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</si>
  <si>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</si>
  <si>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</si>
  <si>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</si>
  <si>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</si>
  <si>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</si>
  <si>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</si>
  <si>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</si>
  <si>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</si>
  <si>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</si>
  <si>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</si>
  <si>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</si>
  <si>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</si>
  <si>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</si>
  <si>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</si>
  <si>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</si>
  <si>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</si>
  <si>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</si>
  <si>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</si>
  <si>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</si>
  <si>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</si>
  <si>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</si>
  <si>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</si>
  <si>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</si>
  <si>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</si>
  <si>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</si>
  <si>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</si>
  <si>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</si>
  <si>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</si>
  <si>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</si>
  <si>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</si>
  <si>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</si>
  <si>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</si>
  <si>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</si>
  <si>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</si>
  <si>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</si>
  <si>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</si>
  <si>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</si>
  <si>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</si>
  <si>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</si>
  <si>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</si>
  <si>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</si>
  <si>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</si>
  <si>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</si>
  <si>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</si>
  <si>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</si>
  <si>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</si>
  <si>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</si>
  <si>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</si>
  <si>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</si>
  <si>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</si>
  <si>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</si>
  <si>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</si>
  <si>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</si>
  <si>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</si>
  <si>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</si>
  <si>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</si>
  <si>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</si>
  <si>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</si>
  <si>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</si>
  <si>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</si>
  <si>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</si>
  <si>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</si>
  <si>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</si>
  <si>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</si>
  <si>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</si>
  <si>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</si>
  <si>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</si>
  <si>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</si>
  <si>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</si>
  <si>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</si>
  <si>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</si>
  <si>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</si>
  <si>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</si>
  <si>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</si>
  <si>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</si>
  <si>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</si>
  <si>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</si>
  <si>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</si>
  <si>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</si>
  <si>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</si>
  <si>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</si>
  <si>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</si>
  <si>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</si>
  <si>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</si>
  <si>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</si>
  <si>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</si>
  <si>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</si>
  <si>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</si>
  <si>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</si>
  <si>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</si>
  <si>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</si>
  <si>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</si>
  <si>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</si>
  <si>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</si>
  <si>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</si>
  <si>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</si>
  <si>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</si>
  <si>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</si>
  <si>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</si>
  <si>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</si>
  <si>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</si>
  <si>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</si>
  <si>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</si>
  <si>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</si>
  <si>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</si>
  <si>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</si>
  <si>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</si>
  <si>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</si>
  <si>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</si>
  <si>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</si>
  <si>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</si>
  <si>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</si>
  <si>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</si>
  <si>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</si>
  <si>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</si>
  <si>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</si>
  <si>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</si>
  <si>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</si>
  <si>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</si>
  <si>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</si>
  <si>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</si>
  <si>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</si>
  <si>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</si>
  <si>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</si>
  <si>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</si>
  <si>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</si>
  <si>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</si>
  <si>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</si>
  <si>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</si>
  <si>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</si>
  <si>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</si>
  <si>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</si>
  <si>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</si>
  <si>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</si>
  <si>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</si>
  <si>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</si>
  <si>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</si>
  <si>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</si>
  <si>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</si>
  <si>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</si>
  <si>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</si>
  <si>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</si>
  <si>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</si>
  <si>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</si>
  <si>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</si>
  <si>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</si>
  <si>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</si>
  <si>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</si>
  <si>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</si>
  <si>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</si>
  <si>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</si>
  <si>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</si>
  <si>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</si>
  <si>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</si>
  <si>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</si>
  <si>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</si>
  <si>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</si>
  <si>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</si>
  <si>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</si>
  <si>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</si>
  <si>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</si>
  <si>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</si>
  <si>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</si>
  <si>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</si>
  <si>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</si>
  <si>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</si>
  <si>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</si>
  <si>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</si>
  <si>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</si>
  <si>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</si>
  <si>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</si>
  <si>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</si>
  <si>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</si>
  <si>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</si>
  <si>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</si>
  <si>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</si>
  <si>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</si>
  <si>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</si>
  <si>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</si>
  <si>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</si>
  <si>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</si>
  <si>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</si>
  <si>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</si>
  <si>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</si>
  <si>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</si>
  <si>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</si>
  <si>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</si>
  <si>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</si>
  <si>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</si>
  <si>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</si>
  <si>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</si>
  <si>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</si>
  <si>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</si>
  <si>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</si>
  <si>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</si>
  <si>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</si>
  <si>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</si>
  <si>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</si>
  <si>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</si>
  <si>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</si>
  <si>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</si>
  <si>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</si>
  <si>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</si>
  <si>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</si>
  <si>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</si>
  <si>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</si>
  <si>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</si>
  <si>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</si>
  <si>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</si>
  <si>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</si>
  <si>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</si>
  <si>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</si>
  <si>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</si>
  <si>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</si>
  <si>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</si>
  <si>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</si>
  <si>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</si>
  <si>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</si>
  <si>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</si>
  <si>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</si>
  <si>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</si>
  <si>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</si>
  <si>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</si>
  <si>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</si>
  <si>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</si>
  <si>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</si>
  <si>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</si>
  <si>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</si>
  <si>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</si>
  <si>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</si>
  <si>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</si>
  <si>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</si>
  <si>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</si>
  <si>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</si>
  <si>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</si>
  <si>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</si>
  <si>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</si>
  <si>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</si>
  <si>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</si>
  <si>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</si>
  <si>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</si>
  <si>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</si>
  <si>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</si>
  <si>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</si>
  <si>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</si>
  <si>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</si>
  <si>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</si>
  <si>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</si>
  <si>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</si>
  <si>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</si>
  <si>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</si>
  <si>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</si>
  <si>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</si>
  <si>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</si>
  <si>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</si>
  <si>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</si>
  <si>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</si>
  <si>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</si>
  <si>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</si>
  <si>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</si>
  <si>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</si>
  <si>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</si>
  <si>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</si>
  <si>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</si>
  <si>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</si>
  <si>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</si>
  <si>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</si>
  <si>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</si>
  <si>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</si>
  <si>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</si>
  <si>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</si>
  <si>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</si>
  <si>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</si>
  <si>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</si>
  <si>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</si>
  <si>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</si>
  <si>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</si>
  <si>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</si>
  <si>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</si>
  <si>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</si>
  <si>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</si>
  <si>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</si>
  <si>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</si>
  <si>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</si>
  <si>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</si>
  <si>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</si>
  <si>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</si>
  <si>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</si>
  <si>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</si>
  <si>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</si>
  <si>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</si>
  <si>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</si>
  <si>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</si>
  <si>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</si>
  <si>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</si>
  <si>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</si>
  <si>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</si>
  <si>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</si>
  <si>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</si>
  <si>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</si>
  <si>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</si>
  <si>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</si>
  <si>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</si>
  <si>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</si>
  <si>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</si>
  <si>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</si>
  <si>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</si>
  <si>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</si>
  <si>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</si>
  <si>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</si>
  <si>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</si>
  <si>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</si>
  <si>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</si>
  <si>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</si>
  <si>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</si>
  <si>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</si>
  <si>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</si>
  <si>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</si>
  <si>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</si>
  <si>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</si>
  <si>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</si>
  <si>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</si>
  <si>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</si>
  <si>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</si>
  <si>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</si>
  <si>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</si>
  <si>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</si>
  <si>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</si>
  <si>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</si>
  <si>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</si>
  <si>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</si>
  <si>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</si>
  <si>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</si>
  <si>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</si>
  <si>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</si>
  <si>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</si>
  <si>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</si>
  <si>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</si>
  <si>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</si>
  <si>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</si>
  <si>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</si>
  <si>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</si>
  <si>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</si>
  <si>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</si>
  <si>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</si>
  <si>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</si>
  <si>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</si>
  <si>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</si>
  <si>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</si>
  <si>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</si>
  <si>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</si>
  <si>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</si>
  <si>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</si>
  <si>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</si>
  <si>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</si>
  <si>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</si>
  <si>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</si>
  <si>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</si>
  <si>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</si>
  <si>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</si>
  <si>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</si>
  <si>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</si>
  <si>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</si>
  <si>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</si>
  <si>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</si>
  <si>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</si>
  <si>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</si>
  <si>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</si>
  <si>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</si>
  <si>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</si>
  <si>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</si>
  <si>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</si>
  <si>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</si>
  <si>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</si>
  <si>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</si>
  <si>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</si>
  <si>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</si>
  <si>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</si>
  <si>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</si>
  <si>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</si>
  <si>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</si>
  <si>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</si>
  <si>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</si>
  <si>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</si>
  <si>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</si>
  <si>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</si>
  <si>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</si>
  <si>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</si>
  <si>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</si>
  <si>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</si>
  <si>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</si>
  <si>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</si>
  <si>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</si>
  <si>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</si>
  <si>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</si>
  <si>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</si>
  <si>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</si>
  <si>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</si>
  <si>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</si>
  <si>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</si>
  <si>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</si>
  <si>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</si>
  <si>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</si>
  <si>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</si>
  <si>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</si>
  <si>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</si>
  <si>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</si>
  <si>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</si>
  <si>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</si>
  <si>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</si>
  <si>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</si>
  <si>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</si>
  <si>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</si>
  <si>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</si>
  <si>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</si>
  <si>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</si>
  <si>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</si>
  <si>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</si>
  <si>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</si>
  <si>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</si>
  <si>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</si>
  <si>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</si>
  <si>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</si>
  <si>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</si>
  <si>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</si>
  <si>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</si>
  <si>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</si>
  <si>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</si>
  <si>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</si>
  <si>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</si>
  <si>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</si>
  <si>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</si>
  <si>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</si>
  <si>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</si>
  <si>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</si>
  <si>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</si>
  <si>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</si>
  <si>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</si>
  <si>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</si>
  <si>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</si>
  <si>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</si>
  <si>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</si>
  <si>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</si>
  <si>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</si>
  <si>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</si>
  <si>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</si>
  <si>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</si>
  <si>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</si>
  <si>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</si>
  <si>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</si>
  <si>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</si>
  <si>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</si>
  <si>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</si>
  <si>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</si>
  <si>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</si>
  <si>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</si>
  <si>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</si>
  <si>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</si>
  <si>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</si>
  <si>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</si>
  <si>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</si>
  <si>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</si>
  <si>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</si>
  <si>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</si>
  <si>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</si>
  <si>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</si>
  <si>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</si>
  <si>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</si>
  <si>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</si>
  <si>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</si>
  <si>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</si>
  <si>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</si>
  <si>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</si>
  <si>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</si>
  <si>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</si>
  <si>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</si>
  <si>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</si>
  <si>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</si>
  <si>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</si>
  <si>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</si>
  <si>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</si>
  <si>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</si>
  <si>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</si>
  <si>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</si>
  <si>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</si>
  <si>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</si>
  <si>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</si>
  <si>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</si>
  <si>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</si>
  <si>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</si>
  <si>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</si>
  <si>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</si>
  <si>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</si>
  <si>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</si>
  <si>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</si>
  <si>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</si>
  <si>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</si>
  <si>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</si>
  <si>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</si>
  <si>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</si>
  <si>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</si>
  <si>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</si>
  <si>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</si>
  <si>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</si>
  <si>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</si>
  <si>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</si>
  <si>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</si>
  <si>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</si>
  <si>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</si>
  <si>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</si>
  <si>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</si>
  <si>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</si>
  <si>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</si>
  <si>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</si>
  <si>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</si>
  <si>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</si>
  <si>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</si>
  <si>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</si>
  <si>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</si>
  <si>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</si>
  <si>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</si>
  <si>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</si>
  <si>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</si>
  <si>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</si>
  <si>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</si>
  <si>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</si>
  <si>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</si>
  <si>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</si>
  <si>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</si>
  <si>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</si>
  <si>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</si>
  <si>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</si>
  <si>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</si>
  <si>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</si>
  <si>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</si>
  <si>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</si>
  <si>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</si>
  <si>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</si>
  <si>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</si>
  <si>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</si>
  <si>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</si>
  <si>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</si>
  <si>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</si>
  <si>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</si>
  <si>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</si>
  <si>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</si>
  <si>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</si>
  <si>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</si>
  <si>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</si>
  <si>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</si>
  <si>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</si>
  <si>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</si>
  <si>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</si>
  <si>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</si>
  <si>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</si>
  <si>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</si>
  <si>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</si>
  <si>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</si>
  <si>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</si>
  <si>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</si>
  <si>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</si>
  <si>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</si>
  <si>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</si>
  <si>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</si>
  <si>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</si>
  <si>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</si>
  <si>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</si>
  <si>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</si>
  <si>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</si>
  <si>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</si>
  <si>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</si>
  <si>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</si>
  <si>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</si>
  <si>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</si>
  <si>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</si>
  <si>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</si>
  <si>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</si>
  <si>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</si>
  <si>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</si>
  <si>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</si>
  <si>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</si>
  <si>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</si>
  <si>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</si>
  <si>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</si>
  <si>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</si>
  <si>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</si>
  <si>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</si>
  <si>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</si>
  <si>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</si>
  <si>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</si>
  <si>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</si>
  <si>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</si>
  <si>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</si>
  <si>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</si>
  <si>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</si>
  <si>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</si>
  <si>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</si>
  <si>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</si>
  <si>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</si>
  <si>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</si>
  <si>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</si>
  <si>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</si>
  <si>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</si>
  <si>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</si>
  <si>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</si>
  <si>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</si>
  <si>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</si>
  <si>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</si>
  <si>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</si>
  <si>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</si>
  <si>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</si>
  <si>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</si>
  <si>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</si>
  <si>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</si>
  <si>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</si>
  <si>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</si>
  <si>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</si>
  <si>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</si>
  <si>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</si>
  <si>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</si>
  <si>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</si>
  <si>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</si>
  <si>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</si>
  <si>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</si>
  <si>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</si>
  <si>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</si>
  <si>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</si>
  <si>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</si>
  <si>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</si>
  <si>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</si>
  <si>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</si>
  <si>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</si>
  <si>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</si>
  <si>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</si>
  <si>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</si>
  <si>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</si>
  <si>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</si>
  <si>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</si>
  <si>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</si>
  <si>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</si>
  <si>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</si>
  <si>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</si>
  <si>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</si>
  <si>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</si>
  <si>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</si>
  <si>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</si>
  <si>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</si>
  <si>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</si>
  <si>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</si>
  <si>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</si>
  <si>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</si>
  <si>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</si>
  <si>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</si>
  <si>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</si>
  <si>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</si>
  <si>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</si>
  <si>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</si>
  <si>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</si>
  <si>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</si>
  <si>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</si>
  <si>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</si>
  <si>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</si>
  <si>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</si>
  <si>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</si>
  <si>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</si>
  <si>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</si>
  <si>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</si>
  <si>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</si>
  <si>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</si>
  <si>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</si>
  <si>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</si>
  <si>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</si>
  <si>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</si>
  <si>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</si>
  <si>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</si>
  <si>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</si>
  <si>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</si>
  <si>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</si>
  <si>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</si>
  <si>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</si>
  <si>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</si>
  <si>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</si>
  <si>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</si>
  <si>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</si>
  <si>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</si>
  <si>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</si>
  <si>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</si>
  <si>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</si>
  <si>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</si>
  <si>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</si>
  <si>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</si>
  <si>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</si>
  <si>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</si>
  <si>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</si>
  <si>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</si>
  <si>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</si>
  <si>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</si>
  <si>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</si>
  <si>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</si>
  <si>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</si>
  <si>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</si>
  <si>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</si>
  <si>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</si>
  <si>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</si>
  <si>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</si>
  <si>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</si>
  <si>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</si>
  <si>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</si>
  <si>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</si>
  <si>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</si>
  <si>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</si>
  <si>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</si>
  <si>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</si>
  <si>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</si>
  <si>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</si>
  <si>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</si>
  <si>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</si>
  <si>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</si>
  <si>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</si>
  <si>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</si>
  <si>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</si>
  <si>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</si>
  <si>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</si>
  <si>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</si>
  <si>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</si>
  <si>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</si>
  <si>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</si>
  <si>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</si>
  <si>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</si>
  <si>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</si>
  <si>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</si>
  <si>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</si>
  <si>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</si>
  <si>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</si>
  <si>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</si>
  <si>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</si>
  <si>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</si>
  <si>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</si>
  <si>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</si>
  <si>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</si>
  <si>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</si>
  <si>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</si>
  <si>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</si>
  <si>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</si>
  <si>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</si>
  <si>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</si>
  <si>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</si>
  <si>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</si>
  <si>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</si>
  <si>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</si>
  <si>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</si>
  <si>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</si>
  <si>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</si>
  <si>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</si>
  <si>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</si>
  <si>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</si>
  <si>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</si>
  <si>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</si>
  <si>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</si>
  <si>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</si>
  <si>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</si>
  <si>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</si>
  <si>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</si>
  <si>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</si>
  <si>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</si>
  <si>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</si>
  <si>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</si>
  <si>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</si>
  <si>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</si>
  <si>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</si>
  <si>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</si>
  <si>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</si>
  <si>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</si>
  <si>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</si>
  <si>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</si>
  <si>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</si>
  <si>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</si>
  <si>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</si>
  <si>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</si>
  <si>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</si>
  <si>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</si>
  <si>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</si>
  <si>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</si>
  <si>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</si>
  <si>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</si>
  <si>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</si>
  <si>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</si>
  <si>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</si>
  <si>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</si>
  <si>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</si>
  <si>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</si>
  <si>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</si>
  <si>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</si>
  <si>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</si>
  <si>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</si>
  <si>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</si>
  <si>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</si>
  <si>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</si>
  <si>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</si>
  <si>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</si>
  <si>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</si>
  <si>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</si>
  <si>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</si>
  <si>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</si>
  <si>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</si>
  <si>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</si>
  <si>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</si>
  <si>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</si>
  <si>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</si>
  <si>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</si>
  <si>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</si>
  <si>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</si>
  <si>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</si>
  <si>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</si>
  <si>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</si>
  <si>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</si>
  <si>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</si>
  <si>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</si>
  <si>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</si>
  <si>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</si>
  <si>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</si>
  <si>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</si>
  <si>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</si>
  <si>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</si>
  <si>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</si>
  <si>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</si>
  <si>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</si>
  <si>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</si>
  <si>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</si>
  <si>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</si>
  <si>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</si>
  <si>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</si>
  <si>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</si>
  <si>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</si>
  <si>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</si>
  <si>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</si>
  <si>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</si>
  <si>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</si>
  <si>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</si>
  <si>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</si>
  <si>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</si>
  <si>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</si>
  <si>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</si>
  <si>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</si>
  <si>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</si>
  <si>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</si>
  <si>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</si>
  <si>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</si>
  <si>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</si>
  <si>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</si>
  <si>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</si>
  <si>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</si>
  <si>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</si>
  <si>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</si>
  <si>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</si>
  <si>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</si>
  <si>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</si>
  <si>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</si>
  <si>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</si>
  <si>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</si>
  <si>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</si>
  <si>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</si>
  <si>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</si>
  <si>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</si>
  <si>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</si>
  <si>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</si>
  <si>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</si>
  <si>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</si>
  <si>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</si>
  <si>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</si>
  <si>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</si>
  <si>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</si>
  <si>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</si>
  <si>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</si>
  <si>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</si>
  <si>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</si>
  <si>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</si>
  <si>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</si>
  <si>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</si>
  <si>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</si>
  <si>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</si>
  <si>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</si>
  <si>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</si>
  <si>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</si>
  <si>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</si>
  <si>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</si>
  <si>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</si>
  <si>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</si>
  <si>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</si>
  <si>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</si>
  <si>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</si>
  <si>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</si>
  <si>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</si>
  <si>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</si>
  <si>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</si>
  <si>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</si>
  <si>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</si>
  <si>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</si>
  <si>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</si>
  <si>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</si>
  <si>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</si>
  <si>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</si>
  <si>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</si>
  <si>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</si>
  <si>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</si>
  <si>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</si>
  <si>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</si>
  <si>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</si>
  <si>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</si>
  <si>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</si>
  <si>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</si>
  <si>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</si>
  <si>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</si>
  <si>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</si>
  <si>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</si>
  <si>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</si>
  <si>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</si>
  <si>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</si>
  <si>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</si>
  <si>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</si>
  <si>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</si>
  <si>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</si>
  <si>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</si>
  <si>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</si>
  <si>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</si>
  <si>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</si>
  <si>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</si>
  <si>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</si>
  <si>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</si>
  <si>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</si>
  <si>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</si>
  <si>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</si>
  <si>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</si>
  <si>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</si>
  <si>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</si>
  <si>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</si>
  <si>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</si>
  <si>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</si>
  <si>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</si>
  <si>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</si>
  <si>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</si>
  <si>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</si>
  <si>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</si>
  <si>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</si>
  <si>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</si>
  <si>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</si>
  <si>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</si>
  <si>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</si>
  <si>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</si>
  <si>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</si>
  <si>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</si>
  <si>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</si>
  <si>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</si>
  <si>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</si>
  <si>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</si>
  <si>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</si>
  <si>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</si>
  <si>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</si>
  <si>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</si>
  <si>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</si>
  <si>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</si>
  <si>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</si>
  <si>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</si>
  <si>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</si>
  <si>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</si>
  <si>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</si>
  <si>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</si>
  <si>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</si>
  <si>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</si>
  <si>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</si>
  <si>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</si>
  <si>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</si>
  <si>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</si>
  <si>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</si>
  <si>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</si>
  <si>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</si>
  <si>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</si>
  <si>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</si>
  <si>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</si>
  <si>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</si>
  <si>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</si>
  <si>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</si>
  <si>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</si>
  <si>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</si>
  <si>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</si>
  <si>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</si>
  <si>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</si>
  <si>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</si>
  <si>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</si>
  <si>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</si>
  <si>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</si>
  <si>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</si>
  <si>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</si>
  <si>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</si>
  <si>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</si>
  <si>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</si>
  <si>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</si>
  <si>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</si>
  <si>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</si>
  <si>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</si>
  <si>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</si>
  <si>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</si>
  <si>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</si>
  <si>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</si>
  <si>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</si>
  <si>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</si>
  <si>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</si>
  <si>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</si>
  <si>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</si>
  <si>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</si>
  <si>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</si>
  <si>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</si>
  <si>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</si>
  <si>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</si>
  <si>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</si>
  <si>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</si>
  <si>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</si>
  <si>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</si>
  <si>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</si>
  <si>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</si>
  <si>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</si>
  <si>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</si>
  <si>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</si>
  <si>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</si>
  <si>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</si>
  <si>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</si>
  <si>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</si>
  <si>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</si>
  <si>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</si>
  <si>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</si>
  <si>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</si>
  <si>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</si>
  <si>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</si>
  <si>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</si>
  <si>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</si>
  <si>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</si>
  <si>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</si>
  <si>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</si>
  <si>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</si>
  <si>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</si>
  <si>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</si>
  <si>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</si>
  <si>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</si>
  <si>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</si>
  <si>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</si>
  <si>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</si>
  <si>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</si>
  <si>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</si>
  <si>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</si>
  <si>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</si>
  <si>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</si>
  <si>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</si>
  <si>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</si>
  <si>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</si>
  <si>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</si>
  <si>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</si>
  <si>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</si>
  <si>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</si>
  <si>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</si>
  <si>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</si>
  <si>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</si>
  <si>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</si>
  <si>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</si>
  <si>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</si>
  <si>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</si>
  <si>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</si>
  <si>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</si>
  <si>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</si>
  <si>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</si>
  <si>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</si>
  <si>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</si>
  <si>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</si>
  <si>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</si>
  <si>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</si>
  <si>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</si>
  <si>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</si>
  <si>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</si>
  <si>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</si>
  <si>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</si>
  <si>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</si>
  <si>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</si>
  <si>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</si>
  <si>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</si>
  <si>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</si>
  <si>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</si>
  <si>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</si>
  <si>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</si>
  <si>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</si>
  <si>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</si>
  <si>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</si>
  <si>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</si>
  <si>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</si>
  <si>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</si>
  <si>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</si>
  <si>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</si>
  <si>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</si>
  <si>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</si>
  <si>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</si>
  <si>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</si>
  <si>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</si>
  <si>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</si>
  <si>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</si>
  <si>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</si>
  <si>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</si>
  <si>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</si>
  <si>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</si>
  <si>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</si>
  <si>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</si>
  <si>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</si>
  <si>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</si>
  <si>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</si>
  <si>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</si>
  <si>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</si>
  <si>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</si>
  <si>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</si>
  <si>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</si>
  <si>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</si>
  <si>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</si>
  <si>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</si>
  <si>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</si>
  <si>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</si>
  <si>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</si>
  <si>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</si>
  <si>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</si>
  <si>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</si>
  <si>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</si>
  <si>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</si>
  <si>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</si>
  <si>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</si>
  <si>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</si>
  <si>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</si>
  <si>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</si>
  <si>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</si>
  <si>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</si>
  <si>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</si>
  <si>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</si>
  <si>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</si>
  <si>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</si>
  <si>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</si>
  <si>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</si>
  <si>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</si>
  <si>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</si>
  <si>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</si>
  <si>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</si>
  <si>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</si>
  <si>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</si>
  <si>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</si>
  <si>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</si>
  <si>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</si>
  <si>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</si>
  <si>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</si>
  <si>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</si>
  <si>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</si>
  <si>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</si>
  <si>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</si>
  <si>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</si>
  <si>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</si>
  <si>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</si>
  <si>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</si>
  <si>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</si>
  <si>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</si>
  <si>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</si>
  <si>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</si>
  <si>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</si>
  <si>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</si>
  <si>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</si>
  <si>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</si>
  <si>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</si>
  <si>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</si>
  <si>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</si>
  <si>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</si>
  <si>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</si>
  <si>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</si>
  <si>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</si>
  <si>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</si>
  <si>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</si>
  <si>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</si>
  <si>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</si>
  <si>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</si>
  <si>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</si>
  <si>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</si>
  <si>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</si>
  <si>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</si>
  <si>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</si>
  <si>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</si>
  <si>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</si>
  <si>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</si>
  <si>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</si>
  <si>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</si>
  <si>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</si>
  <si>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</si>
  <si>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</si>
  <si>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</si>
  <si>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</si>
  <si>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</si>
  <si>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</si>
  <si>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</si>
  <si>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</si>
  <si>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</si>
  <si>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</si>
  <si>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</si>
  <si>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</si>
  <si>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</si>
  <si>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</si>
  <si>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</si>
  <si>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</si>
  <si>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</si>
  <si>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</si>
  <si>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</si>
  <si>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</si>
  <si>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</si>
  <si>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</si>
  <si>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</si>
  <si>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</si>
  <si>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</si>
  <si>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</si>
  <si>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</si>
  <si>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</si>
  <si>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</si>
  <si>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</si>
  <si>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</si>
  <si>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</si>
  <si>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</si>
  <si>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</si>
  <si>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</si>
  <si>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</si>
  <si>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</si>
  <si>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</si>
  <si>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</si>
  <si>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</si>
  <si>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</si>
  <si>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</si>
  <si>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</si>
  <si>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</si>
  <si>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</si>
  <si>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</si>
  <si>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</si>
  <si>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</si>
  <si>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</si>
  <si>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</si>
  <si>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</si>
  <si>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</si>
  <si>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</si>
  <si>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</si>
  <si>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</si>
  <si>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</si>
  <si>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</si>
  <si>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</si>
  <si>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</si>
  <si>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</si>
  <si>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</si>
  <si>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</si>
  <si>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</si>
  <si>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</si>
  <si>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</si>
  <si>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</si>
  <si>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</si>
  <si>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</si>
  <si>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</si>
  <si>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</si>
  <si>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</si>
  <si>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</si>
  <si>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</si>
  <si>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</si>
  <si>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</si>
  <si>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</si>
  <si>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</si>
  <si>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</si>
  <si>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</si>
  <si>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</si>
  <si>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</si>
  <si>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</si>
  <si>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</si>
  <si>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</si>
  <si>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</si>
  <si>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</si>
  <si>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</si>
  <si>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</si>
  <si>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</si>
  <si>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</si>
  <si>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</si>
  <si>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</si>
  <si>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</si>
  <si>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</si>
  <si>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</si>
  <si>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</si>
  <si>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</si>
  <si>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</si>
  <si>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</si>
  <si>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</si>
  <si>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</si>
  <si>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</si>
  <si>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</si>
  <si>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</si>
  <si>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</si>
  <si>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</si>
  <si>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</si>
  <si>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</si>
  <si>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</si>
  <si>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</si>
  <si>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</si>
  <si>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</si>
  <si>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</si>
  <si>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</si>
  <si>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</si>
  <si>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</si>
  <si>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</si>
  <si>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</si>
  <si>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</si>
  <si>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</si>
  <si>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</si>
  <si>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</si>
  <si>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</si>
  <si>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</si>
  <si>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</si>
  <si>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</si>
  <si>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</si>
  <si>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</si>
  <si>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</si>
  <si>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</si>
  <si>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</si>
  <si>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</si>
  <si>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</si>
  <si>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</si>
  <si>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</si>
  <si>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</si>
  <si>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</si>
  <si>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</si>
  <si>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</si>
  <si>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</si>
  <si>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</si>
  <si>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</si>
  <si>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</si>
  <si>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</si>
  <si>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</si>
  <si>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</si>
  <si>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</si>
  <si>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</si>
  <si>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</si>
  <si>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</si>
  <si>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</si>
  <si>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</si>
  <si>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</si>
  <si>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</si>
  <si>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</si>
  <si>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</si>
  <si>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</si>
  <si>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</si>
  <si>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</si>
  <si>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</si>
  <si>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</si>
  <si>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</si>
  <si>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</si>
  <si>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</si>
  <si>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</si>
  <si>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</si>
  <si>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</si>
  <si>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</si>
  <si>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</si>
  <si>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</si>
  <si>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</si>
  <si>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</si>
  <si>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</si>
  <si>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</si>
  <si>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</si>
  <si>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</si>
  <si>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</si>
  <si>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</si>
  <si>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</si>
  <si>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</si>
  <si>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</si>
  <si>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</si>
  <si>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</si>
  <si>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</si>
  <si>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</si>
  <si>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</si>
  <si>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</si>
  <si>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</si>
  <si>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</si>
  <si>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</si>
  <si>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</si>
  <si>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</si>
  <si>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</si>
  <si>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</si>
  <si>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</si>
  <si>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</si>
  <si>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</si>
  <si>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</si>
  <si>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</si>
  <si>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</si>
  <si>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</si>
  <si>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</si>
  <si>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</si>
  <si>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</si>
  <si>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</si>
  <si>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</si>
  <si>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</si>
  <si>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</si>
  <si>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</si>
  <si>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</si>
  <si>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</si>
  <si>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</si>
  <si>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</si>
  <si>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</si>
  <si>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</si>
  <si>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</si>
  <si>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</si>
  <si>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</si>
  <si>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</si>
  <si>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</si>
  <si>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</si>
  <si>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</si>
  <si>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</si>
  <si>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</si>
  <si>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</si>
  <si>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</si>
  <si>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</si>
  <si>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</si>
  <si>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</si>
  <si>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</si>
  <si>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</si>
  <si>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</si>
  <si>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</si>
  <si>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</si>
  <si>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</si>
  <si>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</si>
  <si>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</si>
  <si>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</si>
  <si>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</si>
  <si>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</si>
  <si>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</si>
  <si>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</si>
  <si>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</si>
  <si>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</si>
  <si>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</si>
  <si>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</si>
  <si>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</si>
  <si>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</si>
  <si>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</si>
  <si>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</si>
  <si>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</si>
  <si>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</si>
  <si>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</si>
  <si>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</si>
  <si>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</si>
  <si>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</si>
  <si>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</si>
  <si>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</si>
  <si>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</si>
  <si>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</si>
  <si>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</si>
  <si>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</si>
  <si>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</si>
  <si>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</si>
  <si>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</si>
  <si>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</si>
  <si>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</si>
  <si>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</si>
  <si>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</si>
  <si>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</si>
  <si>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</si>
  <si>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</si>
  <si>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</si>
  <si>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</si>
  <si>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</si>
  <si>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</si>
  <si>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</si>
  <si>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</si>
  <si>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</si>
  <si>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</si>
  <si>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</si>
  <si>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</si>
  <si>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</si>
  <si>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</si>
  <si>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</si>
  <si>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</si>
  <si>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</si>
  <si>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</si>
  <si>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</si>
  <si>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</si>
  <si>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</si>
  <si>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</si>
  <si>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</si>
  <si>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</si>
  <si>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</si>
  <si>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</si>
  <si>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</si>
  <si>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</si>
  <si>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</si>
  <si>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</si>
  <si>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</si>
  <si>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</si>
  <si>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</si>
  <si>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</si>
  <si>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</si>
  <si>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</si>
  <si>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</si>
  <si>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</si>
  <si>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</si>
  <si>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</si>
  <si>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</si>
  <si>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</si>
  <si>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</si>
  <si>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</si>
  <si>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</si>
  <si>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</si>
  <si>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</si>
  <si>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</si>
  <si>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</si>
  <si>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</si>
  <si>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</si>
  <si>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</si>
  <si>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</si>
  <si>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</si>
  <si>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</si>
  <si>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</si>
  <si>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</si>
  <si>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</si>
  <si>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</si>
  <si>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</si>
  <si>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</si>
  <si>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</si>
  <si>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</si>
  <si>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</si>
  <si>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</si>
  <si>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</si>
  <si>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</si>
  <si>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</si>
  <si>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</si>
  <si>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</si>
  <si>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</si>
  <si>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</si>
  <si>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</si>
  <si>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</si>
  <si>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</si>
  <si>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</si>
  <si>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</si>
  <si>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</si>
  <si>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</si>
  <si>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</si>
  <si>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</si>
  <si>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</si>
  <si>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</si>
  <si>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</si>
  <si>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</si>
  <si>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</si>
  <si>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</si>
  <si>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</si>
  <si>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</si>
  <si>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</si>
  <si>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</si>
  <si>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</si>
  <si>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</si>
  <si>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</si>
  <si>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</si>
  <si>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</si>
  <si>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</si>
  <si>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</si>
  <si>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</si>
  <si>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</si>
  <si>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</si>
  <si>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</si>
  <si>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</si>
  <si>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</si>
  <si>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</si>
  <si>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</si>
  <si>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</si>
  <si>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</si>
  <si>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</si>
  <si>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</si>
  <si>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</si>
  <si>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</si>
  <si>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</si>
  <si>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</si>
  <si>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</si>
  <si>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</si>
  <si>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</si>
  <si>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</si>
  <si>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</si>
  <si>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</si>
  <si>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</si>
  <si>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</si>
  <si>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</si>
  <si>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</si>
  <si>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</si>
  <si>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</si>
  <si>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</si>
  <si>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</si>
  <si>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</si>
  <si>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</si>
  <si>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</si>
  <si>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</si>
  <si>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</si>
  <si>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</si>
  <si>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</si>
  <si>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</si>
  <si>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</si>
  <si>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</si>
  <si>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</si>
  <si>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</si>
  <si>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</si>
  <si>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</si>
  <si>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</si>
  <si>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</si>
  <si>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</si>
  <si>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</si>
  <si>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</si>
  <si>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</si>
  <si>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</si>
  <si>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</si>
  <si>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</si>
  <si>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</si>
  <si>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</si>
  <si>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</si>
  <si>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</si>
  <si>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</si>
  <si>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</si>
  <si>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</si>
  <si>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</si>
  <si>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</si>
  <si>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</si>
  <si>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</si>
  <si>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</si>
  <si>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</si>
  <si>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</si>
  <si>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</si>
  <si>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</si>
  <si>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</si>
  <si>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</si>
  <si>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</si>
  <si>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</si>
  <si>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</si>
  <si>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</si>
  <si>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</si>
  <si>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</si>
  <si>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</si>
  <si>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</si>
  <si>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</si>
  <si>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</si>
  <si>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</si>
  <si>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</si>
  <si>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</si>
  <si>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</si>
  <si>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</si>
  <si>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</si>
  <si>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</si>
  <si>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</si>
  <si>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</si>
  <si>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</si>
  <si>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</si>
  <si>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</si>
  <si>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</si>
  <si>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</si>
  <si>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</si>
  <si>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</si>
  <si>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</si>
  <si>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</si>
  <si>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</si>
  <si>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</si>
  <si>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</si>
  <si>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</si>
  <si>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</si>
  <si>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</si>
  <si>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</si>
  <si>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</si>
  <si>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</si>
  <si>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</si>
  <si>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</si>
  <si>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</si>
  <si>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</si>
  <si>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</si>
  <si>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</si>
  <si>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</si>
  <si>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</si>
  <si>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</si>
  <si>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</si>
  <si>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</si>
  <si>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</si>
  <si>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</si>
  <si>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</si>
  <si>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</si>
  <si>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</si>
  <si>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</si>
  <si>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</si>
  <si>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</si>
  <si>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</si>
  <si>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</si>
  <si>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</si>
  <si>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</si>
  <si>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</si>
  <si>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</si>
  <si>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</si>
  <si>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</si>
  <si>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</si>
  <si>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</si>
  <si>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</si>
  <si>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</si>
  <si>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</si>
  <si>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</si>
  <si>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</si>
  <si>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</si>
  <si>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</si>
  <si>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</si>
  <si>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</si>
  <si>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</si>
  <si>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</si>
  <si>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</si>
  <si>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</si>
  <si>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</si>
  <si>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</si>
  <si>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</si>
  <si>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</si>
  <si>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</si>
  <si>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</si>
  <si>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</si>
  <si>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</si>
  <si>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</si>
  <si>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</si>
  <si>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</si>
  <si>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</si>
  <si>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</si>
  <si>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</si>
  <si>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</si>
  <si>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</si>
  <si>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</si>
  <si>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</si>
  <si>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</si>
  <si>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</si>
  <si>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</si>
  <si>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</si>
  <si>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</si>
  <si>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</si>
  <si>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</si>
  <si>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</si>
  <si>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</si>
  <si>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</si>
  <si>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</si>
  <si>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</si>
  <si>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</si>
  <si>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</si>
  <si>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</si>
  <si>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</si>
  <si>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</si>
  <si>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</si>
  <si>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</si>
  <si>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</si>
  <si>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</si>
  <si>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</si>
  <si>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</si>
  <si>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</si>
  <si>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</si>
  <si>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</si>
  <si>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</si>
  <si>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</si>
  <si>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</si>
  <si>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</si>
  <si>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</si>
  <si>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</si>
  <si>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</si>
  <si>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</si>
  <si>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</si>
  <si>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</si>
  <si>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</si>
  <si>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</si>
  <si>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</si>
  <si>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</si>
  <si>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</si>
  <si>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</si>
  <si>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</si>
  <si>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</si>
  <si>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</si>
  <si>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</si>
  <si>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</si>
  <si>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</si>
  <si>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</si>
  <si>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</si>
  <si>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</si>
  <si>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</si>
  <si>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</si>
  <si>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</si>
  <si>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</si>
  <si>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</si>
  <si>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</si>
  <si>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</si>
  <si>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</si>
  <si>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</si>
  <si>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</si>
  <si>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</si>
  <si>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</si>
  <si>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</si>
  <si>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</si>
  <si>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</si>
  <si>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</si>
  <si>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</si>
  <si>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</si>
  <si>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</si>
  <si>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</si>
  <si>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</si>
  <si>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</si>
  <si>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</si>
  <si>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</si>
  <si>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</si>
  <si>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</si>
  <si>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</si>
  <si>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</si>
  <si>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</si>
  <si>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</si>
  <si>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</si>
  <si>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</si>
  <si>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</si>
  <si>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</si>
  <si>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</si>
  <si>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</si>
  <si>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</si>
  <si>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</si>
  <si>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</si>
  <si>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</si>
  <si>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</si>
  <si>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</si>
  <si>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</si>
  <si>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</si>
  <si>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</si>
  <si>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</si>
  <si>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</si>
  <si>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</si>
  <si>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</si>
  <si>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</si>
  <si>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</si>
  <si>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</si>
  <si>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</si>
  <si>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</si>
  <si>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</si>
  <si>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</si>
  <si>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</si>
  <si>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</si>
  <si>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</si>
  <si>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</si>
  <si>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</si>
  <si>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</si>
  <si>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</si>
  <si>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</si>
  <si>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</si>
  <si>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</si>
  <si>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</si>
  <si>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</si>
  <si>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</si>
  <si>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</si>
  <si>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</si>
  <si>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</si>
  <si>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</si>
  <si>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</si>
  <si>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</si>
  <si>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</si>
  <si>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</si>
  <si>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</si>
  <si>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</si>
  <si>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</si>
  <si>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</si>
  <si>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</si>
  <si>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</si>
  <si>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</si>
  <si>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</si>
  <si>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</si>
  <si>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</si>
  <si>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</si>
  <si>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</si>
  <si>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</si>
  <si>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</si>
  <si>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</si>
  <si>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</si>
  <si>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</si>
  <si>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</si>
  <si>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</si>
  <si>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</si>
  <si>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</si>
  <si>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</si>
  <si>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</si>
  <si>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</si>
  <si>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</si>
  <si>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</si>
  <si>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</si>
  <si>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</si>
  <si>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</si>
  <si>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</si>
  <si>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</si>
  <si>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</si>
  <si>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</si>
  <si>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</si>
  <si>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</si>
  <si>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</si>
  <si>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</si>
  <si>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</si>
  <si>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</si>
  <si>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</si>
  <si>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</si>
  <si>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</si>
  <si>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</si>
  <si>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</si>
  <si>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</si>
  <si>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</si>
  <si>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</si>
  <si>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</si>
  <si>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</si>
  <si>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</si>
  <si>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</si>
  <si>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</si>
  <si>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</si>
  <si>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</si>
  <si>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</si>
  <si>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</si>
  <si>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</si>
  <si>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</si>
  <si>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</si>
  <si>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</si>
  <si>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</si>
  <si>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</si>
  <si>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</si>
  <si>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</si>
  <si>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</si>
  <si>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</si>
  <si>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</si>
  <si>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</si>
  <si>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</si>
  <si>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</si>
  <si>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</si>
  <si>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</si>
  <si>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</si>
  <si>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</si>
  <si>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</si>
  <si>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</si>
  <si>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</si>
  <si>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</si>
  <si>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</si>
  <si>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</si>
  <si>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</si>
  <si>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</si>
  <si>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</si>
  <si>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</si>
  <si>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</si>
  <si>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</si>
  <si>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</si>
  <si>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</si>
  <si>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</si>
  <si>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</si>
  <si>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</si>
  <si>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</si>
  <si>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</si>
  <si>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</si>
  <si>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</si>
  <si>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</si>
  <si>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</si>
  <si>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</si>
  <si>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</si>
  <si>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</si>
  <si>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</si>
  <si>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</si>
  <si>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</si>
  <si>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</si>
  <si>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</si>
  <si>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</si>
  <si>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</si>
  <si>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</si>
  <si>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</si>
  <si>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</si>
  <si>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</si>
  <si>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</si>
  <si>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</si>
  <si>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</si>
  <si>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</si>
  <si>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</si>
  <si>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</si>
  <si>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</si>
  <si>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</si>
  <si>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</si>
  <si>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</si>
  <si>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</si>
  <si>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</si>
  <si>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</si>
  <si>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</si>
  <si>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</si>
  <si>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</si>
  <si>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</si>
  <si>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</si>
  <si>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</si>
  <si>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</si>
  <si>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</si>
  <si>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</si>
  <si>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</si>
  <si>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</si>
  <si>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</si>
  <si>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</si>
  <si>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</si>
  <si>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</si>
  <si>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</si>
  <si>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</si>
  <si>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</si>
  <si>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</si>
  <si>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</si>
  <si>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</si>
  <si>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</si>
  <si>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</si>
  <si>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</si>
  <si>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</si>
  <si>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</si>
  <si>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</si>
  <si>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</si>
  <si>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</si>
  <si>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</si>
  <si>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</si>
  <si>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</si>
  <si>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</si>
  <si>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</si>
  <si>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</si>
  <si>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</si>
  <si>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</si>
  <si>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</si>
  <si>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</si>
  <si>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</si>
  <si>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</si>
  <si>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</si>
  <si>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</si>
  <si>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</si>
  <si>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</si>
  <si>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</si>
  <si>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</si>
  <si>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</si>
  <si>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</si>
  <si>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</si>
  <si>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</si>
  <si>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</si>
  <si>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</si>
  <si>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</si>
  <si>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</si>
  <si>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</si>
  <si>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</si>
  <si>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</si>
  <si>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</si>
  <si>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</si>
  <si>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</si>
  <si>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</si>
  <si>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</si>
  <si>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</si>
  <si>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</si>
  <si>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</si>
  <si>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</si>
  <si>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</si>
  <si>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</si>
  <si>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</si>
  <si>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</si>
  <si>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</si>
  <si>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</si>
  <si>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</si>
  <si>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</si>
  <si>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</si>
  <si>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</si>
  <si>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</si>
  <si>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</si>
  <si>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</si>
  <si>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</si>
  <si>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</si>
  <si>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</si>
  <si>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</si>
  <si>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</si>
  <si>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</si>
  <si>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</si>
  <si>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</si>
  <si>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</si>
  <si>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</si>
  <si>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</si>
  <si>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</si>
  <si>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</si>
  <si>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</si>
  <si>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</si>
  <si>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</si>
  <si>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</si>
  <si>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</si>
  <si>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</si>
  <si>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</si>
  <si>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</si>
  <si>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</si>
  <si>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</si>
  <si>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</si>
  <si>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</si>
  <si>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</si>
  <si>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</si>
  <si>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</si>
  <si>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</si>
  <si>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</si>
  <si>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</si>
  <si>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</si>
  <si>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</si>
  <si>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</si>
  <si>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</si>
  <si>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</si>
  <si>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</si>
  <si>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</si>
  <si>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</si>
  <si>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</si>
  <si>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</si>
  <si>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</si>
  <si>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</si>
  <si>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</si>
  <si>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</si>
  <si>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</si>
  <si>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</si>
  <si>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</si>
  <si>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</si>
  <si>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</si>
  <si>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</si>
  <si>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</si>
  <si>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</si>
  <si>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</si>
  <si>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</si>
  <si>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</si>
  <si>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</si>
  <si>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</si>
  <si>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</si>
  <si>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</si>
  <si>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</si>
  <si>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</si>
  <si>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</si>
  <si>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</si>
  <si>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</si>
  <si>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</si>
  <si>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</si>
  <si>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</si>
  <si>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</si>
  <si>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</si>
  <si>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</si>
  <si>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</si>
  <si>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</si>
  <si>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</si>
  <si>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</si>
  <si>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</si>
  <si>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</si>
  <si>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</si>
  <si>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</si>
  <si>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</si>
  <si>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</si>
  <si>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</si>
  <si>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</si>
  <si>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</si>
  <si>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</si>
  <si>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</si>
  <si>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</si>
  <si>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</si>
  <si>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</si>
  <si>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</si>
  <si>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</si>
  <si>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</si>
  <si>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</si>
  <si>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</si>
  <si>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</si>
  <si>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</si>
  <si>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</si>
  <si>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</si>
  <si>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</si>
  <si>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</si>
  <si>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</si>
  <si>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</si>
  <si>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</si>
  <si>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</si>
  <si>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</si>
  <si>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</si>
  <si>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</si>
  <si>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</si>
  <si>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</si>
  <si>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</si>
  <si>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</si>
  <si>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</si>
  <si>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</si>
  <si>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</si>
  <si>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</si>
  <si>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</si>
  <si>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</si>
  <si>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</si>
  <si>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</si>
  <si>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</si>
  <si>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</si>
  <si>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</si>
  <si>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</si>
  <si>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</si>
  <si>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</si>
  <si>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</si>
  <si>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</si>
  <si>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</si>
  <si>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</si>
  <si>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</si>
  <si>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</si>
  <si>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</si>
  <si>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</si>
  <si>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</si>
  <si>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</si>
  <si>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</si>
  <si>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</si>
  <si>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</si>
  <si>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</si>
  <si>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</si>
  <si>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</si>
  <si>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</si>
  <si>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</si>
  <si>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</si>
  <si>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</si>
  <si>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</si>
  <si>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</si>
  <si>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</si>
  <si>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</si>
  <si>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</si>
  <si>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</si>
  <si>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</si>
  <si>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</si>
  <si>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</si>
  <si>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</si>
  <si>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</si>
  <si>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</si>
  <si>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</si>
  <si>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</si>
  <si>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</si>
  <si>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</si>
  <si>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</si>
  <si>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</si>
  <si>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</si>
  <si>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</si>
  <si>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</si>
  <si>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</si>
  <si>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</si>
  <si>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</si>
  <si>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</si>
  <si>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</si>
  <si>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</si>
  <si>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</si>
  <si>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</si>
  <si>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</si>
  <si>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</si>
  <si>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</si>
  <si>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</si>
  <si>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</si>
  <si>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</si>
  <si>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</si>
  <si>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</si>
  <si>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</si>
  <si>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</si>
  <si>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</si>
  <si>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</si>
  <si>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</si>
  <si>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</si>
  <si>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</si>
  <si>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</si>
  <si>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</si>
  <si>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</si>
  <si>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</si>
  <si>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</si>
  <si>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</si>
  <si>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</si>
  <si>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</si>
  <si>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</si>
  <si>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</si>
  <si>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</si>
  <si>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</si>
  <si>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</si>
  <si>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</si>
  <si>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</si>
  <si>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</si>
  <si>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</si>
  <si>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</si>
  <si>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</si>
  <si>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</si>
  <si>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</si>
  <si>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</si>
  <si>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</si>
  <si>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</si>
  <si>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</si>
  <si>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</si>
  <si>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</si>
  <si>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</si>
  <si>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</si>
  <si>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</si>
  <si>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</si>
  <si>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</si>
  <si>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</si>
  <si>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</si>
  <si>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</si>
  <si>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</si>
  <si>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</si>
  <si>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</si>
  <si>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</si>
  <si>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</si>
  <si>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</si>
  <si>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</si>
  <si>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</si>
  <si>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</si>
  <si>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</si>
  <si>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</si>
  <si>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</si>
  <si>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</si>
  <si>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</si>
  <si>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</si>
  <si>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</si>
  <si>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</si>
  <si>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</si>
  <si>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</si>
  <si>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</si>
  <si>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</si>
  <si>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</si>
  <si>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</si>
  <si>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</si>
  <si>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</si>
  <si>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</si>
  <si>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</si>
  <si>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</si>
  <si>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</si>
  <si>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</si>
  <si>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</si>
  <si>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</si>
  <si>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</si>
  <si>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</si>
  <si>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</si>
  <si>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</si>
  <si>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</si>
  <si>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</si>
  <si>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</si>
  <si>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</si>
  <si>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</si>
  <si>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</si>
  <si>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</si>
  <si>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</si>
  <si>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</si>
  <si>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</si>
  <si>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</si>
  <si>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</si>
  <si>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</si>
  <si>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</si>
  <si>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</si>
  <si>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</si>
  <si>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</si>
  <si>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</si>
  <si>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</si>
  <si>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</si>
  <si>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</si>
  <si>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</si>
  <si>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</si>
  <si>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</si>
  <si>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</si>
  <si>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</si>
  <si>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</si>
  <si>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</si>
  <si>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</si>
  <si>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</si>
  <si>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</si>
  <si>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</si>
  <si>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</si>
  <si>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</si>
  <si>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</si>
  <si>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</si>
  <si>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</si>
  <si>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</si>
  <si>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</si>
  <si>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</si>
  <si>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</si>
  <si>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</si>
  <si>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</si>
  <si>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</si>
  <si>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</si>
  <si>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</si>
  <si>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</si>
  <si>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</si>
  <si>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</si>
  <si>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</si>
  <si>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</si>
  <si>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</si>
  <si>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</si>
  <si>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</si>
  <si>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</si>
  <si>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</si>
  <si>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</si>
  <si>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</si>
  <si>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</si>
  <si>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</si>
  <si>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</si>
  <si>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</si>
  <si>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</si>
  <si>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</si>
  <si>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</si>
  <si>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</si>
  <si>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</si>
  <si>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</si>
  <si>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</si>
  <si>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</si>
  <si>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</si>
  <si>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</si>
  <si>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</si>
  <si>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</si>
  <si>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</si>
  <si>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</si>
  <si>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</si>
  <si>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</si>
  <si>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</si>
  <si>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</si>
  <si>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</si>
  <si>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</si>
  <si>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</si>
  <si>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</si>
  <si>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</si>
  <si>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</si>
  <si>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</si>
  <si>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</si>
  <si>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</si>
  <si>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</si>
  <si>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</si>
  <si>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</si>
  <si>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</si>
  <si>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</si>
  <si>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</si>
  <si>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</si>
  <si>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</si>
  <si>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</si>
  <si>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</si>
  <si>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</si>
  <si>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</si>
  <si>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</si>
  <si>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</si>
  <si>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</si>
  <si>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</si>
  <si>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</si>
  <si>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</si>
  <si>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</si>
  <si>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</si>
  <si>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</si>
  <si>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</si>
  <si>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</si>
  <si>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</si>
  <si>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</si>
  <si>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</si>
  <si>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</si>
  <si>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</si>
  <si>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</si>
  <si>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</si>
  <si>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</si>
  <si>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</si>
  <si>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</si>
  <si>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</si>
  <si>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</si>
  <si>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</si>
  <si>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</si>
  <si>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</si>
  <si>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</si>
  <si>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</si>
  <si>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</si>
  <si>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</si>
  <si>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</si>
  <si>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</si>
  <si>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</si>
  <si>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</si>
  <si>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</si>
  <si>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</si>
  <si>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</si>
  <si>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</si>
  <si>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</si>
  <si>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</si>
  <si>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</si>
  <si>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</si>
  <si>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</si>
  <si>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</si>
  <si>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</si>
  <si>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</si>
  <si>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</si>
  <si>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</si>
  <si>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</si>
  <si>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</si>
  <si>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</si>
  <si>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</si>
  <si>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</si>
  <si>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</si>
  <si>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</si>
  <si>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</si>
  <si>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</si>
  <si>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</si>
  <si>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</si>
  <si>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</si>
  <si>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</si>
  <si>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</si>
  <si>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</si>
  <si>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</si>
  <si>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</si>
  <si>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</si>
  <si>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</si>
  <si>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</si>
  <si>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</si>
  <si>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</si>
  <si>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</si>
  <si>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</si>
  <si>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</si>
  <si>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</si>
  <si>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</si>
  <si>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</si>
  <si>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</si>
  <si>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</si>
  <si>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</si>
  <si>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</si>
  <si>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</si>
  <si>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</si>
  <si>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</si>
  <si>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</si>
  <si>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</si>
  <si>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</si>
  <si>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</si>
  <si>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</si>
  <si>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</si>
  <si>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</si>
  <si>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</si>
  <si>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</si>
  <si>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</si>
  <si>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</si>
  <si>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</si>
  <si>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</si>
  <si>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</si>
  <si>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</si>
  <si>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</si>
  <si>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</si>
  <si>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</si>
  <si>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</si>
  <si>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</si>
  <si>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</si>
  <si>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</si>
  <si>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</si>
  <si>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</si>
  <si>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</si>
  <si>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</si>
  <si>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</si>
  <si>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</si>
  <si>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</si>
  <si>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</si>
  <si>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</si>
  <si>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</si>
  <si>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</si>
  <si>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</si>
  <si>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</si>
  <si>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</si>
  <si>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</si>
  <si>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</si>
  <si>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</si>
  <si>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</si>
  <si>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</si>
  <si>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</si>
  <si>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</si>
  <si>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</si>
  <si>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</si>
  <si>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</si>
  <si>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</si>
  <si>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</si>
  <si>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</si>
  <si>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</si>
  <si>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</si>
  <si>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</si>
  <si>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</si>
  <si>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</si>
  <si>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</si>
  <si>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</si>
  <si>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</si>
  <si>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</si>
  <si>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</si>
  <si>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</si>
  <si>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</si>
  <si>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</si>
  <si>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</si>
  <si>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</si>
  <si>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</si>
  <si>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</si>
  <si>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</si>
  <si>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</si>
  <si>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</si>
  <si>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</si>
  <si>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</si>
  <si>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</si>
  <si>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</si>
  <si>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</si>
  <si>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</si>
  <si>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</si>
  <si>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</si>
  <si>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</si>
  <si>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</si>
  <si>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</si>
  <si>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</si>
  <si>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</si>
  <si>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</si>
  <si>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</si>
  <si>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</si>
  <si>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</si>
  <si>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</si>
  <si>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</si>
  <si>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</si>
  <si>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</si>
  <si>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</si>
  <si>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</si>
  <si>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</si>
  <si>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</si>
  <si>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</si>
  <si>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</si>
  <si>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</si>
  <si>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</si>
  <si>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</si>
  <si>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</si>
  <si>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</si>
  <si>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</si>
  <si>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</si>
  <si>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</si>
  <si>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</si>
  <si>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</si>
  <si>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</si>
  <si>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</si>
  <si>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</si>
  <si>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</si>
  <si>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</si>
  <si>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</si>
  <si>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</si>
  <si>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</si>
  <si>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</si>
  <si>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</si>
  <si>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</si>
  <si>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</si>
  <si>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</si>
  <si>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</si>
  <si>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</si>
  <si>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</si>
  <si>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</si>
  <si>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</si>
  <si>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</si>
  <si>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</si>
  <si>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</si>
  <si>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</si>
  <si>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</si>
  <si>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</si>
  <si>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</si>
  <si>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</si>
  <si>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</si>
  <si>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</si>
  <si>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</si>
  <si>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</si>
  <si>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</si>
  <si>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</si>
  <si>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</si>
  <si>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</si>
  <si>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</si>
  <si>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</si>
  <si>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</si>
  <si>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</si>
  <si>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</si>
  <si>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</si>
  <si>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</si>
  <si>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</si>
  <si>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</si>
  <si>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</si>
  <si>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</si>
  <si>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</si>
  <si>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</si>
  <si>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</si>
  <si>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</si>
  <si>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</si>
  <si>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</si>
  <si>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</si>
  <si>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</si>
  <si>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</si>
  <si>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</si>
  <si>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</si>
  <si>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</si>
  <si>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</si>
  <si>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</si>
  <si>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</si>
  <si>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</si>
  <si>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</si>
  <si>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</si>
  <si>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</si>
  <si>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</si>
  <si>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</si>
  <si>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</si>
  <si>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</si>
  <si>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</si>
  <si>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</si>
  <si>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</si>
  <si>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</si>
  <si>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</si>
  <si>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</si>
  <si>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</si>
  <si>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</si>
  <si>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</si>
  <si>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</si>
  <si>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</si>
  <si>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</si>
  <si>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</si>
  <si>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</si>
  <si>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</si>
  <si>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</si>
  <si>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</si>
  <si>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</si>
  <si>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</si>
  <si>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</si>
  <si>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</si>
  <si>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</si>
  <si>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</si>
  <si>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</si>
  <si>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</si>
  <si>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</si>
  <si>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</si>
  <si>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</si>
  <si>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</si>
  <si>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</si>
  <si>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</si>
  <si>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</si>
  <si>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</si>
  <si>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</si>
  <si>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</si>
  <si>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</si>
  <si>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</si>
  <si>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</si>
  <si>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</si>
  <si>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</si>
  <si>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</si>
  <si>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</si>
  <si>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</si>
  <si>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</si>
  <si>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</si>
  <si>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</si>
  <si>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</si>
  <si>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</si>
  <si>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</si>
  <si>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</si>
  <si>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</si>
  <si>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</si>
  <si>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</si>
  <si>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</si>
  <si>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</si>
  <si>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</si>
  <si>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</si>
  <si>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</si>
  <si>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</si>
  <si>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</si>
  <si>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</si>
  <si>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</si>
  <si>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</si>
  <si>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</si>
  <si>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</si>
  <si>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</si>
  <si>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</si>
  <si>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</si>
  <si>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</si>
  <si>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</si>
  <si>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</si>
  <si>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</si>
  <si>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</si>
  <si>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</si>
  <si>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</si>
  <si>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</si>
  <si>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</si>
  <si>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</si>
  <si>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</si>
  <si>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</si>
  <si>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</si>
  <si>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</si>
  <si>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</si>
  <si>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</si>
  <si>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</si>
  <si>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</si>
  <si>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</si>
  <si>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</si>
  <si>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</si>
  <si>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</si>
  <si>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</si>
  <si>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</si>
  <si>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</si>
  <si>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</si>
  <si>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</si>
  <si>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</si>
  <si>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</si>
  <si>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</si>
  <si>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</si>
  <si>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</si>
  <si>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</si>
  <si>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</si>
  <si>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</si>
  <si>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</si>
  <si>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</si>
  <si>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</si>
  <si>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</si>
  <si>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</si>
  <si>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</si>
  <si>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</si>
  <si>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</si>
  <si>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</si>
  <si>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</si>
  <si>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</si>
  <si>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</si>
  <si>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</si>
  <si>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</si>
  <si>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</si>
  <si>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</si>
  <si>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</si>
  <si>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</si>
  <si>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</si>
  <si>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</si>
  <si>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</si>
  <si>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</si>
  <si>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</si>
  <si>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</si>
  <si>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</si>
  <si>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</si>
  <si>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</si>
  <si>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</si>
  <si>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</si>
  <si>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</si>
  <si>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</si>
  <si>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</si>
  <si>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</si>
  <si>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</si>
  <si>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</si>
  <si>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</si>
  <si>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</si>
  <si>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</si>
  <si>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</si>
  <si>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</si>
  <si>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</si>
  <si>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</si>
  <si>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</si>
  <si>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</si>
  <si>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</si>
  <si>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</si>
  <si>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</si>
  <si>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</si>
  <si>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</si>
  <si>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</si>
  <si>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</si>
  <si>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</si>
  <si>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</si>
  <si>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</si>
  <si>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</si>
  <si>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</si>
  <si>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</si>
  <si>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</si>
  <si>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</si>
  <si>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</si>
  <si>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</si>
  <si>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</si>
  <si>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</si>
  <si>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</si>
  <si>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</si>
  <si>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</si>
  <si>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</si>
  <si>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</si>
  <si>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</si>
  <si>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</si>
  <si>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</si>
  <si>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</si>
  <si>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</si>
  <si>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</si>
  <si>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</si>
  <si>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</si>
  <si>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</si>
  <si>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</si>
  <si>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</si>
  <si>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</si>
  <si>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</si>
  <si>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</si>
  <si>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</si>
  <si>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</si>
  <si>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</si>
  <si>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</si>
  <si>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</si>
  <si>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</si>
  <si>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</si>
  <si>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</si>
  <si>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</si>
  <si>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</si>
  <si>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</si>
  <si>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</si>
  <si>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</si>
  <si>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</si>
  <si>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</si>
  <si>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</si>
  <si>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</si>
  <si>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</si>
  <si>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</si>
  <si>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</si>
  <si>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</si>
  <si>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</si>
  <si>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</si>
  <si>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</si>
  <si>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</si>
  <si>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</si>
  <si>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</si>
  <si>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</si>
  <si>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</si>
  <si>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</si>
  <si>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</si>
  <si>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</si>
  <si>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</si>
  <si>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</si>
  <si>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</si>
  <si>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</si>
  <si>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</si>
  <si>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</si>
  <si>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</si>
  <si>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</si>
  <si>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</si>
  <si>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</si>
  <si>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</si>
  <si>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</si>
  <si>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</si>
  <si>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</si>
  <si>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</si>
  <si>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</si>
  <si>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</si>
  <si>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</si>
  <si>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</si>
  <si>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</si>
  <si>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</si>
  <si>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</si>
  <si>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</si>
  <si>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</si>
  <si>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</si>
  <si>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</si>
  <si>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</si>
  <si>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</si>
  <si>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</si>
  <si>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</si>
  <si>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</si>
  <si>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</si>
  <si>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</si>
  <si>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</si>
  <si>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</si>
  <si>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</si>
  <si>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</si>
  <si>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</si>
  <si>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</si>
  <si>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</si>
  <si>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</si>
  <si>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</si>
  <si>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</si>
  <si>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</si>
  <si>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</si>
  <si>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</si>
  <si>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</si>
  <si>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</si>
  <si>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</si>
  <si>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</si>
  <si>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</si>
  <si>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</si>
  <si>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</si>
  <si>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</si>
  <si>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</si>
  <si>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</si>
  <si>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</si>
  <si>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</si>
  <si>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</si>
  <si>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</si>
  <si>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</si>
  <si>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</si>
  <si>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</si>
  <si>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</si>
  <si>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</si>
  <si>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</si>
  <si>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</si>
  <si>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</si>
  <si>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</si>
  <si>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</si>
  <si>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</si>
  <si>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</si>
  <si>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</si>
  <si>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</si>
  <si>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</si>
  <si>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</si>
  <si>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</si>
  <si>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</si>
  <si>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</si>
  <si>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</si>
  <si>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</si>
  <si>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</si>
  <si>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</si>
  <si>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</si>
  <si>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</si>
  <si>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</si>
  <si>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</si>
  <si>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</si>
  <si>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</si>
  <si>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</si>
  <si>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</si>
  <si>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</si>
  <si>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</si>
  <si>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</si>
  <si>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</si>
  <si>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</si>
  <si>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</si>
  <si>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</si>
  <si>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</si>
  <si>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</si>
  <si>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</si>
  <si>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</si>
  <si>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</si>
  <si>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</si>
  <si>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</si>
  <si>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</si>
  <si>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</si>
  <si>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</si>
  <si>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</si>
  <si>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</si>
  <si>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</si>
  <si>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</si>
  <si>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</si>
  <si>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</si>
  <si>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</si>
  <si>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</si>
  <si>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</si>
  <si>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</si>
  <si>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</si>
  <si>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</si>
  <si>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</si>
  <si>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</si>
  <si>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</si>
  <si>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</si>
  <si>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</si>
  <si>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</si>
  <si>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</si>
  <si>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</si>
  <si>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</si>
  <si>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</si>
  <si>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</si>
  <si>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</si>
  <si>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</si>
  <si>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</si>
  <si>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</si>
  <si>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</si>
  <si>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</si>
  <si>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</si>
  <si>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</si>
  <si>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</si>
  <si>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</si>
  <si>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</si>
  <si>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</si>
  <si>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</si>
  <si>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</si>
  <si>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</si>
  <si>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</si>
  <si>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</si>
  <si>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</si>
  <si>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</si>
  <si>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</si>
  <si>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</si>
  <si>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</si>
  <si>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</si>
  <si>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</si>
  <si>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</si>
  <si>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</si>
  <si>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</si>
  <si>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</si>
  <si>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</si>
  <si>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</si>
  <si>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</si>
  <si>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</si>
  <si>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</si>
  <si>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</si>
  <si>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</si>
  <si>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</si>
  <si>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</si>
  <si>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</si>
  <si>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</si>
  <si>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</si>
  <si>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</si>
  <si>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</si>
  <si>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</si>
  <si>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</si>
  <si>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</si>
  <si>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</si>
  <si>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</si>
  <si>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</si>
  <si>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</si>
  <si>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</si>
  <si>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</si>
  <si>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</si>
  <si>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</si>
  <si>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</si>
  <si>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</si>
  <si>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</si>
  <si>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</si>
  <si>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</si>
  <si>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</si>
  <si>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</si>
  <si>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</si>
  <si>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</si>
  <si>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</si>
  <si>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</si>
  <si>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</si>
  <si>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</si>
  <si>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</si>
  <si>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</si>
  <si>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</si>
  <si>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</si>
  <si>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</si>
  <si>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</si>
  <si>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</si>
  <si>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</si>
  <si>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</si>
  <si>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</si>
  <si>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</si>
  <si>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</si>
  <si>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</si>
  <si>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</si>
  <si>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</si>
  <si>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</si>
  <si>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</si>
  <si>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</si>
  <si>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</si>
  <si>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</si>
  <si>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</si>
  <si>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</si>
  <si>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</si>
  <si>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</si>
  <si>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</si>
  <si>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</si>
  <si>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</si>
  <si>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</si>
  <si>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</si>
  <si>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</si>
  <si>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</si>
  <si>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</si>
  <si>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</si>
  <si>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</si>
  <si>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</si>
  <si>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</si>
  <si>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</si>
  <si>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</si>
  <si>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</si>
  <si>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</si>
  <si>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</si>
  <si>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</si>
  <si>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</si>
  <si>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</si>
  <si>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</si>
  <si>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</si>
  <si>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</si>
  <si>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</si>
  <si>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</si>
  <si>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</si>
  <si>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</si>
  <si>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</si>
  <si>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</si>
  <si>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</si>
  <si>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</si>
  <si>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</si>
  <si>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</si>
  <si>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</si>
  <si>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</si>
  <si>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</si>
  <si>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</si>
  <si>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</si>
  <si>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</si>
  <si>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</si>
  <si>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</si>
  <si>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</si>
  <si>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</si>
  <si>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</si>
  <si>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</si>
  <si>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</si>
  <si>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</si>
  <si>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</si>
  <si>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</si>
  <si>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</si>
  <si>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</si>
  <si>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</si>
  <si>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</si>
  <si>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</si>
  <si>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</si>
  <si>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</si>
  <si>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</si>
  <si>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</si>
  <si>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</si>
  <si>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</si>
  <si>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</si>
  <si>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</si>
  <si>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</si>
  <si>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</si>
  <si>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</si>
  <si>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</si>
  <si>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</si>
  <si>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</si>
  <si>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</si>
  <si>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</si>
  <si>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</si>
  <si>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</si>
  <si>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</si>
  <si>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</si>
  <si>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</si>
  <si>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</si>
  <si>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</si>
  <si>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</si>
  <si>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</si>
  <si>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</si>
  <si>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</si>
  <si>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</si>
  <si>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</si>
  <si>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</si>
  <si>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</si>
  <si>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</si>
  <si>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</si>
  <si>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</si>
  <si>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</si>
  <si>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</si>
  <si>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</si>
  <si>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</si>
  <si>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</si>
  <si>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</si>
  <si>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</si>
  <si>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</si>
  <si>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</si>
  <si>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</si>
  <si>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</si>
  <si>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</si>
  <si>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</si>
  <si>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</si>
  <si>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</si>
  <si>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</si>
  <si>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</si>
  <si>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</si>
  <si>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</si>
  <si>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</si>
  <si>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</si>
  <si>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</si>
  <si>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</si>
  <si>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</si>
  <si>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</si>
  <si>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</si>
  <si>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</si>
  <si>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</si>
  <si>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</si>
  <si>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</si>
  <si>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</si>
  <si>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</si>
  <si>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</si>
  <si>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</si>
  <si>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</si>
  <si>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</si>
  <si>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</si>
  <si>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</si>
  <si>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</si>
  <si>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</si>
  <si>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</si>
  <si>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</si>
  <si>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</si>
  <si>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</si>
  <si>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</si>
  <si>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</si>
  <si>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</si>
  <si>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</si>
  <si>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</si>
  <si>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</si>
  <si>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</si>
  <si>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</si>
  <si>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</si>
  <si>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</si>
  <si>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</si>
  <si>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</si>
  <si>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</si>
  <si>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</si>
  <si>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</si>
  <si>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</si>
  <si>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</si>
  <si>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</si>
  <si>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</si>
  <si>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</si>
  <si>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</si>
  <si>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</si>
  <si>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</si>
  <si>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</si>
  <si>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</si>
  <si>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</si>
  <si>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</si>
  <si>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</si>
  <si>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</si>
  <si>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</si>
  <si>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</si>
  <si>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</si>
  <si>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</si>
  <si>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</si>
  <si>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</si>
  <si>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</si>
  <si>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</si>
  <si>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</si>
  <si>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</si>
  <si>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</si>
  <si>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</si>
  <si>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</si>
  <si>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</si>
  <si>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</si>
  <si>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</si>
  <si>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</si>
  <si>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</si>
  <si>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</si>
  <si>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</si>
  <si>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</si>
  <si>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</si>
  <si>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</si>
  <si>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</si>
  <si>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</si>
  <si>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</si>
  <si>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</si>
  <si>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</si>
  <si>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</si>
  <si>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</si>
  <si>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</si>
  <si>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</si>
  <si>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</si>
  <si>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</si>
  <si>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</si>
  <si>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</si>
  <si>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</si>
  <si>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</si>
  <si>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</si>
  <si>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</si>
  <si>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</si>
  <si>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</si>
  <si>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</si>
  <si>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</si>
  <si>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</si>
  <si>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</si>
  <si>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</si>
  <si>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</si>
  <si>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</si>
  <si>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</si>
  <si>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</si>
  <si>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</si>
  <si>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</si>
  <si>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</si>
  <si>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</si>
  <si>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</si>
  <si>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</si>
  <si>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</si>
  <si>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</si>
  <si>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</si>
  <si>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</si>
  <si>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</si>
  <si>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</si>
  <si>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</si>
  <si>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</si>
  <si>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</si>
  <si>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</si>
  <si>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</si>
  <si>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</si>
  <si>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</si>
  <si>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</si>
  <si>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</si>
  <si>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</si>
  <si>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</si>
  <si>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</si>
  <si>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</si>
  <si>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</si>
  <si>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</si>
  <si>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</si>
  <si>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</si>
  <si>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</si>
  <si>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</si>
  <si>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</si>
  <si>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</si>
  <si>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</si>
  <si>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</si>
  <si>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</si>
  <si>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</si>
  <si>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</si>
  <si>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</si>
  <si>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</si>
  <si>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</si>
  <si>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</si>
  <si>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</si>
  <si>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</si>
  <si>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</si>
  <si>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</si>
  <si>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</si>
  <si>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</si>
  <si>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</si>
  <si>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</si>
  <si>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</si>
  <si>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</si>
  <si>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</si>
  <si>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</si>
  <si>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</si>
  <si>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</si>
  <si>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</si>
  <si>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</si>
  <si>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</si>
  <si>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</si>
  <si>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</si>
  <si>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</si>
  <si>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</si>
  <si>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</si>
  <si>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</si>
  <si>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</si>
  <si>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</si>
  <si>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</si>
  <si>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</si>
  <si>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</si>
  <si>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</si>
  <si>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</si>
  <si>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</si>
  <si>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</si>
  <si>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</si>
  <si>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</si>
  <si>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</si>
  <si>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</si>
  <si>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</si>
  <si>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</si>
  <si>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</si>
  <si>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</si>
  <si>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</si>
  <si>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</si>
  <si>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</si>
  <si>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</si>
  <si>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</si>
  <si>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</si>
  <si>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</si>
  <si>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</si>
  <si>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</si>
  <si>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</si>
  <si>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</si>
  <si>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</si>
  <si>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</si>
  <si>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</si>
  <si>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</si>
  <si>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</si>
  <si>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</si>
  <si>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</si>
  <si>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</si>
  <si>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</si>
  <si>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</si>
  <si>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</si>
  <si>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</si>
  <si>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</si>
  <si>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</si>
  <si>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</si>
  <si>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</si>
  <si>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</si>
  <si>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</si>
  <si>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</si>
  <si>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</si>
  <si>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</si>
  <si>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</si>
  <si>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</si>
  <si>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</si>
  <si>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</si>
  <si>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</si>
  <si>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</si>
  <si>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</si>
  <si>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</si>
  <si>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</si>
  <si>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</si>
  <si>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</si>
  <si>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</si>
  <si>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</si>
  <si>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</si>
  <si>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</si>
  <si>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</si>
  <si>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</si>
  <si>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</si>
  <si>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</si>
  <si>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</si>
  <si>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</si>
  <si>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</si>
  <si>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</si>
  <si>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</si>
  <si>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</si>
  <si>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</si>
  <si>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</si>
  <si>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</si>
  <si>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</si>
  <si>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</si>
  <si>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</si>
  <si>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</si>
  <si>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</si>
  <si>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</si>
  <si>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</si>
  <si>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</si>
  <si>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</si>
  <si>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</si>
  <si>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</si>
  <si>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</si>
  <si>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</si>
  <si>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</si>
  <si>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</si>
  <si>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</si>
  <si>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</si>
  <si>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</si>
  <si>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</si>
  <si>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</si>
  <si>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</si>
  <si>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</si>
  <si>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</si>
  <si>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</si>
  <si>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</si>
  <si>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</si>
  <si>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</si>
  <si>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</si>
  <si>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</si>
  <si>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</si>
  <si>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</si>
  <si>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</si>
  <si>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</si>
  <si>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</si>
  <si>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</si>
  <si>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</si>
  <si>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</si>
  <si>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</si>
  <si>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</si>
  <si>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</si>
  <si>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</si>
  <si>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</si>
  <si>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</si>
  <si>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</si>
  <si>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</si>
  <si>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</si>
  <si>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</si>
  <si>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</si>
  <si>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</si>
  <si>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</si>
  <si>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</si>
  <si>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</si>
  <si>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</si>
  <si>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</si>
  <si>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</si>
  <si>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</si>
  <si>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</si>
  <si>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</si>
  <si>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</si>
  <si>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</si>
  <si>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</si>
  <si>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</si>
  <si>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</si>
  <si>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</si>
  <si>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</si>
  <si>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</si>
  <si>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</si>
  <si>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</si>
  <si>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</si>
  <si>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</si>
  <si>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</si>
  <si>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</si>
  <si>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</si>
  <si>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</si>
  <si>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</si>
  <si>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</si>
  <si>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</si>
  <si>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</si>
  <si>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</si>
  <si>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</si>
  <si>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</si>
  <si>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</si>
  <si>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</si>
  <si>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</si>
  <si>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</si>
  <si>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</si>
  <si>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</si>
  <si>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</si>
  <si>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</si>
  <si>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</si>
  <si>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</si>
  <si>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</si>
  <si>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</si>
  <si>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</si>
  <si>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</si>
  <si>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</si>
  <si>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</si>
  <si>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</si>
  <si>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</si>
  <si>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</si>
  <si>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</si>
  <si>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</si>
  <si>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</si>
  <si>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</si>
  <si>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</si>
  <si>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</si>
  <si>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</si>
  <si>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</si>
  <si>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</si>
  <si>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</si>
  <si>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</si>
  <si>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</si>
  <si>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</si>
  <si>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</si>
  <si>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</si>
  <si>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</si>
  <si>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</si>
  <si>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</si>
  <si>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</si>
  <si>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</si>
  <si>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</si>
  <si>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</si>
  <si>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</si>
  <si>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</si>
  <si>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</si>
  <si>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</si>
  <si>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</si>
  <si>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</si>
  <si>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</si>
  <si>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</si>
  <si>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</si>
  <si>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</si>
  <si>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</si>
  <si>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</si>
  <si>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</si>
  <si>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</si>
  <si>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</si>
  <si>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</si>
  <si>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</si>
  <si>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</si>
  <si>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</si>
  <si>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</si>
  <si>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</si>
  <si>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</si>
  <si>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</si>
  <si>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</si>
  <si>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</si>
  <si>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</si>
  <si>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</si>
  <si>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</si>
  <si>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</si>
  <si>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</si>
  <si>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</si>
  <si>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</si>
  <si>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</si>
  <si>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</si>
  <si>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</si>
  <si>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</si>
  <si>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</si>
  <si>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</si>
  <si>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</si>
  <si>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</si>
  <si>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</si>
  <si>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</si>
  <si>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</si>
  <si>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</si>
  <si>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</si>
  <si>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</si>
  <si>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</si>
  <si>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</si>
  <si>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</si>
  <si>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</si>
  <si>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</si>
  <si>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</si>
  <si>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</si>
  <si>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</si>
  <si>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</si>
  <si>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</si>
  <si>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</si>
  <si>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</si>
  <si>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</si>
  <si>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</si>
  <si>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</si>
  <si>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</si>
  <si>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</si>
  <si>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</si>
  <si>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</si>
  <si>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</si>
  <si>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</si>
  <si>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</si>
  <si>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</si>
  <si>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</si>
  <si>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</si>
  <si>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</si>
  <si>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</si>
  <si>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</si>
  <si>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</si>
  <si>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</si>
  <si>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</si>
  <si>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</si>
  <si>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</si>
  <si>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</si>
  <si>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</si>
  <si>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</si>
  <si>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</si>
  <si>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</si>
  <si>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</si>
  <si>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</si>
  <si>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</si>
  <si>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</si>
  <si>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</si>
  <si>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</si>
  <si>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</si>
  <si>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</si>
  <si>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</si>
  <si>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</si>
  <si>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</si>
  <si>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</si>
  <si>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</si>
  <si>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</si>
  <si>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</si>
  <si>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</si>
  <si>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</si>
  <si>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</si>
  <si>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</si>
  <si>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</si>
  <si>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</si>
  <si>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</si>
  <si>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</si>
  <si>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</si>
  <si>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</si>
  <si>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</si>
  <si>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</si>
  <si>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</si>
  <si>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</si>
  <si>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</si>
  <si>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</si>
  <si>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</si>
  <si>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</si>
  <si>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</si>
  <si>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</si>
  <si>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</si>
  <si>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</si>
  <si>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</si>
  <si>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</si>
  <si>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</si>
  <si>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</si>
  <si>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</si>
  <si>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</si>
  <si>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</si>
  <si>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</si>
  <si>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</si>
  <si>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</si>
  <si>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</si>
  <si>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</si>
  <si>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</si>
  <si>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</si>
  <si>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</si>
  <si>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</si>
  <si>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</si>
  <si>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</si>
  <si>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</si>
  <si>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</si>
  <si>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</si>
  <si>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</si>
  <si>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</si>
  <si>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</si>
  <si>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</si>
  <si>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</si>
  <si>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</si>
  <si>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</si>
  <si>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</si>
  <si>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</si>
  <si>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</si>
  <si>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</si>
  <si>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</si>
  <si>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</si>
  <si>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</si>
  <si>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</si>
  <si>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</si>
  <si>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</si>
  <si>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</si>
  <si>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</si>
  <si>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</si>
  <si>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</si>
  <si>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</si>
  <si>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</si>
  <si>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</si>
  <si>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</si>
  <si>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</si>
  <si>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</si>
  <si>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</si>
  <si>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</si>
  <si>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</si>
  <si>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</si>
  <si>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</si>
  <si>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</si>
  <si>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</si>
  <si>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</si>
  <si>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</si>
  <si>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</si>
  <si>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</si>
  <si>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</si>
  <si>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</si>
  <si>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</si>
  <si>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</si>
  <si>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</si>
  <si>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</si>
  <si>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</si>
  <si>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</si>
  <si>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</si>
  <si>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</si>
  <si>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</si>
  <si>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</si>
  <si>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</si>
  <si>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</si>
  <si>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</si>
  <si>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</si>
  <si>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</si>
  <si>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</si>
  <si>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</si>
  <si>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</si>
  <si>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</si>
  <si>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</si>
  <si>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</si>
  <si>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</si>
  <si>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</si>
  <si>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</si>
  <si>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</si>
  <si>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</si>
  <si>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</si>
  <si>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</si>
  <si>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</si>
  <si>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</si>
  <si>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</si>
  <si>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</si>
  <si>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</si>
  <si>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</si>
  <si>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</si>
  <si>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</si>
  <si>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</si>
  <si>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</si>
  <si>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</si>
  <si>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</si>
  <si>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</si>
  <si>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</si>
  <si>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</si>
  <si>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</si>
  <si>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</si>
  <si>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</si>
  <si>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</si>
  <si>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</si>
  <si>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</si>
  <si>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</si>
  <si>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</si>
  <si>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</si>
  <si>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</si>
  <si>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</si>
  <si>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</si>
  <si>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</si>
  <si>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</si>
  <si>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</si>
  <si>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</si>
  <si>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</si>
  <si>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</si>
  <si>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</si>
  <si>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</si>
  <si>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</si>
  <si>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</si>
  <si>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</si>
  <si>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</si>
  <si>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</si>
  <si>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</si>
  <si>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</si>
  <si>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</si>
  <si>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</si>
  <si>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</si>
  <si>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</si>
  <si>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</si>
  <si>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</si>
  <si>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</si>
  <si>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</si>
  <si>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</si>
  <si>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</si>
  <si>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</si>
  <si>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</si>
  <si>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</si>
  <si>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</si>
  <si>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</si>
  <si>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</si>
  <si>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</si>
  <si>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</si>
  <si>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</si>
  <si>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</si>
  <si>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</si>
  <si>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</si>
  <si>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</si>
  <si>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</si>
  <si>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</si>
  <si>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</si>
  <si>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</si>
  <si>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</si>
  <si>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</si>
  <si>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</si>
  <si>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</si>
  <si>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</si>
  <si>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</si>
  <si>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</si>
  <si>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</si>
  <si>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</si>
  <si>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</si>
  <si>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</si>
  <si>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</si>
  <si>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</si>
  <si>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</si>
  <si>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</si>
  <si>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</si>
  <si>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</si>
  <si>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</si>
  <si>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</si>
  <si>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</si>
  <si>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</si>
  <si>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</si>
  <si>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</si>
  <si>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</si>
  <si>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</si>
  <si>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</si>
  <si>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</si>
  <si>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</si>
  <si>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</si>
  <si>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</si>
  <si>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</si>
  <si>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</si>
  <si>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</si>
  <si>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</si>
  <si>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</si>
  <si>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</si>
  <si>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</si>
  <si>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</si>
  <si>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</si>
  <si>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</si>
  <si>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</si>
  <si>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</si>
  <si>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</si>
  <si>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</si>
  <si>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</si>
  <si>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</si>
  <si>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</si>
  <si>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</si>
  <si>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</si>
  <si>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</si>
  <si>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</si>
  <si>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</si>
  <si>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</si>
  <si>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</si>
  <si>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</si>
  <si>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</si>
  <si>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</si>
  <si>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</si>
  <si>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</si>
  <si>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</si>
  <si>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</si>
  <si>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</si>
  <si>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</si>
  <si>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</si>
  <si>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</si>
  <si>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</si>
  <si>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</si>
  <si>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</si>
  <si>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</si>
  <si>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</si>
  <si>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</si>
  <si>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</si>
  <si>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</si>
  <si>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</si>
  <si>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</si>
  <si>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</si>
  <si>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</si>
  <si>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</si>
  <si>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</si>
  <si>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</si>
  <si>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</si>
  <si>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</si>
  <si>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</si>
  <si>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</si>
  <si>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</si>
  <si>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</si>
  <si>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</si>
  <si>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</si>
  <si>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</si>
  <si>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</si>
  <si>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</si>
  <si>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</si>
  <si>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</si>
  <si>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</si>
  <si>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</si>
  <si>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</si>
  <si>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</si>
  <si>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</si>
  <si>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</si>
  <si>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</si>
  <si>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</si>
  <si>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</si>
  <si>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</si>
  <si>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</si>
  <si>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</si>
  <si>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</si>
  <si>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</si>
  <si>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</si>
  <si>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</si>
  <si>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</si>
  <si>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</si>
  <si>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</si>
  <si>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</si>
  <si>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</si>
  <si>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</si>
  <si>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</si>
  <si>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</si>
  <si>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</si>
  <si>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</si>
  <si>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</si>
  <si>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</si>
  <si>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</si>
  <si>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</si>
  <si>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</si>
  <si>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</si>
  <si>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</si>
  <si>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</si>
  <si>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</si>
  <si>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</si>
  <si>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</si>
  <si>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</si>
  <si>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</si>
  <si>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</si>
  <si>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</si>
  <si>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</si>
  <si>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</si>
  <si>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</si>
  <si>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</si>
  <si>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</si>
  <si>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</si>
  <si>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</si>
  <si>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</si>
  <si>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</si>
  <si>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</si>
  <si>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</si>
  <si>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</si>
  <si>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</si>
  <si>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</si>
  <si>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</si>
  <si>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</si>
  <si>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</si>
  <si>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</si>
  <si>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</si>
  <si>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</si>
  <si>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</si>
  <si>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</si>
  <si>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</si>
  <si>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</si>
  <si>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</si>
  <si>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</si>
  <si>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</si>
  <si>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</si>
  <si>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</si>
  <si>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</si>
  <si>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</si>
  <si>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</si>
  <si>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</si>
  <si>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</si>
  <si>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</si>
  <si>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</si>
  <si>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</si>
  <si>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</si>
  <si>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</si>
  <si>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</si>
  <si>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</si>
  <si>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</si>
  <si>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</si>
  <si>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</si>
  <si>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</si>
  <si>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</si>
  <si>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</si>
  <si>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</si>
  <si>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</si>
  <si>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</si>
  <si>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</si>
  <si>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</si>
  <si>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</si>
  <si>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</si>
  <si>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</si>
  <si>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</si>
  <si>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</si>
  <si>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</si>
  <si>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</si>
  <si>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</si>
  <si>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</si>
  <si>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</si>
  <si>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</si>
  <si>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</si>
  <si>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</si>
  <si>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</si>
  <si>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</si>
  <si>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</si>
  <si>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</si>
  <si>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</si>
  <si>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</si>
  <si>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</si>
  <si>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</si>
  <si>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</si>
  <si>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</si>
  <si>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</si>
  <si>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</si>
  <si>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</si>
  <si>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</si>
  <si>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</si>
  <si>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</si>
  <si>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</si>
  <si>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</si>
  <si>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</si>
  <si>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</si>
  <si>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</si>
  <si>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</si>
  <si>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</si>
  <si>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</si>
  <si>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</si>
  <si>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</si>
  <si>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</si>
  <si>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</si>
  <si>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</si>
  <si>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</si>
  <si>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</si>
  <si>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</si>
  <si>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</si>
  <si>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</si>
  <si>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</si>
  <si>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</si>
  <si>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</si>
  <si>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</si>
  <si>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</si>
  <si>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</si>
  <si>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</si>
  <si>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</si>
  <si>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</si>
  <si>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</si>
  <si>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</si>
  <si>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</si>
  <si>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</si>
  <si>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</si>
  <si>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</si>
  <si>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</si>
  <si>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</si>
  <si>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</si>
  <si>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</si>
  <si>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</si>
  <si>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</si>
  <si>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</si>
  <si>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</si>
  <si>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</si>
  <si>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</si>
  <si>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</si>
  <si>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</si>
  <si>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</si>
  <si>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</si>
  <si>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</si>
  <si>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</si>
  <si>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</si>
  <si>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</si>
  <si>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</si>
  <si>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</si>
  <si>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</si>
  <si>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</si>
  <si>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</si>
  <si>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</si>
  <si>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</si>
  <si>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</si>
  <si>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</si>
  <si>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</si>
  <si>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</si>
  <si>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</si>
  <si>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</si>
  <si>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</si>
  <si>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</si>
  <si>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</si>
  <si>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</si>
  <si>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</si>
  <si>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</si>
  <si>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</si>
  <si>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</si>
  <si>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</si>
  <si>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</si>
  <si>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</si>
  <si>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</si>
  <si>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</si>
  <si>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</si>
  <si>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</si>
  <si>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</si>
  <si>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</si>
  <si>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</si>
  <si>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</si>
  <si>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</si>
  <si>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</si>
  <si>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</si>
  <si>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</si>
  <si>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</si>
  <si>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</si>
  <si>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</si>
  <si>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</si>
  <si>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</si>
  <si>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</si>
  <si>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</si>
  <si>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</si>
  <si>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</si>
  <si>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</si>
  <si>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</si>
  <si>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</si>
  <si>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</si>
  <si>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</si>
  <si>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</si>
  <si>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</si>
  <si>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</si>
  <si>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</si>
  <si>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</si>
  <si>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</si>
  <si>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</si>
  <si>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</si>
  <si>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</si>
  <si>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</si>
  <si>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</si>
  <si>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</si>
  <si>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</si>
  <si>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</si>
  <si>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</si>
  <si>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</si>
  <si>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</si>
  <si>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</si>
  <si>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</si>
  <si>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</si>
  <si>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</si>
  <si>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</si>
  <si>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</si>
  <si>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</si>
  <si>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</si>
  <si>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</si>
  <si>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</si>
  <si>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</si>
  <si>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</si>
  <si>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</si>
  <si>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</si>
  <si>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</si>
  <si>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</si>
  <si>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</si>
  <si>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</si>
  <si>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</si>
  <si>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</si>
  <si>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</si>
  <si>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</si>
  <si>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</si>
  <si>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</si>
  <si>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</si>
  <si>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</si>
  <si>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</si>
  <si>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</si>
  <si>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</si>
  <si>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</si>
  <si>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</si>
  <si>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</si>
  <si>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</si>
  <si>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</si>
  <si>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</si>
  <si>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</si>
  <si>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</si>
  <si>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</si>
  <si>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</si>
  <si>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</si>
  <si>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</si>
  <si>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</si>
  <si>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</si>
  <si>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</si>
  <si>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</si>
  <si>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</si>
  <si>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</si>
  <si>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</si>
  <si>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</si>
  <si>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</si>
  <si>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</si>
  <si>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</si>
  <si>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</si>
  <si>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</si>
  <si>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</si>
  <si>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</si>
  <si>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</si>
  <si>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</si>
  <si>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</si>
  <si>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</si>
  <si>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</si>
  <si>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</si>
  <si>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</si>
  <si>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</si>
  <si>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</si>
  <si>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</si>
  <si>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</si>
  <si>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</si>
  <si>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</si>
  <si>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</si>
  <si>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</si>
  <si>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</si>
  <si>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</si>
  <si>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</si>
  <si>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</si>
  <si>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</si>
  <si>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</si>
  <si>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</si>
  <si>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</si>
  <si>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</si>
  <si>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</si>
  <si>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</si>
  <si>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</si>
  <si>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</si>
  <si>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</si>
  <si>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</si>
  <si>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</si>
  <si>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</si>
  <si>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</si>
  <si>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</si>
  <si>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</si>
  <si>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</si>
  <si>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</si>
  <si>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</si>
  <si>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</si>
  <si>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</si>
  <si>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</si>
  <si>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</si>
  <si>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</si>
  <si>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</si>
  <si>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</si>
  <si>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</si>
  <si>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</si>
  <si>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</si>
  <si>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</si>
  <si>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</si>
  <si>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</si>
  <si>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</si>
  <si>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</si>
  <si>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</si>
  <si>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</si>
  <si>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</si>
  <si>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</si>
  <si>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</si>
  <si>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</si>
  <si>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</si>
  <si>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</si>
  <si>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</si>
  <si>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</si>
  <si>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</si>
  <si>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</si>
  <si>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</si>
  <si>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</si>
  <si>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</si>
  <si>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</si>
  <si>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</si>
  <si>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</si>
  <si>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</si>
  <si>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</si>
  <si>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</si>
  <si>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</si>
  <si>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</si>
  <si>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</si>
  <si>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</si>
  <si>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</si>
  <si>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</si>
  <si>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</si>
  <si>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</si>
  <si>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</si>
  <si>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</si>
  <si>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</si>
  <si>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</si>
  <si>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</si>
  <si>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</si>
  <si>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</si>
  <si>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</si>
  <si>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</si>
  <si>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</si>
  <si>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</si>
  <si>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</si>
  <si>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</si>
  <si>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</si>
  <si>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</si>
  <si>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</si>
  <si>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</si>
  <si>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</si>
  <si>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</si>
  <si>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</si>
  <si>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</si>
  <si>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</si>
  <si>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</si>
  <si>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</si>
  <si>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</si>
  <si>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</si>
  <si>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</si>
  <si>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</si>
  <si>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</si>
  <si>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</si>
  <si>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</si>
  <si>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</si>
  <si>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</si>
  <si>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</si>
  <si>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</si>
  <si>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</si>
  <si>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</si>
  <si>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</si>
  <si>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</si>
  <si>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</si>
  <si>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</si>
  <si>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</si>
  <si>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</si>
  <si>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</si>
  <si>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</si>
  <si>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</si>
  <si>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</si>
  <si>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</si>
  <si>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</si>
  <si>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</si>
  <si>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</si>
  <si>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</si>
  <si>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</si>
  <si>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</si>
  <si>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</si>
  <si>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</si>
  <si>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</si>
  <si>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</si>
  <si>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</si>
  <si>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</si>
  <si>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</si>
  <si>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</si>
  <si>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</si>
  <si>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</si>
  <si>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</si>
  <si>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</si>
  <si>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</si>
  <si>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</si>
  <si>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</si>
  <si>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</si>
  <si>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</si>
  <si>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</si>
  <si>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</si>
  <si>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</si>
  <si>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</si>
  <si>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</si>
  <si>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</si>
  <si>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</si>
  <si>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</si>
  <si>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</si>
  <si>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</si>
  <si>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</si>
  <si>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</si>
  <si>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</si>
  <si>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</si>
  <si>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</si>
  <si>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</si>
  <si>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</si>
  <si>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</si>
  <si>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</si>
  <si>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</si>
  <si>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</si>
  <si>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</si>
  <si>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</si>
  <si>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</si>
  <si>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</si>
  <si>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</si>
  <si>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</si>
  <si>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</si>
  <si>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</si>
  <si>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</si>
  <si>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</si>
  <si>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</si>
  <si>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</si>
  <si>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</si>
  <si>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</si>
  <si>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</si>
  <si>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</si>
  <si>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</si>
  <si>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</si>
  <si>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</si>
  <si>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</si>
  <si>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</si>
  <si>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</si>
  <si>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</si>
  <si>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</si>
  <si>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</si>
  <si>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</si>
  <si>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</si>
  <si>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</si>
  <si>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</si>
  <si>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</si>
  <si>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</si>
  <si>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</si>
  <si>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</si>
  <si>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</si>
  <si>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</si>
  <si>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</si>
  <si>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</si>
  <si>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</si>
  <si>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</si>
  <si>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</si>
  <si>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</si>
  <si>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</si>
  <si>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</si>
  <si>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</si>
  <si>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</si>
  <si>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</si>
  <si>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</si>
  <si>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</si>
  <si>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</si>
  <si>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</si>
  <si>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</si>
  <si>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</si>
  <si>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</si>
  <si>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</si>
  <si>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</si>
  <si>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</si>
  <si>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</si>
  <si>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</si>
  <si>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</si>
  <si>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</si>
  <si>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</si>
  <si>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</si>
  <si>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</si>
  <si>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</si>
  <si>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</si>
  <si>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</si>
  <si>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</si>
  <si>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</si>
  <si>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</si>
  <si>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</si>
  <si>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</si>
  <si>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</si>
  <si>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</si>
  <si>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</si>
  <si>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</si>
  <si>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</si>
  <si>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</si>
  <si>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</si>
  <si>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</si>
  <si>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</si>
  <si>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</si>
  <si>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</si>
  <si>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</si>
  <si>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</si>
  <si>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</si>
  <si>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</si>
  <si>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</si>
  <si>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</si>
  <si>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</si>
  <si>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</si>
  <si>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</si>
  <si>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</si>
  <si>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</si>
  <si>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</si>
  <si>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</si>
  <si>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</si>
  <si>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</si>
  <si>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</si>
  <si>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</si>
  <si>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</si>
  <si>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</si>
  <si>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</si>
  <si>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</si>
  <si>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</si>
  <si>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</si>
  <si>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</si>
  <si>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</si>
  <si>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</si>
  <si>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</si>
  <si>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</si>
  <si>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</si>
  <si>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</si>
  <si>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</si>
  <si>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</si>
  <si>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</si>
  <si>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</si>
  <si>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</si>
  <si>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</si>
  <si>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</si>
  <si>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</si>
  <si>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</si>
  <si>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</si>
  <si>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</si>
  <si>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</si>
  <si>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</si>
  <si>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</si>
  <si>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</si>
  <si>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</si>
  <si>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</si>
  <si>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</si>
  <si>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</si>
  <si>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</si>
  <si>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</si>
  <si>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</si>
  <si>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</si>
  <si>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</si>
  <si>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</si>
  <si>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</si>
  <si>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</si>
  <si>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</si>
  <si>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</si>
  <si>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</si>
  <si>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</si>
  <si>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</si>
  <si>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</si>
  <si>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</si>
  <si>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</si>
  <si>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</si>
  <si>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</si>
  <si>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</si>
  <si>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</si>
  <si>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</si>
  <si>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</si>
  <si>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</si>
  <si>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</si>
  <si>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</si>
  <si>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</si>
  <si>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</si>
  <si>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</si>
  <si>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</si>
  <si>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</si>
  <si>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</si>
  <si>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</si>
  <si>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</si>
  <si>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</si>
  <si>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</si>
  <si>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</si>
  <si>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</si>
  <si>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</si>
  <si>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</si>
  <si>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</si>
  <si>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</si>
  <si>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</si>
  <si>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</si>
  <si>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</si>
  <si>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</si>
  <si>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</si>
  <si>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</si>
  <si>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</si>
  <si>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</si>
  <si>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</si>
  <si>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</si>
  <si>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</si>
  <si>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</si>
  <si>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</si>
  <si>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</si>
  <si>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</si>
  <si>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</si>
  <si>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</si>
  <si>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</si>
  <si>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</si>
  <si>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</si>
  <si>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</si>
  <si>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</si>
  <si>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</si>
  <si>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</si>
  <si>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</si>
  <si>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</si>
  <si>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</si>
  <si>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</si>
  <si>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</si>
  <si>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</si>
  <si>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</si>
  <si>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</si>
  <si>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</si>
  <si>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</si>
  <si>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</si>
  <si>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</si>
  <si>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</si>
  <si>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</si>
  <si>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</si>
  <si>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</si>
  <si>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</si>
  <si>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</si>
  <si>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</si>
  <si>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</si>
  <si>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</si>
  <si>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</si>
  <si>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</si>
  <si>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</si>
  <si>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</si>
  <si>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</si>
  <si>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</si>
  <si>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</si>
  <si>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</si>
  <si>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</si>
  <si>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</si>
  <si>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</si>
  <si>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</si>
  <si>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</si>
  <si>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</si>
  <si>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</si>
  <si>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</si>
  <si>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</si>
  <si>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</si>
  <si>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</si>
  <si>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</si>
  <si>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</si>
  <si>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</si>
  <si>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</si>
  <si>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</si>
  <si>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</si>
  <si>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</si>
  <si>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</si>
  <si>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</si>
  <si>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</si>
  <si>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</si>
  <si>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</si>
  <si>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</si>
  <si>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</si>
  <si>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</si>
  <si>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</si>
  <si>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</si>
  <si>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</si>
  <si>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</si>
  <si>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</si>
  <si>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</si>
  <si>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</si>
  <si>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</si>
  <si>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</si>
  <si>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</si>
  <si>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</si>
  <si>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</si>
  <si>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</si>
  <si>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</si>
  <si>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</si>
  <si>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</si>
  <si>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</si>
  <si>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</si>
  <si>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</si>
  <si>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</si>
  <si>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</si>
  <si>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</si>
  <si>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</si>
  <si>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</si>
  <si>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</si>
  <si>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</si>
  <si>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</si>
  <si>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</si>
  <si>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</si>
  <si>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</si>
  <si>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</si>
  <si>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</si>
  <si>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</si>
  <si>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</si>
  <si>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</si>
  <si>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</si>
  <si>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</si>
  <si>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</si>
  <si>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</si>
  <si>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</si>
  <si>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</si>
  <si>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</si>
  <si>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</si>
  <si>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</si>
  <si>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</si>
  <si>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</si>
  <si>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</si>
  <si>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</si>
  <si>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</si>
  <si>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</si>
  <si>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</si>
  <si>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</si>
  <si>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</si>
  <si>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</si>
  <si>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</si>
  <si>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</si>
  <si>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</si>
  <si>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</si>
  <si>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</si>
  <si>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</si>
  <si>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</si>
  <si>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</si>
  <si>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</si>
  <si>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</si>
  <si>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</si>
  <si>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</si>
  <si>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</si>
  <si>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</si>
  <si>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</si>
  <si>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</si>
  <si>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</si>
  <si>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</si>
  <si>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</si>
  <si>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</si>
  <si>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</si>
  <si>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</si>
  <si>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</si>
  <si>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</si>
  <si>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</si>
  <si>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</si>
  <si>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</si>
  <si>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</si>
  <si>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</si>
  <si>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</si>
  <si>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</si>
  <si>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</si>
  <si>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</si>
  <si>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</si>
  <si>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</si>
  <si>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</si>
  <si>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</si>
  <si>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</si>
  <si>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</si>
  <si>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</si>
  <si>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</si>
  <si>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</si>
  <si>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</si>
  <si>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</si>
  <si>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</si>
  <si>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</si>
  <si>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</si>
  <si>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</si>
  <si>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</si>
  <si>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</si>
  <si>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</si>
  <si>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</si>
  <si>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</si>
  <si>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</si>
  <si>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</si>
  <si>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</si>
  <si>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</si>
  <si>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</si>
  <si>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</si>
  <si>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</si>
  <si>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</si>
  <si>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</si>
  <si>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</si>
  <si>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</si>
  <si>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</si>
  <si>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</si>
  <si>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</si>
  <si>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</si>
  <si>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</si>
  <si>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</si>
  <si>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</si>
  <si>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</si>
  <si>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</si>
  <si>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</si>
  <si>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</si>
  <si>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</si>
  <si>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</si>
  <si>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</si>
  <si>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</si>
  <si>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</si>
  <si>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</si>
  <si>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</si>
  <si>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</si>
  <si>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</si>
  <si>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</si>
  <si>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</si>
  <si>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</si>
  <si>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</si>
  <si>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</si>
  <si>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</si>
  <si>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</si>
  <si>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</si>
  <si>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</si>
  <si>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</si>
  <si>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</si>
  <si>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</si>
  <si>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</si>
  <si>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</si>
  <si>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</si>
  <si>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</si>
  <si>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</si>
  <si>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</si>
  <si>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</si>
  <si>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</si>
  <si>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</si>
  <si>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</si>
  <si>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</si>
  <si>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</si>
  <si>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</si>
  <si>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</si>
  <si>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</si>
  <si>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</si>
  <si>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</si>
  <si>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</si>
  <si>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</si>
  <si>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</si>
  <si>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</si>
  <si>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</si>
  <si>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</si>
  <si>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</si>
  <si>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</si>
  <si>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</si>
  <si>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</si>
  <si>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</si>
  <si>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</si>
  <si>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</si>
  <si>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</si>
  <si>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</si>
  <si>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</si>
  <si>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</si>
  <si>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</si>
  <si>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</si>
  <si>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</si>
  <si>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</si>
  <si>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</si>
  <si>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</si>
  <si>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</si>
  <si>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</si>
  <si>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</si>
  <si>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</si>
  <si>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</si>
  <si>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</si>
  <si>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</si>
  <si>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</si>
  <si>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</si>
  <si>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</si>
  <si>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</si>
  <si>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</si>
  <si>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</si>
  <si>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</si>
  <si>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</si>
  <si>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</si>
  <si>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</si>
  <si>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</si>
  <si>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</si>
  <si>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</si>
  <si>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</si>
  <si>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</si>
  <si>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</si>
  <si>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</si>
  <si>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</si>
  <si>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</si>
  <si>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</si>
  <si>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</si>
  <si>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</si>
  <si>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</si>
  <si>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</si>
  <si>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</si>
  <si>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</si>
  <si>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</si>
  <si>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</si>
  <si>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</si>
  <si>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</si>
  <si>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</si>
  <si>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</si>
  <si>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</si>
  <si>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</si>
  <si>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</si>
  <si>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</si>
  <si>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</si>
  <si>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</si>
  <si>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</si>
  <si>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</si>
  <si>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</si>
  <si>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</si>
  <si>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</si>
  <si>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</si>
  <si>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</si>
  <si>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</si>
  <si>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</si>
  <si>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</si>
  <si>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</si>
  <si>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</si>
  <si>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</si>
  <si>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</si>
  <si>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</si>
  <si>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</si>
  <si>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</si>
  <si>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</si>
  <si>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</si>
  <si>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</si>
  <si>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</si>
  <si>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</si>
  <si>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</si>
  <si>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</si>
  <si>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</si>
  <si>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</si>
  <si>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</si>
  <si>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</si>
  <si>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</si>
  <si>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</si>
  <si>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</si>
  <si>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</si>
  <si>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</si>
  <si>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</si>
  <si>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</si>
  <si>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</si>
  <si>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</si>
  <si>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</si>
  <si>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</si>
  <si>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</si>
  <si>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</si>
  <si>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</si>
  <si>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</si>
  <si>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</si>
  <si>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</si>
  <si>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</si>
  <si>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</si>
  <si>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</si>
  <si>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</si>
  <si>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</si>
  <si>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</si>
  <si>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</si>
  <si>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</si>
  <si>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</si>
  <si>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</si>
  <si>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</si>
  <si>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</si>
  <si>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</si>
  <si>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</si>
  <si>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</si>
  <si>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</si>
  <si>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</si>
  <si>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</si>
  <si>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</si>
  <si>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</si>
  <si>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</si>
  <si>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</si>
  <si>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</si>
  <si>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</si>
  <si>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</si>
  <si>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</si>
  <si>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</si>
  <si>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</si>
  <si>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</si>
  <si>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</si>
  <si>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</si>
  <si>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</si>
  <si>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</si>
  <si>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</si>
  <si>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</si>
  <si>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</si>
  <si>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</si>
  <si>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</si>
  <si>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</si>
  <si>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</si>
  <si>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</si>
  <si>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</si>
  <si>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</si>
  <si>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</si>
  <si>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</si>
  <si>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</si>
  <si>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</si>
  <si>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</si>
  <si>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</si>
  <si>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</si>
  <si>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</si>
  <si>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</si>
  <si>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</si>
  <si>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</si>
  <si>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</si>
  <si>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</si>
  <si>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</si>
  <si>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</si>
  <si>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</si>
  <si>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</si>
  <si>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</si>
  <si>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</si>
  <si>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</si>
  <si>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</si>
  <si>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</si>
  <si>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</si>
  <si>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</si>
  <si>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</si>
  <si>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</si>
  <si>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</si>
  <si>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</si>
  <si>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</si>
  <si>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</si>
  <si>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</si>
  <si>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</si>
  <si>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</si>
  <si>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</si>
  <si>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</si>
  <si>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</si>
  <si>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</si>
  <si>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</si>
  <si>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</si>
  <si>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</si>
  <si>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</si>
  <si>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</si>
  <si>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</si>
  <si>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</si>
  <si>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</si>
  <si>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</si>
  <si>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</si>
  <si>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</si>
  <si>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</si>
  <si>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</si>
  <si>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</si>
  <si>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</si>
  <si>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</si>
  <si>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</si>
  <si>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</si>
  <si>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</si>
  <si>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</si>
  <si>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</si>
  <si>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</si>
  <si>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</si>
  <si>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</si>
  <si>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</si>
  <si>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</si>
  <si>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</si>
  <si>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</si>
  <si>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</si>
  <si>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</si>
  <si>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</si>
  <si>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</si>
  <si>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</si>
  <si>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</si>
  <si>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</si>
  <si>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</si>
  <si>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</si>
  <si>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</si>
  <si>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</si>
  <si>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</si>
  <si>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</si>
  <si>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</si>
  <si>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</si>
  <si>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</si>
  <si>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</si>
  <si>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</si>
  <si>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</si>
  <si>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</si>
  <si>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</si>
  <si>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</si>
  <si>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</si>
  <si>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</si>
  <si>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</si>
  <si>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</si>
  <si>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</si>
  <si>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</si>
  <si>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</si>
  <si>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</si>
  <si>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</si>
  <si>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</si>
  <si>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</si>
  <si>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</si>
  <si>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</si>
  <si>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</si>
  <si>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</si>
  <si>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</si>
  <si>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</si>
  <si>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</si>
  <si>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</si>
  <si>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</si>
  <si>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</si>
  <si>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</si>
  <si>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</si>
  <si>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</si>
  <si>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</si>
  <si>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</si>
  <si>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</si>
  <si>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</si>
  <si>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</si>
  <si>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</si>
  <si>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</si>
  <si>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</si>
  <si>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</si>
  <si>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</si>
  <si>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</si>
  <si>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</si>
  <si>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</si>
  <si>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</si>
  <si>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</si>
  <si>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</si>
  <si>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</si>
  <si>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</si>
  <si>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</si>
  <si>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</si>
  <si>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</si>
  <si>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</si>
  <si>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</si>
  <si>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</si>
  <si>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</si>
  <si>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</si>
  <si>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</si>
  <si>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</si>
  <si>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</si>
  <si>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</si>
  <si>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</si>
  <si>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</si>
  <si>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</si>
  <si>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</si>
  <si>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</si>
  <si>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</si>
  <si>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</si>
  <si>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</si>
  <si>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</si>
  <si>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</si>
  <si>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</si>
  <si>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</si>
  <si>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</si>
  <si>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</si>
  <si>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</si>
  <si>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</si>
  <si>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</si>
  <si>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</si>
  <si>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</si>
  <si>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</si>
  <si>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</si>
  <si>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</si>
  <si>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</si>
  <si>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</si>
  <si>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</si>
  <si>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</si>
  <si>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</si>
  <si>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</si>
  <si>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</si>
  <si>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</si>
  <si>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</si>
  <si>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</si>
  <si>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</si>
  <si>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</si>
  <si>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</si>
  <si>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</si>
  <si>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</si>
  <si>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</si>
  <si>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</si>
  <si>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</si>
  <si>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</si>
  <si>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</si>
  <si>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</si>
  <si>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</si>
  <si>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</si>
  <si>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</si>
  <si>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</si>
  <si>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</si>
  <si>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</si>
  <si>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</si>
  <si>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</si>
  <si>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</si>
  <si>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</si>
  <si>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</si>
  <si>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</si>
  <si>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</si>
  <si>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</si>
  <si>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</si>
  <si>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</si>
  <si>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</si>
  <si>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</si>
  <si>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</si>
  <si>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</si>
  <si>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</si>
  <si>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</si>
  <si>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</si>
  <si>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</si>
  <si>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</si>
  <si>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</si>
  <si>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</si>
  <si>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</si>
  <si>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</si>
  <si>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</si>
  <si>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</si>
  <si>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</si>
  <si>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</si>
  <si>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</si>
  <si>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</si>
  <si>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</si>
  <si>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</si>
  <si>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</si>
  <si>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</si>
  <si>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</si>
  <si>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</si>
  <si>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</si>
  <si>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</si>
  <si>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</si>
  <si>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</si>
  <si>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</si>
  <si>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</si>
  <si>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</si>
  <si>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</si>
  <si>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</si>
  <si>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</si>
  <si>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</si>
  <si>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</si>
  <si>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</si>
  <si>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</si>
  <si>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</si>
  <si>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</si>
  <si>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</si>
  <si>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</si>
  <si>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</si>
  <si>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</si>
  <si>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</si>
  <si>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</si>
  <si>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</si>
  <si>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</si>
  <si>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</si>
  <si>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</si>
  <si>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</si>
  <si>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</si>
  <si>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</si>
  <si>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</si>
  <si>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</si>
  <si>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</si>
  <si>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</si>
  <si>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</si>
  <si>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</si>
  <si>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</si>
  <si>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</si>
  <si>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</si>
  <si>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</si>
  <si>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</si>
  <si>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</si>
  <si>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</si>
  <si>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</si>
  <si>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</si>
  <si>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</si>
  <si>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</si>
  <si>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</si>
  <si>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</si>
  <si>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</si>
  <si>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</si>
  <si>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</si>
  <si>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</si>
  <si>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</si>
  <si>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</si>
  <si>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</si>
  <si>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</si>
  <si>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</si>
  <si>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</si>
  <si>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</si>
  <si>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</si>
  <si>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</si>
  <si>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</si>
  <si>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</si>
  <si>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</si>
  <si>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</si>
  <si>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</si>
  <si>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</si>
  <si>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</si>
  <si>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</si>
  <si>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</si>
  <si>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</si>
  <si>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</si>
  <si>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</si>
  <si>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</si>
  <si>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</si>
  <si>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</si>
  <si>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</si>
  <si>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</si>
  <si>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</si>
  <si>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</si>
  <si>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</si>
  <si>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</si>
  <si>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</si>
  <si>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</si>
  <si>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</si>
  <si>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</si>
  <si>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</si>
  <si>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</si>
  <si>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</si>
  <si>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</si>
  <si>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</si>
  <si>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</si>
  <si>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</si>
  <si>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</si>
  <si>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</si>
  <si>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</si>
  <si>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</si>
  <si>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</si>
  <si>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</si>
  <si>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</si>
  <si>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</si>
  <si>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</si>
  <si>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</si>
  <si>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</si>
  <si>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</si>
  <si>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</si>
  <si>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</si>
  <si>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</si>
  <si>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</si>
  <si>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</si>
  <si>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</si>
  <si>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</si>
  <si>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</si>
  <si>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</si>
  <si>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</si>
  <si>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</si>
  <si>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</si>
  <si>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</si>
  <si>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</si>
  <si>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</si>
  <si>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</si>
  <si>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</si>
  <si>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</si>
  <si>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</si>
  <si>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</si>
  <si>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</si>
  <si>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</si>
  <si>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</si>
  <si>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</si>
  <si>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</si>
  <si>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</si>
  <si>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</si>
  <si>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</si>
  <si>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</si>
  <si>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</si>
  <si>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</si>
  <si>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</si>
  <si>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</si>
  <si>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</si>
  <si>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</si>
  <si>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</si>
  <si>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</si>
  <si>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</si>
  <si>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</si>
  <si>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</si>
  <si>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</si>
  <si>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</si>
  <si>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</si>
  <si>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</si>
  <si>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</si>
  <si>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</si>
  <si>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</si>
  <si>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</si>
  <si>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</si>
  <si>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</si>
  <si>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</si>
  <si>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</si>
  <si>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</si>
  <si>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</si>
  <si>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</si>
  <si>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</si>
  <si>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</si>
  <si>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</si>
  <si>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</si>
  <si>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</si>
  <si>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</si>
  <si>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</si>
  <si>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</si>
  <si>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</si>
  <si>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</si>
  <si>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</si>
  <si>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</si>
  <si>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</si>
  <si>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</si>
  <si>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</si>
  <si>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</si>
  <si>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</si>
  <si>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</si>
  <si>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</si>
  <si>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</si>
  <si>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</si>
  <si>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</si>
  <si>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</si>
  <si>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</si>
  <si>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</si>
  <si>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</si>
  <si>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</si>
  <si>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</si>
  <si>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</si>
  <si>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</si>
  <si>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</si>
  <si>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</si>
  <si>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</si>
  <si>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</si>
  <si>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</si>
  <si>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</si>
  <si>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</si>
  <si>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</si>
  <si>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</si>
  <si>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</si>
  <si>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</si>
  <si>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</si>
  <si>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</si>
  <si>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</si>
  <si>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</si>
  <si>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</si>
  <si>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</si>
  <si>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</si>
  <si>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</si>
  <si>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</si>
  <si>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</si>
  <si>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</si>
  <si>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</si>
  <si>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</si>
  <si>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</si>
  <si>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</si>
  <si>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</si>
  <si>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</si>
  <si>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</si>
  <si>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</si>
  <si>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</si>
  <si>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</si>
  <si>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</si>
  <si>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</si>
  <si>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</si>
  <si>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</si>
  <si>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</si>
  <si>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</si>
  <si>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</si>
  <si>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</si>
  <si>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</si>
  <si>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</si>
  <si>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</si>
  <si>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</si>
  <si>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</si>
  <si>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</si>
  <si>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</si>
  <si>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</si>
  <si>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</si>
  <si>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</si>
  <si>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</si>
  <si>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</si>
  <si>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</si>
  <si>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</si>
  <si>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</si>
  <si>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</si>
  <si>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</si>
  <si>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</si>
  <si>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</si>
  <si>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</si>
  <si>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</si>
  <si>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</si>
  <si>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</si>
  <si>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</si>
  <si>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</si>
  <si>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</si>
  <si>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</si>
  <si>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</si>
  <si>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</si>
  <si>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</si>
  <si>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</si>
  <si>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</si>
  <si>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</si>
  <si>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</si>
  <si>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</si>
  <si>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</si>
  <si>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</si>
  <si>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</si>
  <si>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</si>
  <si>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</si>
  <si>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</si>
  <si>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</si>
  <si>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</si>
  <si>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</si>
  <si>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</si>
  <si>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</si>
  <si>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</si>
  <si>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</si>
  <si>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</si>
  <si>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</si>
  <si>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</si>
  <si>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</si>
  <si>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</si>
  <si>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</si>
  <si>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</si>
  <si>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</si>
  <si>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</si>
  <si>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</si>
  <si>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</si>
  <si>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</si>
  <si>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</si>
  <si>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</si>
  <si>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</si>
  <si>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</si>
  <si>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</si>
  <si>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</si>
  <si>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</si>
  <si>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</si>
  <si>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</si>
  <si>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</si>
  <si>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</si>
  <si>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</si>
  <si>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</si>
  <si>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</si>
  <si>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</si>
  <si>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</si>
  <si>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</si>
  <si>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</si>
  <si>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</si>
  <si>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</si>
  <si>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</si>
  <si>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</si>
  <si>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</si>
  <si>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</si>
  <si>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</si>
  <si>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</si>
  <si>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</si>
  <si>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</si>
  <si>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</si>
  <si>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</si>
  <si>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</si>
  <si>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</si>
  <si>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</si>
  <si>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</si>
  <si>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</si>
  <si>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</si>
  <si>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</si>
  <si>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</si>
  <si>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</si>
  <si>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</si>
  <si>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</si>
  <si>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</si>
  <si>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</si>
  <si>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</si>
  <si>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</si>
  <si>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</si>
  <si>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</si>
  <si>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</si>
  <si>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</si>
  <si>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</si>
  <si>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</si>
  <si>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</si>
  <si>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</si>
  <si>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</si>
  <si>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</si>
  <si>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</si>
  <si>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</si>
  <si>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</si>
  <si>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</si>
  <si>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</si>
  <si>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</si>
  <si>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</si>
  <si>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</si>
  <si>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</si>
  <si>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</si>
  <si>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</si>
  <si>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</si>
  <si>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</si>
  <si>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</si>
  <si>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</si>
  <si>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</si>
  <si>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</si>
  <si>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</si>
  <si>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</si>
  <si>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</si>
  <si>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</si>
  <si>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</si>
  <si>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</si>
  <si>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</si>
  <si>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</si>
  <si>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</si>
  <si>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</si>
  <si>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</si>
  <si>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</si>
  <si>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</si>
  <si>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</si>
  <si>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</si>
  <si>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</si>
  <si>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</si>
  <si>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</si>
  <si>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</si>
  <si>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</si>
  <si>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</si>
  <si>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</si>
  <si>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</si>
  <si>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</si>
  <si>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</si>
  <si>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</si>
  <si>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</si>
  <si>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</si>
  <si>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</si>
  <si>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</si>
  <si>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</si>
  <si>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</si>
  <si>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</si>
  <si>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</si>
  <si>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</si>
  <si>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</si>
  <si>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</si>
  <si>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</si>
  <si>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</si>
  <si>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</si>
  <si>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</si>
  <si>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</si>
  <si>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</si>
  <si>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</si>
  <si>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</si>
  <si>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</si>
  <si>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</si>
  <si>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</si>
  <si>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</si>
  <si>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</si>
  <si>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</si>
  <si>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</si>
  <si>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</si>
  <si>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</si>
  <si>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</si>
  <si>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</si>
  <si>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</si>
  <si>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</si>
  <si>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</si>
  <si>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</si>
  <si>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</si>
  <si>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</si>
  <si>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</si>
  <si>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</si>
  <si>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</si>
  <si>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</si>
  <si>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</si>
  <si>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</si>
  <si>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</si>
  <si>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</si>
  <si>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</si>
  <si>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</si>
  <si>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</si>
  <si>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</si>
  <si>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</si>
  <si>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</si>
  <si>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</si>
  <si>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</si>
  <si>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</si>
  <si>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</si>
  <si>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</si>
  <si>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</si>
  <si>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</si>
  <si>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</si>
  <si>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</si>
  <si>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</si>
  <si>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</si>
  <si>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</si>
  <si>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</si>
  <si>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</si>
  <si>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</si>
  <si>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</si>
  <si>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</si>
  <si>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</si>
  <si>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</si>
  <si>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</si>
  <si>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</si>
  <si>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</si>
  <si>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</si>
  <si>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</si>
  <si>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</si>
  <si>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</si>
  <si>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</si>
  <si>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</si>
  <si>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</si>
  <si>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</si>
  <si>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</si>
  <si>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</si>
  <si>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</si>
  <si>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</si>
  <si>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</si>
  <si>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</si>
  <si>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</si>
  <si>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</si>
  <si>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</si>
  <si>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</si>
  <si>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</si>
  <si>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</si>
  <si>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</si>
  <si>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</si>
  <si>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</si>
  <si>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</si>
  <si>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</si>
  <si>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</si>
  <si>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</si>
  <si>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</si>
  <si>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</si>
  <si>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</si>
  <si>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</si>
  <si>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</si>
  <si>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</si>
  <si>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</si>
  <si>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</si>
  <si>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</si>
  <si>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</si>
  <si>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</si>
  <si>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</si>
  <si>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</si>
  <si>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</si>
  <si>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</si>
  <si>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</si>
  <si>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</si>
  <si>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</si>
  <si>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</si>
  <si>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</si>
  <si>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</si>
  <si>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</si>
  <si>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</si>
  <si>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</si>
  <si>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</si>
  <si>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</si>
  <si>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</si>
  <si>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</si>
  <si>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</si>
  <si>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</si>
  <si>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</si>
  <si>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</si>
  <si>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</si>
  <si>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</si>
  <si>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</si>
  <si>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</si>
  <si>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</si>
  <si>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</si>
  <si>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</si>
  <si>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</si>
  <si>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</si>
  <si>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</si>
  <si>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</si>
  <si>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</si>
  <si>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</si>
  <si>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</si>
  <si>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</si>
  <si>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</si>
  <si>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</si>
  <si>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</si>
  <si>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</si>
  <si>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</si>
  <si>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</si>
  <si>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</si>
  <si>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</si>
  <si>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</si>
  <si>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</si>
  <si>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</si>
  <si>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</si>
  <si>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</si>
  <si>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</si>
  <si>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</si>
  <si>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</si>
  <si>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</si>
  <si>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</si>
  <si>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</si>
  <si>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</si>
  <si>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</si>
  <si>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</si>
  <si>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</si>
  <si>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</si>
  <si>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</si>
  <si>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</si>
  <si>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</si>
  <si>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</si>
  <si>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</si>
  <si>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</si>
  <si>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</si>
  <si>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</si>
  <si>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</si>
  <si>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</si>
  <si>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</si>
  <si>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</si>
  <si>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</si>
  <si>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</si>
  <si>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</si>
  <si>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</si>
  <si>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</si>
  <si>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</si>
  <si>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</si>
  <si>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</si>
  <si>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</si>
  <si>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</si>
  <si>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</si>
  <si>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</si>
  <si>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</si>
  <si>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</si>
  <si>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</si>
  <si>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</si>
  <si>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</si>
  <si>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</si>
  <si>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</si>
  <si>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</si>
  <si>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</si>
  <si>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</si>
  <si>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</si>
  <si>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</si>
  <si>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</si>
  <si>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</si>
  <si>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</si>
  <si>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</si>
  <si>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</si>
  <si>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</si>
  <si>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</si>
  <si>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</si>
  <si>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</si>
  <si>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</si>
  <si>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</si>
  <si>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</si>
  <si>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</si>
  <si>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</si>
  <si>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</si>
  <si>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</si>
  <si>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</si>
  <si>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</si>
  <si>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</si>
  <si>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</si>
  <si>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</si>
  <si>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</si>
  <si>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</si>
  <si>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</si>
  <si>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</si>
  <si>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</si>
  <si>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</si>
  <si>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</si>
  <si>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</si>
  <si>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</si>
  <si>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</si>
  <si>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</si>
  <si>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</si>
  <si>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</si>
  <si>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</si>
  <si>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</si>
  <si>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</si>
  <si>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</si>
  <si>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</si>
  <si>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</si>
  <si>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</si>
  <si>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</si>
  <si>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</si>
  <si>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</si>
  <si>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</si>
  <si>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</si>
  <si>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</si>
  <si>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</si>
  <si>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</si>
  <si>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</si>
  <si>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</si>
  <si>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</si>
  <si>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</si>
  <si>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</si>
  <si>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</si>
  <si>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</si>
  <si>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</si>
  <si>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</si>
  <si>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</si>
  <si>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</si>
  <si>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</si>
  <si>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</si>
  <si>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</si>
  <si>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</si>
  <si>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</si>
  <si>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</si>
  <si>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</si>
  <si>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</si>
  <si>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</si>
  <si>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</si>
  <si>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</si>
  <si>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</si>
  <si>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</si>
  <si>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</si>
  <si>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</si>
  <si>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</si>
  <si>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</si>
  <si>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</si>
  <si>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</si>
  <si>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</si>
  <si>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</si>
  <si>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</si>
  <si>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</si>
  <si>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</si>
  <si>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</si>
  <si>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</si>
  <si>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</si>
  <si>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</si>
  <si>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</si>
  <si>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</si>
  <si>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</si>
  <si>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</si>
  <si>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</si>
  <si>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</si>
  <si>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</si>
  <si>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</si>
  <si>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</si>
  <si>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</si>
  <si>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</si>
  <si>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</si>
  <si>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</si>
  <si>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</si>
  <si>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</si>
  <si>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</si>
  <si>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</si>
  <si>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</si>
  <si>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</si>
  <si>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</si>
  <si>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</si>
  <si>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</si>
  <si>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</si>
  <si>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</si>
  <si>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</si>
  <si>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</si>
  <si>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</si>
  <si>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</si>
  <si>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</si>
  <si>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</si>
  <si>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</si>
  <si>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</si>
  <si>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</si>
  <si>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</si>
  <si>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</si>
  <si>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</si>
  <si>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</si>
  <si>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</si>
  <si>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</si>
  <si>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</si>
  <si>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</si>
  <si>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</si>
  <si>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</si>
  <si>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</si>
  <si>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</si>
  <si>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</si>
  <si>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</si>
  <si>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</si>
  <si>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</si>
  <si>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</si>
  <si>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</si>
  <si>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</si>
  <si>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</si>
  <si>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</si>
  <si>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</si>
  <si>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</si>
  <si>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</si>
  <si>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</si>
  <si>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</si>
  <si>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</si>
  <si>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</si>
  <si>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</si>
  <si>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</si>
  <si>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</si>
  <si>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</si>
  <si>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</si>
  <si>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</si>
  <si>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</si>
  <si>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</si>
  <si>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</si>
  <si>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</si>
  <si>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</si>
  <si>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</si>
  <si>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</si>
  <si>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</si>
  <si>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</si>
  <si>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</si>
  <si>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</si>
  <si>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</si>
  <si>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</si>
  <si>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</si>
  <si>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</si>
  <si>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</si>
  <si>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</si>
  <si>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</si>
  <si>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</si>
  <si>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</si>
  <si>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</si>
  <si>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</si>
  <si>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</si>
  <si>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</si>
  <si>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</si>
  <si>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</si>
  <si>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</si>
  <si>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</si>
  <si>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</si>
  <si>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</si>
  <si>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</si>
  <si>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</si>
  <si>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</si>
  <si>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</si>
  <si>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</si>
  <si>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</si>
  <si>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</si>
  <si>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</si>
  <si>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</si>
  <si>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</si>
  <si>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</si>
  <si>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</si>
  <si>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</si>
  <si>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</si>
  <si>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</si>
  <si>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</si>
  <si>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</si>
  <si>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</si>
  <si>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</si>
  <si>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</si>
  <si>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</si>
  <si>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</si>
  <si>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</si>
  <si>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</si>
  <si>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</si>
  <si>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</si>
  <si>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</si>
  <si>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</si>
  <si>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</si>
  <si>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</si>
  <si>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</si>
  <si>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</si>
  <si>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</si>
  <si>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</si>
  <si>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</si>
  <si>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</si>
  <si>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</si>
  <si>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</si>
  <si>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</si>
  <si>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</si>
  <si>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</si>
  <si>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</si>
  <si>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</si>
  <si>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</si>
  <si>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</si>
  <si>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</si>
  <si>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</si>
  <si>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</si>
  <si>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</si>
  <si>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</si>
  <si>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</si>
  <si>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</si>
  <si>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</si>
  <si>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</si>
  <si>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</si>
  <si>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</si>
  <si>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</si>
  <si>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</si>
  <si>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</si>
  <si>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</si>
  <si>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</si>
  <si>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</si>
  <si>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</si>
  <si>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</si>
  <si>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</si>
  <si>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</si>
  <si>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</si>
  <si>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</si>
  <si>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</si>
  <si>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</si>
  <si>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</si>
  <si>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</si>
  <si>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</si>
  <si>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</si>
  <si>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</si>
  <si>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</si>
  <si>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</si>
  <si>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</si>
  <si>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</si>
  <si>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</si>
  <si>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</si>
  <si>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</si>
  <si>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</si>
  <si>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</si>
  <si>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</si>
  <si>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</si>
  <si>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</si>
  <si>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</si>
  <si>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</si>
  <si>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</si>
  <si>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</si>
  <si>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</si>
  <si>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</si>
  <si>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</si>
  <si>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</si>
  <si>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</si>
  <si>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</si>
  <si>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</si>
  <si>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</si>
  <si>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</si>
  <si>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</si>
  <si>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</si>
  <si>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</si>
  <si>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</si>
  <si>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</si>
  <si>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</si>
  <si>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</si>
  <si>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</si>
  <si>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</si>
  <si>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</si>
  <si>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</si>
  <si>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</si>
  <si>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</si>
  <si>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</si>
  <si>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</si>
  <si>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</si>
  <si>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</si>
  <si>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</si>
  <si>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</si>
  <si>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</si>
  <si>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</si>
  <si>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</si>
  <si>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</si>
  <si>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</si>
  <si>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</si>
  <si>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</si>
  <si>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</si>
  <si>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</si>
  <si>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</si>
  <si>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</si>
  <si>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</si>
  <si>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</si>
  <si>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</si>
  <si>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</si>
  <si>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</si>
  <si>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</si>
  <si>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</si>
  <si>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</si>
  <si>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</si>
  <si>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</si>
  <si>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</si>
  <si>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</si>
  <si>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</si>
  <si>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</si>
  <si>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</si>
  <si>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</si>
  <si>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</si>
  <si>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</si>
  <si>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</si>
  <si>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</si>
  <si>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</si>
  <si>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</si>
  <si>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</si>
  <si>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</si>
  <si>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</si>
  <si>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</si>
  <si>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</si>
  <si>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</si>
  <si>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</si>
  <si>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</si>
  <si>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</si>
  <si>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</si>
  <si>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</si>
  <si>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</si>
  <si>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</si>
  <si>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</si>
  <si>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</si>
  <si>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</si>
  <si>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</si>
  <si>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</si>
  <si>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</si>
  <si>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</si>
  <si>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</si>
  <si>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</si>
  <si>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</si>
  <si>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</si>
  <si>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</si>
  <si>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</si>
  <si>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</si>
  <si>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</si>
  <si>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</si>
  <si>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</si>
  <si>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</si>
  <si>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</si>
  <si>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</si>
  <si>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</si>
  <si>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</si>
  <si>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</si>
  <si>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</si>
  <si>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</si>
  <si>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</si>
  <si>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</si>
  <si>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</si>
  <si>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</si>
  <si>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</si>
  <si>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</si>
  <si>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</si>
  <si>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</si>
  <si>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</si>
  <si>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</si>
  <si>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</si>
  <si>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</si>
  <si>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</si>
  <si>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</si>
  <si>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</si>
  <si>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</si>
  <si>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</si>
  <si>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</si>
  <si>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</si>
  <si>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</si>
  <si>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</si>
  <si>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</si>
  <si>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</si>
  <si>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</si>
  <si>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</si>
  <si>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</si>
  <si>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</si>
  <si>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</si>
  <si>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</si>
  <si>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</si>
  <si>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</si>
  <si>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</si>
  <si>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</si>
  <si>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</si>
  <si>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</si>
  <si>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</si>
  <si>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</si>
  <si>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</si>
  <si>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</si>
  <si>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</si>
  <si>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</si>
  <si>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</si>
  <si>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</si>
  <si>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</si>
  <si>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</si>
  <si>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</si>
  <si>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</si>
  <si>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</si>
  <si>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</si>
  <si>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</si>
  <si>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</si>
  <si>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</si>
  <si>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</si>
  <si>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</si>
  <si>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</si>
  <si>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</si>
  <si>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</si>
  <si>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</si>
  <si>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</si>
  <si>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</si>
  <si>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</si>
  <si>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</si>
  <si>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</si>
  <si>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</si>
  <si>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</si>
  <si>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</si>
  <si>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</si>
  <si>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</si>
  <si>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</si>
  <si>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</si>
  <si>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</si>
  <si>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</si>
  <si>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</si>
  <si>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</si>
  <si>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</si>
  <si>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</si>
  <si>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</si>
  <si>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</si>
  <si>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</si>
  <si>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</si>
  <si>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</si>
  <si>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</si>
  <si>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</si>
  <si>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</si>
  <si>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</si>
  <si>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</si>
  <si>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</si>
  <si>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</si>
  <si>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</si>
  <si>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</si>
  <si>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</si>
  <si>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</si>
  <si>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</si>
  <si>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</si>
  <si>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</si>
  <si>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</si>
  <si>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</si>
  <si>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</si>
  <si>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</si>
  <si>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</si>
  <si>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</si>
  <si>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</si>
  <si>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</si>
  <si>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</si>
  <si>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</si>
  <si>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</si>
  <si>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</si>
  <si>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</si>
  <si>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</si>
  <si>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</si>
  <si>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</si>
  <si>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</si>
  <si>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</si>
  <si>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</si>
  <si>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</si>
  <si>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</si>
  <si>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</si>
  <si>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</si>
  <si>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</si>
  <si>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</si>
  <si>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</si>
  <si>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</si>
  <si>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</si>
  <si>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</si>
  <si>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</si>
  <si>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</si>
  <si>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</si>
  <si>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</si>
  <si>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</si>
  <si>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</si>
  <si>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</si>
  <si>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</si>
  <si>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</si>
  <si>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</si>
  <si>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</si>
  <si>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</si>
  <si>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</si>
  <si>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</si>
  <si>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</si>
  <si>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</si>
  <si>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</si>
  <si>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</si>
  <si>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</si>
  <si>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</si>
  <si>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</si>
  <si>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</si>
  <si>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</si>
  <si>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</si>
  <si>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</si>
  <si>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</si>
  <si>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</si>
  <si>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</si>
  <si>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</si>
  <si>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</si>
  <si>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</si>
  <si>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</si>
  <si>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</si>
  <si>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</si>
  <si>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</si>
  <si>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</si>
  <si>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</si>
  <si>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</si>
  <si>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</si>
  <si>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</si>
  <si>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</si>
  <si>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</si>
  <si>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</si>
  <si>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</si>
  <si>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</si>
  <si>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</si>
  <si>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</si>
  <si>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</si>
  <si>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</si>
  <si>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</si>
  <si>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</si>
  <si>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</si>
  <si>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</si>
  <si>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</si>
  <si>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</si>
  <si>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</si>
  <si>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</si>
  <si>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</si>
  <si>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</si>
  <si>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</si>
  <si>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</si>
  <si>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</si>
  <si>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</si>
  <si>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</si>
  <si>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</si>
  <si>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</si>
  <si>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</si>
  <si>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</si>
  <si>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</si>
  <si>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</si>
  <si>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</si>
  <si>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</si>
  <si>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</si>
  <si>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</si>
  <si>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</si>
  <si>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</si>
  <si>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</si>
  <si>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</si>
  <si>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</si>
  <si>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</si>
  <si>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</si>
  <si>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</si>
  <si>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</si>
  <si>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</si>
  <si>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</si>
  <si>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</si>
  <si>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</si>
  <si>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</si>
  <si>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</si>
  <si>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</si>
  <si>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</si>
  <si>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</si>
  <si>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</si>
  <si>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</si>
  <si>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</si>
  <si>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</si>
  <si>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</si>
  <si>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</si>
  <si>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</si>
  <si>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</si>
  <si>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</si>
  <si>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</si>
  <si>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</si>
  <si>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</si>
  <si>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</si>
  <si>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</si>
  <si>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</si>
  <si>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</si>
  <si>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</si>
  <si>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</si>
  <si>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</si>
  <si>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</si>
  <si>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</si>
  <si>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</si>
  <si>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</si>
  <si>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</si>
  <si>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</si>
  <si>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</si>
  <si>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</si>
  <si>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</si>
  <si>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</si>
  <si>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</si>
  <si>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</si>
  <si>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</si>
  <si>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</si>
  <si>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</si>
  <si>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</si>
  <si>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</si>
  <si>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</si>
  <si>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</si>
  <si>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</si>
  <si>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</si>
  <si>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</si>
  <si>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</si>
  <si>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</si>
  <si>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</si>
  <si>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</si>
  <si>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</si>
  <si>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</si>
  <si>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</si>
  <si>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</si>
  <si>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</si>
  <si>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</si>
  <si>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</si>
  <si>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</si>
  <si>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</si>
  <si>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</si>
  <si>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</si>
  <si>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</si>
  <si>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</si>
  <si>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</si>
  <si>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</si>
  <si>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</si>
  <si>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</si>
  <si>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</si>
  <si>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</si>
  <si>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</si>
  <si>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</si>
  <si>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</si>
  <si>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</si>
  <si>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</si>
  <si>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</si>
  <si>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</si>
  <si>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</si>
  <si>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</si>
  <si>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</si>
  <si>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</si>
  <si>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</si>
  <si>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</si>
  <si>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</si>
  <si>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</si>
  <si>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</si>
  <si>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</si>
  <si>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</si>
  <si>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</si>
  <si>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</si>
  <si>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</si>
  <si>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</si>
  <si>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</si>
  <si>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</si>
  <si>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</si>
  <si>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</si>
  <si>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</si>
  <si>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</si>
  <si>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</si>
  <si>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</si>
  <si>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</si>
  <si>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</si>
  <si>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</si>
  <si>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</si>
  <si>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</si>
  <si>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</si>
  <si>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</si>
  <si>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</si>
  <si>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</si>
  <si>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</si>
  <si>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</si>
  <si>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</si>
  <si>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</si>
  <si>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</si>
  <si>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</si>
  <si>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</si>
  <si>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</si>
  <si>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</si>
  <si>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</si>
  <si>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</si>
  <si>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</si>
  <si>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</si>
  <si>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</si>
  <si>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</si>
  <si>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</si>
  <si>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</si>
  <si>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</si>
  <si>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</si>
  <si>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</si>
  <si>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</si>
  <si>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</si>
  <si>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</si>
  <si>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</si>
  <si>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</si>
  <si>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</si>
  <si>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</si>
  <si>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</si>
  <si>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</si>
  <si>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</si>
  <si>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</si>
  <si>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</si>
  <si>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</si>
  <si>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</si>
  <si>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</si>
  <si>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</si>
  <si>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</si>
  <si>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</si>
  <si>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</si>
  <si>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</si>
  <si>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</si>
  <si>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</si>
  <si>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</si>
  <si>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</si>
  <si>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</si>
  <si>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</si>
  <si>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</si>
  <si>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</si>
  <si>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</si>
  <si>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</si>
  <si>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</si>
  <si>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</si>
  <si>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</si>
  <si>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</si>
  <si>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</si>
  <si>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</si>
  <si>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</si>
  <si>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</si>
  <si>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</si>
  <si>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</si>
  <si>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</si>
  <si>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</si>
  <si>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</si>
  <si>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</si>
  <si>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</si>
  <si>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</si>
  <si>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</si>
  <si>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</si>
  <si>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</si>
  <si>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</si>
  <si>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</si>
  <si>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</si>
  <si>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</si>
  <si>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</si>
  <si>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</si>
  <si>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</si>
  <si>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</si>
  <si>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</si>
  <si>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</si>
  <si>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</si>
  <si>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</si>
  <si>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</si>
  <si>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</si>
  <si>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</si>
  <si>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</si>
  <si>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</si>
  <si>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</si>
  <si>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</si>
  <si>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</si>
  <si>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</si>
  <si>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</si>
  <si>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</si>
  <si>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</si>
  <si>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</si>
  <si>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</si>
  <si>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</si>
  <si>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</si>
  <si>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</si>
  <si>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</si>
  <si>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</si>
  <si>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</si>
  <si>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</si>
  <si>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</si>
  <si>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</si>
  <si>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</si>
  <si>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</si>
  <si>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</si>
  <si>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</si>
  <si>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</si>
  <si>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</si>
  <si>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</si>
  <si>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</si>
  <si>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</si>
  <si>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</si>
  <si>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</si>
  <si>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</si>
  <si>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</si>
  <si>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</si>
  <si>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</si>
  <si>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</si>
  <si>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</si>
  <si>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</si>
  <si>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</si>
  <si>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</si>
  <si>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</si>
  <si>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</si>
  <si>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</si>
  <si>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</si>
  <si>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</si>
  <si>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</si>
  <si>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</si>
  <si>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</si>
  <si>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</si>
  <si>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</si>
  <si>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</si>
  <si>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</si>
  <si>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</si>
  <si>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</si>
  <si>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</si>
  <si>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</si>
  <si>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</si>
  <si>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</si>
  <si>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</si>
  <si>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</si>
  <si>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</si>
  <si>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</si>
  <si>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</si>
  <si>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</si>
  <si>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</si>
  <si>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</si>
  <si>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</si>
  <si>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</si>
  <si>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</si>
  <si>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</si>
  <si>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</si>
  <si>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</si>
  <si>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</si>
  <si>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</si>
  <si>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</si>
  <si>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</si>
  <si>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</si>
  <si>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</si>
  <si>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</si>
  <si>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</si>
  <si>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</si>
  <si>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</si>
  <si>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</si>
  <si>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</si>
  <si>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</si>
  <si>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</si>
  <si>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</si>
  <si>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</si>
  <si>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</si>
  <si>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</si>
  <si>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</si>
  <si>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</si>
  <si>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</si>
  <si>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</si>
  <si>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</si>
  <si>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</si>
  <si>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</si>
  <si>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</si>
  <si>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</si>
  <si>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</si>
  <si>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</si>
  <si>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</si>
  <si>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</si>
  <si>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</si>
  <si>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</si>
  <si>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</si>
  <si>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</si>
  <si>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</si>
  <si>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</si>
  <si>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</si>
  <si>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</si>
  <si>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</si>
  <si>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</si>
  <si>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</si>
  <si>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</si>
  <si>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</si>
  <si>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</si>
  <si>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</si>
  <si>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</si>
  <si>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</si>
  <si>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</si>
  <si>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</si>
  <si>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</si>
  <si>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</si>
  <si>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</si>
  <si>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</si>
  <si>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</si>
  <si>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</si>
  <si>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</si>
  <si>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</si>
  <si>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</si>
  <si>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</si>
  <si>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</si>
  <si>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</si>
  <si>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</si>
  <si>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</si>
  <si>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</si>
  <si>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</si>
  <si>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</si>
  <si>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</si>
  <si>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</si>
  <si>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</si>
  <si>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</si>
  <si>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</si>
  <si>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</si>
  <si>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</si>
  <si>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</si>
  <si>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</si>
  <si>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</si>
  <si>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</si>
  <si>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</si>
  <si>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</si>
  <si>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</si>
  <si>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</si>
  <si>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</si>
  <si>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</si>
  <si>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</si>
  <si>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</si>
  <si>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</si>
  <si>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</si>
  <si>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</si>
  <si>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</si>
  <si>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</si>
  <si>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</si>
  <si>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</si>
  <si>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</si>
  <si>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</si>
  <si>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</si>
  <si>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</si>
  <si>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</si>
  <si>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</si>
  <si>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</si>
  <si>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</si>
  <si>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</si>
  <si>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</si>
  <si>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</si>
  <si>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</si>
  <si>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</si>
  <si>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</si>
  <si>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</si>
  <si>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</si>
  <si>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</si>
  <si>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</si>
  <si>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</si>
  <si>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</si>
  <si>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</si>
  <si>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</si>
  <si>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</si>
  <si>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</si>
  <si>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</si>
  <si>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</si>
  <si>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</si>
  <si>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</si>
  <si>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</si>
  <si>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</si>
  <si>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</si>
  <si>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</si>
  <si>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</si>
  <si>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</si>
  <si>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</si>
  <si>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</si>
  <si>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</si>
  <si>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</si>
  <si>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</si>
  <si>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</si>
  <si>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</si>
  <si>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</si>
  <si>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</si>
  <si>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</si>
  <si>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</si>
  <si>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</si>
  <si>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</si>
  <si>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</si>
  <si>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</si>
  <si>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</si>
  <si>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</si>
  <si>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</si>
  <si>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</si>
  <si>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</si>
  <si>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</si>
  <si>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</si>
  <si>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</si>
  <si>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</si>
  <si>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</si>
  <si>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</si>
  <si>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</si>
  <si>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</si>
  <si>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</si>
  <si>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</si>
  <si>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</si>
  <si>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</si>
  <si>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</si>
  <si>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</si>
  <si>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</si>
  <si>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</si>
  <si>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</si>
  <si>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</si>
  <si>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</si>
  <si>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</si>
  <si>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</si>
  <si>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</si>
  <si>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</si>
  <si>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</si>
  <si>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</si>
  <si>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</si>
  <si>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</si>
  <si>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</si>
  <si>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</si>
  <si>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</si>
  <si>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</si>
  <si>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</si>
  <si>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</si>
  <si>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</si>
  <si>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</si>
  <si>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</si>
  <si>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</si>
  <si>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</si>
  <si>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</si>
  <si>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</si>
  <si>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</si>
  <si>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</si>
  <si>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</si>
  <si>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</si>
  <si>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</si>
  <si>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</si>
  <si>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</si>
  <si>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</si>
  <si>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</si>
  <si>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</si>
  <si>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</si>
  <si>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</si>
  <si>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</si>
  <si>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</si>
  <si>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</si>
  <si>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</si>
  <si>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</si>
  <si>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</si>
  <si>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</si>
  <si>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</si>
  <si>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</si>
  <si>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</si>
  <si>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</si>
  <si>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</si>
  <si>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</si>
  <si>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</si>
  <si>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</si>
  <si>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</si>
  <si>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</si>
  <si>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</si>
  <si>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</si>
  <si>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</si>
  <si>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</si>
  <si>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</si>
  <si>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</si>
  <si>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</si>
  <si>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</si>
  <si>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</si>
  <si>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</si>
  <si>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</si>
  <si>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</si>
  <si>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</si>
  <si>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</si>
  <si>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</si>
  <si>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</si>
  <si>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</si>
  <si>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</si>
  <si>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</si>
  <si>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</si>
  <si>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</si>
  <si>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</si>
  <si>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</si>
  <si>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</si>
  <si>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</si>
  <si>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</si>
  <si>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</si>
  <si>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</si>
  <si>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</si>
  <si>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</si>
  <si>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</si>
  <si>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</si>
  <si>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</si>
  <si>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</si>
  <si>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</si>
  <si>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</si>
  <si>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</si>
  <si>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</si>
  <si>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</si>
  <si>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</si>
  <si>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</si>
  <si>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</si>
  <si>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</si>
  <si>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</si>
  <si>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</si>
  <si>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</si>
  <si>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</si>
  <si>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</si>
  <si>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</si>
  <si>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</si>
  <si>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</si>
  <si>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</si>
  <si>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</si>
  <si>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</si>
  <si>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</si>
  <si>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</si>
  <si>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</si>
  <si>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</si>
  <si>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</si>
  <si>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</si>
  <si>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</si>
  <si>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</si>
  <si>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</si>
  <si>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</si>
  <si>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</si>
  <si>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</si>
  <si>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</si>
  <si>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</si>
  <si>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</si>
  <si>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</si>
  <si>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</si>
  <si>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</si>
  <si>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</si>
  <si>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</si>
  <si>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</si>
  <si>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</si>
  <si>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</si>
  <si>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</si>
  <si>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</si>
  <si>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</si>
  <si>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</si>
  <si>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</si>
  <si>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</si>
  <si>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</si>
  <si>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</si>
  <si>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</si>
  <si>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</si>
  <si>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</si>
  <si>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</si>
  <si>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</si>
  <si>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</si>
  <si>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</si>
  <si>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</si>
  <si>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</si>
  <si>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</si>
  <si>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</si>
  <si>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</si>
  <si>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</si>
  <si>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</si>
  <si>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</si>
  <si>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</si>
  <si>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</si>
  <si>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</si>
  <si>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</si>
  <si>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</si>
  <si>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</si>
  <si>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</si>
  <si>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</si>
  <si>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</si>
  <si>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</si>
  <si>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</si>
  <si>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</si>
  <si>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</si>
  <si>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</si>
  <si>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</si>
  <si>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</si>
  <si>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</si>
  <si>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</si>
  <si>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</si>
  <si>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</si>
  <si>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</si>
  <si>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</si>
  <si>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</si>
  <si>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</si>
  <si>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</si>
  <si>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</si>
  <si>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</si>
  <si>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</si>
  <si>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</si>
  <si>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</si>
  <si>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</si>
  <si>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</si>
  <si>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</si>
  <si>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</si>
  <si>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</si>
  <si>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</si>
  <si>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</si>
  <si>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</si>
  <si>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</si>
  <si>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</si>
  <si>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</si>
  <si>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</si>
  <si>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</si>
  <si>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</si>
  <si>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</si>
  <si>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</si>
  <si>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</si>
  <si>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</si>
  <si>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</si>
  <si>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</si>
  <si>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</si>
  <si>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</si>
  <si>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</si>
  <si>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</si>
  <si>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</si>
  <si>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</si>
  <si>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</si>
  <si>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</si>
  <si>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</si>
  <si>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</si>
  <si>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</si>
  <si>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</si>
  <si>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</si>
  <si>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</si>
  <si>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</si>
  <si>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</si>
  <si>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</si>
  <si>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</si>
  <si>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</si>
  <si>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</si>
  <si>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</si>
  <si>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</si>
  <si>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</si>
  <si>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</si>
  <si>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</si>
  <si>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</si>
  <si>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</si>
  <si>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</si>
  <si>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</si>
  <si>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</si>
  <si>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</si>
  <si>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</si>
  <si>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</si>
  <si>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</si>
  <si>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</si>
  <si>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</si>
  <si>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</si>
  <si>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</si>
  <si>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</si>
  <si>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</si>
  <si>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</si>
  <si>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</si>
  <si>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</si>
  <si>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</si>
  <si>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</si>
  <si>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</si>
  <si>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</si>
  <si>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</si>
  <si>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</si>
  <si>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</si>
  <si>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</si>
  <si>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</si>
  <si>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</si>
  <si>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</si>
  <si>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</si>
  <si>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</si>
  <si>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</si>
  <si>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</si>
  <si>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</si>
  <si>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</si>
  <si>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</si>
  <si>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</si>
  <si>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</si>
  <si>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</si>
  <si>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</si>
  <si>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</si>
  <si>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</si>
  <si>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</si>
  <si>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</si>
  <si>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</si>
  <si>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</si>
  <si>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</si>
  <si>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</si>
  <si>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</si>
  <si>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</si>
  <si>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</si>
  <si>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</si>
  <si>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</si>
  <si>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</si>
  <si>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</si>
  <si>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</si>
  <si>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</si>
  <si>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</si>
  <si>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</si>
  <si>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</si>
  <si>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</si>
  <si>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</si>
  <si>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</si>
  <si>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</si>
  <si>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</si>
  <si>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</si>
  <si>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</si>
  <si>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</si>
  <si>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</si>
  <si>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</si>
  <si>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</si>
  <si>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</si>
  <si>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</si>
  <si>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</si>
  <si>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</si>
  <si>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</si>
  <si>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</si>
  <si>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</si>
  <si>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</si>
  <si>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</si>
  <si>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</si>
  <si>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</si>
  <si>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</si>
  <si>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</si>
  <si>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</si>
  <si>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</si>
  <si>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</si>
  <si>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</si>
  <si>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</si>
  <si>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</si>
  <si>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</si>
  <si>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</si>
  <si>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</si>
  <si>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</si>
  <si>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</si>
  <si>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</si>
  <si>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</si>
  <si>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</si>
  <si>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</si>
  <si>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</si>
  <si>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</si>
  <si>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</si>
  <si>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</si>
  <si>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</si>
  <si>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</si>
  <si>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</si>
  <si>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</si>
  <si>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</si>
  <si>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</si>
  <si>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</si>
  <si>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</si>
  <si>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</si>
  <si>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</si>
  <si>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</si>
  <si>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</si>
  <si>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</si>
  <si>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</si>
  <si>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</si>
  <si>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</si>
  <si>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</si>
  <si>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</si>
  <si>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</si>
  <si>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</si>
  <si>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</si>
  <si>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</si>
  <si>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</si>
  <si>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</si>
  <si>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</si>
  <si>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</si>
  <si>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</si>
  <si>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</si>
  <si>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</si>
  <si>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</si>
  <si>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</si>
  <si>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</si>
  <si>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</si>
  <si>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</si>
  <si>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</si>
  <si>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</si>
  <si>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</si>
  <si>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</si>
  <si>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</si>
  <si>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</si>
  <si>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</si>
  <si>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</si>
  <si>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</si>
  <si>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</si>
  <si>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</si>
  <si>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</si>
  <si>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</si>
  <si>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</si>
  <si>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</si>
  <si>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</si>
  <si>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</si>
  <si>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</si>
  <si>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</si>
  <si>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</si>
  <si>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</si>
  <si>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</si>
  <si>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</si>
  <si>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</si>
  <si>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</si>
  <si>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</si>
  <si>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</si>
  <si>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</si>
  <si>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</si>
  <si>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</si>
  <si>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</si>
  <si>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</si>
  <si>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</si>
  <si>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</si>
  <si>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</si>
  <si>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</si>
  <si>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</si>
  <si>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</si>
  <si>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</si>
  <si>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</si>
  <si>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</si>
  <si>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</si>
  <si>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</si>
  <si>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</si>
  <si>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</si>
  <si>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</si>
  <si>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</si>
  <si>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</si>
  <si>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</si>
  <si>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</si>
  <si>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</si>
  <si>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</si>
  <si>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</si>
  <si>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</si>
  <si>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</si>
  <si>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</si>
  <si>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</si>
  <si>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</si>
  <si>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</si>
  <si>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</si>
  <si>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</si>
  <si>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</si>
  <si>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</si>
  <si>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</si>
  <si>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</si>
  <si>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</si>
  <si>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</si>
  <si>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</si>
  <si>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</si>
  <si>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</si>
  <si>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</si>
  <si>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</si>
  <si>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</si>
  <si>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</si>
  <si>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</si>
  <si>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</si>
  <si>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</si>
  <si>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</si>
  <si>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</si>
  <si>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</si>
  <si>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</si>
  <si>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</si>
  <si>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</si>
  <si>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</si>
  <si>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</si>
  <si>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</si>
  <si>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</si>
  <si>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</si>
  <si>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</si>
  <si>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</si>
  <si>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</si>
  <si>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</si>
  <si>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</si>
  <si>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</si>
  <si>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</si>
  <si>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</si>
  <si>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</si>
  <si>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</si>
  <si>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</si>
  <si>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</si>
  <si>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</si>
  <si>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</si>
  <si>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</si>
  <si>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</si>
  <si>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</si>
  <si>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</si>
  <si>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</si>
  <si>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</si>
  <si>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</si>
  <si>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</si>
  <si>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</si>
  <si>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</si>
  <si>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</si>
  <si>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</si>
  <si>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</si>
  <si>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</si>
  <si>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</si>
  <si>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</si>
  <si>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</si>
  <si>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</si>
  <si>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</si>
  <si>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</si>
  <si>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</si>
  <si>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</si>
  <si>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</si>
  <si>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</si>
  <si>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</si>
  <si>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</si>
  <si>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</si>
  <si>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</si>
  <si>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</si>
  <si>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</si>
  <si>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</si>
  <si>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</si>
  <si>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</si>
  <si>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</si>
  <si>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</si>
  <si>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</si>
  <si>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</si>
  <si>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</si>
  <si>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</si>
  <si>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</si>
  <si>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</si>
  <si>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</si>
  <si>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</si>
  <si>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</si>
  <si>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</si>
  <si>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</si>
  <si>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</si>
  <si>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</si>
  <si>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</si>
  <si>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</si>
  <si>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</si>
  <si>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</si>
  <si>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</si>
  <si>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</si>
  <si>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</si>
  <si>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</si>
  <si>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</si>
  <si>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</si>
  <si>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</si>
  <si>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</si>
  <si>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</si>
  <si>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</si>
  <si>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</si>
  <si>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</si>
  <si>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</si>
  <si>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</si>
  <si>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</si>
  <si>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</si>
  <si>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</si>
  <si>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</si>
  <si>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</si>
  <si>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</si>
  <si>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</si>
  <si>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</si>
  <si>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</si>
  <si>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</si>
  <si>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</si>
  <si>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</si>
  <si>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</si>
  <si>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</si>
  <si>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</si>
  <si>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</si>
  <si>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</si>
  <si>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</si>
  <si>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</si>
  <si>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</si>
  <si>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</si>
  <si>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</si>
  <si>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</si>
  <si>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</si>
  <si>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</si>
  <si>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</si>
  <si>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</si>
  <si>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</si>
  <si>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</si>
  <si>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</si>
  <si>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</si>
  <si>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</si>
  <si>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</si>
  <si>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</si>
  <si>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</si>
  <si>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</si>
  <si>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</si>
  <si>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</si>
  <si>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</si>
  <si>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</si>
  <si>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</si>
  <si>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</si>
  <si>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</si>
  <si>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</si>
  <si>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</si>
  <si>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</si>
  <si>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</si>
  <si>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</si>
  <si>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</si>
  <si>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</si>
  <si>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</si>
  <si>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</si>
  <si>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</si>
  <si>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</si>
  <si>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</si>
  <si>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</si>
  <si>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</si>
  <si>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</si>
  <si>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</si>
  <si>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</si>
  <si>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</si>
  <si>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</si>
  <si>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</si>
  <si>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</si>
  <si>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</si>
  <si>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</si>
  <si>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</si>
  <si>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</si>
  <si>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</si>
  <si>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</si>
  <si>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</si>
  <si>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</si>
  <si>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</si>
  <si>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</si>
  <si>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</si>
  <si>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</si>
  <si>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</si>
  <si>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</si>
  <si>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</si>
  <si>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</si>
  <si>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</si>
  <si>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</si>
  <si>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</si>
  <si>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</si>
  <si>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</si>
  <si>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</si>
  <si>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</si>
  <si>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</si>
  <si>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</si>
  <si>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</si>
  <si>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</si>
  <si>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</si>
  <si>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</si>
  <si>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</si>
  <si>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</si>
  <si>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</si>
  <si>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</si>
  <si>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</si>
  <si>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</si>
  <si>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</si>
  <si>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</si>
  <si>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</si>
  <si>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</si>
  <si>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</si>
  <si>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</si>
  <si>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</si>
  <si>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</si>
  <si>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</si>
  <si>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</si>
  <si>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</si>
  <si>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</si>
  <si>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</si>
  <si>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</si>
  <si>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</si>
  <si>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</si>
  <si>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</si>
  <si>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</si>
  <si>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</si>
  <si>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</si>
  <si>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</si>
  <si>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</si>
  <si>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</si>
  <si>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</si>
  <si>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</si>
  <si>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</si>
  <si>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</si>
  <si>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</si>
  <si>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</si>
  <si>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</si>
  <si>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</si>
  <si>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</si>
  <si>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</si>
  <si>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</si>
  <si>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</si>
  <si>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</si>
  <si>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</si>
  <si>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</si>
  <si>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</si>
  <si>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</si>
  <si>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</si>
  <si>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</si>
  <si>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</si>
  <si>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</si>
  <si>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</si>
  <si>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</si>
  <si>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</si>
  <si>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</si>
  <si>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</si>
  <si>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</si>
  <si>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</si>
  <si>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</si>
  <si>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</si>
  <si>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</si>
  <si>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</si>
  <si>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</si>
  <si>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</si>
  <si>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</si>
  <si>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</si>
  <si>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</si>
  <si>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</si>
  <si>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</si>
  <si>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</si>
  <si>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</si>
  <si>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</si>
  <si>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</si>
  <si>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</si>
  <si>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</si>
  <si>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</si>
  <si>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</si>
  <si>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</si>
  <si>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</si>
  <si>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</si>
  <si>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</si>
  <si>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</si>
  <si>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</si>
  <si>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</si>
  <si>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</si>
  <si>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</si>
  <si>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</si>
  <si>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</si>
  <si>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</si>
  <si>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</si>
  <si>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</si>
  <si>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</si>
  <si>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</si>
  <si>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</si>
  <si>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</si>
  <si>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</si>
  <si>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</si>
  <si>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</si>
  <si>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</si>
  <si>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</si>
  <si>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</si>
  <si>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</si>
  <si>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</si>
  <si>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</si>
  <si>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</si>
  <si>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</si>
  <si>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</si>
  <si>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</si>
  <si>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</si>
  <si>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</si>
  <si>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</si>
  <si>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</si>
  <si>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</si>
  <si>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</si>
  <si>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</si>
  <si>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</si>
  <si>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</si>
  <si>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</si>
  <si>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</si>
  <si>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</si>
  <si>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</si>
  <si>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</si>
  <si>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</si>
  <si>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</si>
  <si>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</si>
  <si>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</si>
  <si>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</si>
  <si>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</si>
  <si>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</si>
  <si>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</si>
  <si>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</si>
  <si>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</si>
  <si>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</si>
  <si>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</si>
  <si>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</si>
  <si>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</si>
  <si>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</si>
  <si>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</si>
  <si>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</si>
  <si>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</si>
  <si>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</si>
  <si>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</si>
  <si>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</si>
  <si>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</si>
  <si>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</si>
  <si>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</si>
  <si>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</si>
  <si>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</si>
  <si>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</si>
  <si>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</si>
  <si>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</si>
  <si>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</si>
  <si>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</si>
  <si>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</si>
  <si>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</si>
  <si>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</si>
  <si>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</si>
  <si>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</si>
  <si>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</si>
  <si>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</si>
  <si>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</si>
  <si>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</si>
  <si>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</si>
  <si>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</si>
  <si>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</si>
  <si>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</si>
  <si>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</si>
  <si>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</si>
  <si>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</si>
  <si>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</si>
  <si>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</si>
  <si>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</si>
  <si>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</si>
  <si>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</si>
  <si>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</si>
  <si>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</si>
  <si>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</si>
  <si>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</si>
  <si>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</si>
  <si>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</si>
  <si>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</si>
  <si>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</si>
  <si>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</si>
  <si>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</si>
  <si>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</si>
  <si>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</si>
  <si>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</si>
  <si>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</si>
  <si>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</si>
  <si>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</si>
  <si>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</si>
  <si>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</si>
  <si>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</si>
  <si>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</si>
  <si>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</si>
  <si>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</si>
  <si>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</si>
  <si>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</si>
  <si>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</si>
  <si>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</si>
  <si>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</si>
  <si>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</si>
  <si>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</si>
  <si>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</si>
  <si>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</si>
  <si>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</si>
  <si>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</si>
  <si>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</si>
  <si>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</si>
  <si>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</si>
  <si>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</si>
  <si>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</si>
  <si>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</si>
  <si>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</si>
  <si>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</si>
  <si>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</si>
  <si>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</si>
  <si>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</si>
  <si>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</si>
  <si>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</si>
  <si>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</si>
  <si>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</si>
  <si>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</si>
  <si>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</si>
  <si>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</si>
  <si>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</si>
  <si>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</si>
  <si>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</si>
  <si>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</si>
  <si>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</si>
  <si>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</si>
  <si>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</si>
  <si>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</si>
  <si>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</si>
  <si>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</si>
  <si>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</si>
  <si>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</si>
  <si>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</si>
  <si>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</si>
  <si>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</si>
  <si>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</si>
  <si>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</si>
  <si>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</si>
  <si>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</si>
  <si>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</si>
  <si>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</si>
  <si>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</si>
  <si>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</si>
  <si>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</si>
  <si>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</si>
  <si>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</si>
  <si>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</si>
  <si>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</si>
  <si>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</si>
  <si>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</si>
  <si>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</si>
  <si>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</si>
  <si>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</si>
  <si>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</si>
  <si>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</si>
  <si>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</si>
  <si>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</si>
  <si>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</si>
  <si>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</si>
  <si>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</si>
  <si>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</si>
  <si>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</si>
  <si>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</si>
  <si>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</si>
  <si>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</si>
  <si>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</si>
  <si>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</si>
  <si>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</si>
  <si>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</si>
  <si>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</si>
  <si>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</si>
  <si>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</si>
  <si>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</si>
  <si>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</si>
  <si>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</si>
  <si>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</si>
  <si>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</si>
  <si>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</si>
  <si>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</si>
  <si>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</si>
  <si>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</si>
  <si>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</si>
  <si>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</si>
  <si>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</si>
  <si>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</si>
  <si>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</si>
  <si>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</si>
  <si>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</si>
  <si>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</si>
  <si>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</si>
  <si>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</si>
  <si>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</si>
  <si>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</si>
  <si>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</si>
  <si>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</si>
  <si>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</si>
  <si>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</si>
  <si>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</si>
  <si>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</si>
  <si>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</si>
  <si>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</si>
  <si>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</si>
  <si>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</si>
  <si>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</si>
  <si>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</si>
  <si>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</si>
  <si>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</si>
  <si>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</si>
  <si>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</si>
  <si>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</si>
  <si>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</si>
  <si>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</si>
  <si>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</si>
  <si>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</si>
  <si>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</si>
  <si>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</si>
  <si>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</si>
  <si>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</si>
  <si>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</si>
  <si>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</si>
  <si>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</si>
  <si>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</si>
  <si>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</si>
  <si>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</si>
  <si>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</si>
  <si>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</si>
  <si>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</si>
  <si>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</si>
  <si>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</si>
  <si>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</si>
  <si>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</si>
  <si>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</si>
  <si>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</si>
  <si>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</si>
  <si>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</si>
  <si>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</si>
  <si>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</si>
  <si>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</si>
  <si>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</si>
  <si>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</si>
  <si>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</si>
  <si>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</si>
  <si>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</si>
  <si>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</si>
  <si>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</si>
  <si>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</si>
  <si>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</si>
  <si>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</si>
  <si>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</si>
  <si>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</si>
  <si>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</si>
  <si>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</si>
  <si>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</si>
  <si>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</si>
  <si>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</si>
  <si>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</si>
  <si>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</si>
  <si>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</si>
  <si>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</si>
  <si>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</si>
  <si>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</si>
  <si>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</si>
  <si>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</si>
  <si>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</si>
  <si>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</si>
  <si>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</si>
  <si>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</si>
  <si>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</si>
  <si>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</si>
  <si>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</si>
  <si>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</si>
  <si>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</si>
  <si>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</si>
  <si>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</si>
  <si>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</si>
  <si>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</si>
  <si>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</si>
  <si>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</si>
  <si>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</si>
  <si>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</si>
  <si>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</si>
  <si>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</si>
  <si>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</si>
  <si>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</si>
  <si>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</si>
  <si>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</si>
  <si>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</si>
  <si>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</si>
  <si>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</si>
  <si>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</si>
  <si>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</si>
  <si>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</si>
  <si>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</si>
  <si>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</si>
  <si>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</si>
  <si>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</si>
  <si>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</si>
  <si>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</si>
  <si>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</si>
  <si>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</si>
  <si>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</si>
  <si>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</si>
  <si>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</si>
  <si>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</si>
  <si>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</si>
  <si>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</si>
  <si>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</si>
  <si>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</si>
  <si>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</si>
  <si>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</si>
  <si>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</si>
  <si>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</si>
  <si>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</si>
  <si>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</si>
  <si>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</si>
  <si>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</si>
  <si>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</si>
  <si>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</si>
  <si>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</si>
  <si>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</si>
  <si>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</si>
  <si>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</si>
  <si>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</si>
  <si>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</si>
  <si>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</si>
  <si>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</si>
  <si>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</si>
  <si>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</si>
  <si>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</si>
  <si>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</si>
  <si>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</si>
  <si>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</si>
  <si>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</si>
  <si>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</si>
  <si>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</si>
  <si>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</si>
  <si>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</si>
  <si>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</si>
  <si>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</si>
  <si>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</si>
  <si>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</si>
  <si>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</si>
  <si>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</si>
  <si>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</si>
  <si>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</si>
  <si>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</si>
  <si>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</si>
  <si>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</si>
  <si>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</si>
  <si>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</si>
  <si>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</si>
  <si>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</si>
  <si>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</si>
  <si>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</si>
  <si>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</si>
  <si>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</si>
  <si>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</si>
  <si>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</si>
  <si>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</si>
  <si>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</si>
  <si>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</si>
  <si>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</si>
  <si>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</si>
  <si>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</si>
  <si>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</si>
  <si>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</si>
  <si>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</si>
  <si>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</si>
  <si>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</si>
  <si>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</si>
  <si>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</si>
  <si>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</si>
  <si>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</si>
  <si>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</si>
  <si>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</si>
  <si>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</si>
  <si>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</si>
  <si>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</si>
  <si>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</si>
  <si>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</si>
  <si>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</si>
  <si>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</si>
  <si>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</si>
  <si>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</si>
  <si>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</si>
  <si>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</si>
  <si>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</si>
  <si>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</si>
  <si>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</si>
  <si>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</si>
  <si>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</si>
  <si>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</si>
  <si>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</si>
  <si>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</si>
  <si>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</si>
  <si>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</si>
  <si>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</si>
  <si>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</si>
  <si>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</si>
  <si>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</si>
  <si>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</si>
  <si>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</si>
  <si>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</si>
  <si>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</si>
  <si>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</si>
  <si>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</si>
  <si>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</si>
  <si>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</si>
  <si>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</si>
  <si>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</si>
  <si>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</si>
  <si>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</si>
  <si>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</si>
  <si>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</si>
  <si>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</si>
  <si>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</si>
  <si>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</si>
  <si>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</si>
  <si>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</si>
  <si>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</si>
  <si>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</si>
  <si>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</si>
  <si>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</si>
  <si>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</si>
  <si>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</si>
  <si>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</si>
  <si>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</si>
  <si>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</si>
  <si>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</si>
  <si>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</si>
  <si>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</si>
  <si>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</si>
  <si>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</si>
  <si>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</si>
  <si>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</si>
  <si>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</si>
  <si>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</si>
  <si>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</si>
  <si>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</si>
  <si>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</si>
  <si>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</si>
  <si>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</si>
  <si>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</si>
  <si>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</si>
  <si>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</si>
  <si>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</si>
  <si>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</si>
  <si>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</si>
  <si>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</si>
  <si>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</si>
  <si>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</si>
  <si>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</si>
  <si>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</si>
  <si>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</si>
  <si>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</si>
  <si>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</si>
  <si>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</si>
  <si>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</si>
  <si>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</si>
  <si>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</si>
  <si>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</si>
  <si>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</si>
  <si>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</si>
  <si>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</si>
  <si>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</si>
  <si>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</si>
  <si>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</si>
  <si>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</si>
  <si>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</si>
  <si>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</si>
  <si>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</si>
  <si>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</si>
  <si>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</si>
  <si>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</si>
  <si>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</si>
  <si>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</si>
  <si>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</si>
  <si>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</si>
  <si>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</si>
  <si>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</si>
  <si>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</si>
  <si>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</si>
  <si>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</si>
  <si>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</si>
  <si>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</si>
  <si>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</si>
  <si>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</si>
  <si>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</si>
  <si>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</si>
  <si>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</si>
  <si>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</si>
  <si>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</si>
  <si>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</si>
  <si>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</si>
  <si>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</si>
  <si>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</si>
  <si>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</si>
  <si>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</si>
  <si>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</si>
  <si>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</si>
  <si>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</si>
  <si>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</si>
  <si>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</si>
  <si>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</si>
  <si>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</si>
  <si>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</si>
  <si>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</si>
  <si>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</si>
  <si>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</si>
  <si>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</si>
  <si>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</si>
  <si>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</si>
  <si>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</si>
  <si>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</si>
  <si>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</si>
  <si>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</si>
  <si>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</si>
  <si>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</si>
  <si>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</si>
  <si>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</si>
  <si>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</si>
  <si>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</si>
  <si>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</si>
  <si>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</si>
  <si>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</si>
  <si>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</si>
  <si>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</si>
  <si>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</si>
  <si>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</si>
  <si>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</si>
  <si>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</si>
  <si>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</si>
  <si>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</si>
  <si>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</si>
  <si>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</si>
  <si>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</si>
  <si>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</si>
  <si>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</si>
  <si>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</si>
  <si>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</si>
  <si>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</si>
  <si>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</si>
  <si>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</si>
  <si>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</si>
  <si>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</si>
  <si>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</si>
  <si>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</si>
  <si>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</si>
  <si>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</si>
  <si>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</si>
  <si>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</si>
  <si>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</si>
  <si>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</si>
  <si>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</si>
  <si>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</si>
  <si>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</si>
  <si>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</si>
  <si>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</si>
  <si>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</si>
  <si>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</si>
  <si>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</si>
  <si>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</si>
  <si>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</si>
  <si>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</si>
  <si>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</si>
  <si>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</si>
  <si>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</si>
  <si>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</si>
  <si>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</si>
  <si>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</si>
  <si>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</si>
  <si>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</si>
  <si>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</si>
  <si>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</si>
  <si>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</si>
  <si>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</si>
  <si>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</si>
  <si>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</si>
  <si>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</si>
  <si>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</si>
  <si>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</si>
  <si>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</si>
  <si>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</si>
  <si>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</si>
  <si>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</si>
  <si>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</si>
  <si>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</si>
  <si>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</si>
  <si>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</si>
  <si>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</si>
  <si>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</si>
  <si>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</si>
  <si>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</si>
  <si>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</si>
  <si>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</si>
  <si>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</si>
  <si>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</si>
  <si>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</si>
  <si>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</si>
  <si>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</si>
  <si>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</si>
  <si>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</si>
  <si>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</si>
  <si>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</si>
  <si>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</si>
  <si>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</si>
  <si>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</si>
  <si>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</si>
  <si>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</si>
  <si>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</si>
  <si>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</si>
  <si>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</si>
  <si>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</si>
  <si>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</si>
  <si>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</si>
  <si>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</si>
  <si>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</si>
  <si>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</si>
  <si>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</si>
  <si>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</si>
  <si>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</si>
  <si>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</si>
  <si>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</si>
  <si>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</si>
  <si>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</si>
  <si>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</si>
  <si>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</si>
  <si>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</si>
  <si>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</si>
  <si>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</si>
  <si>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</si>
  <si>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</si>
  <si>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</si>
  <si>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</si>
  <si>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</si>
  <si>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</si>
  <si>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</si>
  <si>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</si>
  <si>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</si>
  <si>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</si>
  <si>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</si>
  <si>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</si>
  <si>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</si>
  <si>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</si>
  <si>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</si>
  <si>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</si>
  <si>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</si>
  <si>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</si>
  <si>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</si>
  <si>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</si>
  <si>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</si>
  <si>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</si>
  <si>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</si>
  <si>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</si>
  <si>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</si>
  <si>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</si>
  <si>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</si>
  <si>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</si>
  <si>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</si>
  <si>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</si>
  <si>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</si>
  <si>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</si>
  <si>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</si>
  <si>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</si>
  <si>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</si>
  <si>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</si>
  <si>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</si>
  <si>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</si>
  <si>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</si>
  <si>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</si>
  <si>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</si>
  <si>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</si>
  <si>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</si>
  <si>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</si>
  <si>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</si>
  <si>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</si>
  <si>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</si>
  <si>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</si>
  <si>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</si>
  <si>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</si>
  <si>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</si>
  <si>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</si>
  <si>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</si>
  <si>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</si>
  <si>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</si>
  <si>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</si>
  <si>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</si>
  <si>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</si>
  <si>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</si>
  <si>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</si>
  <si>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</si>
  <si>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</si>
  <si>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</si>
  <si>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</si>
  <si>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</si>
  <si>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</si>
  <si>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</si>
  <si>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</si>
  <si>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</si>
  <si>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</si>
  <si>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</si>
  <si>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</si>
  <si>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</si>
  <si>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</si>
  <si>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</si>
  <si>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</si>
  <si>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</si>
  <si>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</si>
  <si>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</si>
  <si>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</si>
  <si>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</si>
  <si>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</si>
  <si>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</si>
  <si>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</si>
  <si>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</si>
  <si>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</si>
  <si>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</si>
  <si>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</si>
  <si>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</si>
  <si>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</si>
  <si>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</si>
  <si>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</si>
  <si>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</si>
  <si>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</si>
  <si>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</si>
  <si>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</si>
  <si>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</si>
  <si>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</si>
  <si>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</si>
  <si>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</si>
  <si>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</si>
  <si>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</si>
  <si>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</si>
  <si>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</si>
  <si>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</si>
  <si>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</si>
  <si>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</si>
  <si>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</si>
  <si>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</si>
  <si>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</si>
  <si>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</si>
  <si>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</si>
  <si>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</si>
  <si>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</si>
  <si>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</si>
  <si>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</si>
  <si>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</si>
  <si>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</si>
  <si>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</si>
  <si>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</si>
  <si>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</si>
  <si>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</si>
  <si>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</si>
  <si>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</si>
  <si>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</si>
  <si>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</si>
  <si>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</si>
  <si>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</si>
  <si>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</si>
  <si>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</si>
  <si>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</si>
  <si>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</si>
  <si>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</si>
  <si>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</si>
  <si>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</si>
  <si>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</si>
  <si>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</si>
  <si>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</si>
  <si>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</si>
  <si>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</si>
  <si>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</si>
  <si>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</si>
  <si>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</si>
  <si>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</si>
  <si>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</si>
  <si>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</si>
  <si>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</si>
  <si>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</si>
  <si>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</si>
  <si>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</si>
  <si>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</si>
  <si>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</si>
  <si>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</si>
  <si>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</si>
  <si>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</si>
  <si>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</si>
  <si>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</si>
  <si>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</si>
  <si>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</si>
  <si>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</si>
  <si>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</si>
  <si>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</si>
  <si>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</si>
  <si>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</si>
  <si>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</si>
  <si>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</si>
  <si>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</si>
  <si>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</si>
  <si>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</si>
  <si>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</si>
  <si>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</si>
  <si>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</si>
  <si>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</si>
  <si>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</si>
  <si>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</si>
  <si>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</si>
  <si>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</si>
  <si>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</si>
  <si>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</si>
  <si>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</si>
  <si>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</si>
  <si>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</si>
  <si>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</si>
  <si>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</si>
  <si>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</si>
  <si>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</si>
  <si>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</si>
  <si>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</si>
  <si>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</si>
  <si>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</si>
  <si>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</si>
  <si>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</si>
  <si>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</si>
  <si>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</si>
  <si>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</si>
  <si>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</si>
  <si>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</si>
  <si>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</si>
  <si>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</si>
  <si>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</si>
  <si>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</si>
  <si>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</si>
  <si>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</si>
  <si>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</si>
  <si>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</si>
  <si>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</si>
  <si>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</si>
  <si>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</si>
  <si>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</si>
  <si>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</si>
  <si>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</si>
  <si>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</si>
  <si>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</si>
  <si>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</si>
  <si>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</si>
  <si>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</si>
  <si>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</si>
  <si>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</si>
  <si>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</si>
  <si>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</si>
  <si>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</si>
  <si>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</si>
  <si>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</si>
  <si>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</si>
  <si>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</si>
  <si>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</si>
  <si>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</si>
  <si>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</si>
  <si>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</si>
  <si>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</si>
  <si>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</si>
  <si>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</si>
  <si>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</si>
  <si>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</si>
  <si>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</si>
  <si>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</si>
  <si>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</si>
  <si>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</si>
  <si>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</si>
  <si>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</si>
  <si>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</si>
  <si>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</si>
  <si>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</si>
  <si>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</si>
  <si>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</si>
  <si>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</si>
  <si>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</si>
  <si>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</si>
  <si>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</si>
  <si>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</si>
  <si>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</si>
  <si>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</si>
  <si>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</si>
  <si>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</si>
  <si>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</si>
  <si>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</si>
  <si>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</si>
  <si>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</si>
  <si>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</si>
  <si>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</si>
  <si>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</si>
  <si>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</si>
  <si>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</si>
  <si>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</si>
  <si>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</si>
  <si>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</si>
  <si>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</si>
  <si>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</si>
  <si>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</si>
  <si>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</si>
  <si>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</si>
  <si>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</si>
  <si>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</si>
  <si>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</si>
  <si>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</si>
  <si>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</si>
  <si>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</si>
  <si>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</si>
  <si>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</si>
  <si>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</si>
  <si>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</si>
  <si>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</si>
  <si>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</si>
  <si>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</si>
  <si>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</si>
  <si>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</si>
  <si>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</si>
  <si>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</si>
  <si>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</si>
  <si>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</si>
  <si>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</si>
  <si>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</si>
  <si>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</si>
  <si>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</si>
  <si>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</si>
  <si>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</si>
  <si>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</si>
  <si>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</si>
  <si>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</si>
  <si>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</si>
  <si>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</si>
  <si>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</si>
  <si>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</si>
  <si>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</si>
  <si>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</si>
  <si>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</si>
  <si>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</si>
  <si>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</si>
  <si>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</si>
  <si>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</si>
  <si>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</si>
  <si>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</si>
  <si>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</si>
  <si>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</si>
  <si>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</si>
  <si>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</si>
  <si>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</si>
  <si>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</si>
  <si>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</si>
  <si>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</si>
  <si>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</si>
  <si>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</si>
  <si>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</si>
  <si>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</si>
  <si>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</si>
  <si>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</si>
  <si>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</si>
  <si>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</si>
  <si>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</si>
  <si>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</si>
  <si>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</si>
  <si>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</si>
  <si>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</si>
  <si>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</si>
  <si>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</si>
  <si>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</si>
  <si>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</si>
  <si>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</si>
  <si>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</si>
  <si>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</si>
  <si>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</si>
  <si>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</si>
  <si>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</si>
  <si>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</si>
  <si>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</si>
  <si>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</si>
  <si>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</si>
  <si>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</si>
  <si>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</si>
  <si>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</si>
  <si>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</si>
  <si>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</si>
  <si>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</si>
  <si>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</si>
  <si>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</si>
  <si>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</si>
  <si>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</si>
  <si>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</si>
  <si>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</si>
  <si>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</si>
  <si>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</si>
  <si>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</si>
  <si>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</si>
  <si>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</si>
  <si>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</si>
  <si>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</si>
  <si>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</si>
  <si>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</si>
  <si>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</si>
  <si>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</si>
  <si>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</si>
  <si>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</si>
  <si>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</si>
  <si>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</si>
  <si>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</si>
  <si>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</si>
  <si>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</si>
  <si>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</si>
  <si>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</si>
  <si>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</si>
  <si>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</si>
  <si>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</si>
  <si>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</si>
  <si>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</si>
  <si>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</si>
  <si>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</si>
  <si>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</si>
  <si>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</si>
  <si>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</si>
  <si>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</si>
  <si>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</si>
  <si>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</si>
  <si>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</si>
  <si>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</si>
  <si>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</si>
  <si>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</si>
  <si>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</si>
  <si>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</si>
  <si>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</si>
  <si>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</si>
  <si>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</si>
  <si>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</si>
  <si>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</si>
  <si>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</si>
  <si>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</si>
  <si>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</si>
  <si>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</si>
  <si>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</si>
  <si>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</si>
  <si>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</si>
  <si>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</si>
  <si>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</si>
  <si>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</si>
  <si>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</si>
  <si>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</si>
  <si>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</si>
  <si>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</si>
  <si>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</si>
  <si>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</si>
  <si>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</si>
  <si>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</si>
  <si>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</si>
  <si>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</si>
  <si>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</si>
  <si>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</si>
  <si>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</si>
  <si>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</si>
  <si>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</si>
  <si>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</si>
  <si>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</si>
  <si>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</si>
  <si>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</si>
  <si>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</si>
  <si>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</si>
  <si>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</si>
  <si>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</si>
  <si>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</si>
  <si>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</si>
  <si>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</si>
  <si>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</si>
  <si>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</si>
  <si>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</si>
  <si>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</si>
  <si>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</si>
  <si>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</si>
  <si>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</si>
  <si>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</si>
  <si>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</si>
  <si>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</si>
  <si>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</si>
  <si>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</si>
  <si>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</si>
  <si>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</si>
  <si>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</si>
  <si>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</si>
  <si>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</si>
  <si>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</si>
  <si>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</si>
  <si>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</si>
  <si>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</si>
  <si>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</si>
  <si>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</si>
  <si>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</si>
  <si>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</si>
  <si>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</si>
  <si>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</si>
  <si>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</si>
  <si>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</si>
  <si>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</si>
  <si>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</si>
  <si>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</si>
  <si>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</si>
  <si>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</si>
  <si>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</si>
  <si>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</si>
  <si>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</si>
  <si>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</si>
  <si>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</si>
  <si>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</si>
  <si>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</si>
  <si>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</si>
  <si>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</si>
  <si>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</si>
  <si>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</si>
  <si>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</si>
  <si>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</si>
  <si>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</si>
  <si>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</si>
  <si>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</si>
  <si>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</si>
  <si>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</si>
  <si>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</si>
  <si>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</si>
  <si>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</si>
  <si>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</si>
  <si>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</si>
  <si>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</si>
  <si>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</si>
  <si>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</si>
  <si>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</si>
  <si>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</si>
  <si>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</si>
  <si>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</si>
  <si>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</si>
  <si>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</si>
  <si>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</si>
  <si>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</si>
  <si>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</si>
  <si>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</si>
  <si>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</si>
  <si>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</si>
  <si>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</si>
  <si>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</si>
  <si>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</si>
  <si>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</si>
  <si>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</si>
  <si>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</si>
  <si>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</si>
  <si>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</si>
  <si>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</si>
  <si>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</si>
  <si>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</si>
  <si>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</si>
  <si>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</si>
  <si>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</si>
  <si>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</si>
  <si>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</si>
  <si>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</si>
  <si>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</si>
  <si>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</si>
  <si>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</si>
  <si>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</si>
  <si>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</si>
  <si>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</si>
  <si>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</si>
  <si>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</si>
  <si>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</si>
  <si>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</si>
  <si>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</si>
  <si>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</si>
  <si>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</si>
  <si>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</si>
  <si>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</si>
  <si>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</si>
  <si>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</si>
  <si>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</si>
  <si>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</si>
  <si>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</si>
  <si>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</si>
  <si>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</si>
  <si>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</si>
  <si>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</si>
  <si>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</si>
  <si>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</si>
  <si>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</si>
  <si>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</si>
  <si>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</si>
  <si>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</si>
  <si>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</si>
  <si>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</si>
  <si>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</si>
  <si>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</si>
  <si>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</si>
  <si>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</si>
  <si>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</si>
  <si>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</si>
  <si>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</si>
  <si>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</si>
  <si>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</si>
  <si>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</si>
  <si>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</si>
  <si>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</si>
  <si>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</si>
  <si>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</si>
  <si>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</si>
  <si>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</si>
  <si>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</si>
  <si>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</si>
  <si>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</si>
  <si>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</si>
  <si>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</si>
  <si>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</si>
  <si>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</si>
  <si>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</si>
  <si>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</si>
  <si>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</si>
  <si>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</si>
  <si>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</si>
  <si>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</si>
  <si>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</si>
  <si>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</si>
  <si>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</si>
  <si>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</si>
  <si>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</si>
  <si>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</si>
  <si>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</si>
  <si>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</si>
  <si>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</si>
  <si>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</si>
  <si>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</si>
  <si>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</si>
  <si>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</si>
  <si>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</si>
  <si>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</si>
  <si>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</si>
  <si>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</si>
  <si>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</si>
  <si>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</si>
  <si>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</si>
  <si>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</si>
  <si>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</si>
  <si>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</si>
  <si>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</si>
  <si>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</si>
  <si>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</si>
  <si>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</si>
  <si>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</si>
  <si>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</si>
  <si>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</si>
  <si>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</si>
  <si>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</si>
  <si>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</si>
  <si>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</si>
  <si>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</si>
  <si>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</si>
  <si>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</si>
  <si>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</si>
  <si>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</si>
  <si>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</si>
  <si>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</si>
  <si>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</si>
  <si>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</si>
  <si>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</si>
  <si>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</si>
  <si>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</si>
  <si>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</si>
  <si>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</si>
  <si>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</si>
  <si>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</si>
  <si>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</si>
  <si>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</si>
  <si>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</si>
  <si>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</si>
  <si>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</si>
  <si>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</si>
  <si>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</si>
  <si>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</si>
  <si>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</si>
  <si>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</si>
  <si>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</si>
  <si>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</si>
  <si>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</si>
  <si>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</si>
  <si>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</si>
  <si>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</si>
  <si>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</si>
  <si>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</si>
  <si>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</si>
  <si>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</si>
  <si>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</si>
  <si>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</si>
  <si>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</si>
  <si>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</si>
  <si>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</si>
  <si>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</si>
  <si>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</si>
  <si>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</si>
  <si>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</si>
  <si>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</si>
  <si>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</si>
  <si>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</si>
  <si>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</si>
  <si>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</si>
  <si>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</si>
  <si>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</si>
  <si>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</si>
  <si>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</si>
  <si>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</si>
  <si>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</si>
  <si>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</si>
  <si>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</si>
  <si>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</si>
  <si>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</si>
  <si>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</si>
  <si>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</si>
  <si>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</si>
  <si>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</si>
  <si>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</si>
  <si>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</si>
  <si>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</si>
  <si>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</si>
  <si>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</si>
  <si>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</si>
  <si>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</si>
  <si>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</si>
  <si>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</si>
  <si>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</si>
  <si>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</si>
  <si>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</si>
  <si>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</si>
  <si>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</si>
  <si>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</si>
  <si>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</si>
  <si>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</si>
  <si>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</si>
  <si>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</si>
  <si>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</si>
  <si>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</si>
  <si>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</si>
  <si>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</si>
  <si>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</si>
  <si>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</si>
  <si>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</si>
  <si>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</si>
  <si>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</si>
  <si>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</si>
  <si>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</si>
  <si>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</si>
  <si>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</si>
  <si>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</si>
  <si>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</si>
  <si>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</si>
  <si>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</si>
  <si>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</si>
  <si>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</si>
  <si>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</si>
  <si>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</si>
  <si>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</si>
  <si>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</si>
  <si>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</si>
  <si>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</si>
  <si>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</si>
  <si>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</si>
  <si>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</si>
  <si>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</si>
  <si>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</si>
  <si>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</si>
  <si>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</si>
  <si>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</si>
  <si>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</si>
  <si>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</si>
  <si>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</si>
  <si>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</si>
  <si>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</si>
  <si>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</si>
  <si>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</si>
  <si>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</si>
  <si>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</si>
  <si>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</si>
  <si>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</si>
  <si>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</si>
  <si>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</si>
  <si>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</si>
  <si>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</si>
  <si>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</si>
  <si>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</si>
  <si>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</si>
  <si>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</si>
  <si>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</si>
  <si>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</si>
  <si>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</si>
  <si>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</si>
  <si>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</si>
  <si>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</si>
  <si>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</si>
  <si>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</si>
  <si>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</si>
  <si>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</si>
  <si>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</si>
  <si>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</si>
  <si>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</si>
  <si>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</si>
  <si>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</si>
  <si>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</si>
  <si>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</si>
  <si>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</si>
  <si>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</si>
  <si>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</si>
  <si>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</si>
  <si>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</si>
  <si>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</si>
  <si>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</si>
  <si>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</si>
  <si>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</si>
  <si>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</si>
  <si>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</si>
  <si>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</si>
  <si>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</si>
  <si>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</si>
  <si>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</si>
  <si>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</si>
  <si>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</si>
  <si>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</si>
  <si>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</si>
  <si>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</si>
  <si>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</si>
  <si>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</si>
  <si>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</si>
  <si>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</si>
  <si>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</si>
  <si>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</si>
  <si>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</si>
  <si>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</si>
  <si>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</si>
  <si>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</si>
  <si>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</si>
  <si>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</si>
  <si>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</si>
  <si>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</si>
  <si>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</si>
  <si>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</si>
  <si>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</si>
  <si>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</si>
  <si>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</si>
  <si>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</si>
  <si>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</si>
  <si>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</si>
  <si>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</si>
  <si>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</si>
  <si>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</si>
  <si>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</si>
  <si>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</si>
  <si>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</si>
  <si>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</si>
  <si>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</si>
  <si>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</si>
  <si>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</si>
  <si>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</si>
  <si>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</si>
  <si>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</si>
  <si>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</si>
  <si>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</si>
  <si>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</si>
  <si>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</si>
  <si>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</si>
  <si>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</si>
  <si>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</si>
  <si>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</si>
  <si>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</si>
  <si>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</si>
  <si>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</si>
  <si>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</si>
  <si>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</si>
  <si>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</si>
  <si>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</si>
  <si>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</si>
  <si>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</si>
  <si>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</si>
  <si>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</si>
  <si>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</si>
  <si>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</si>
  <si>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</si>
  <si>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</si>
  <si>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</si>
  <si>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</si>
  <si>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</si>
  <si>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</si>
  <si>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</si>
  <si>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</si>
  <si>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</si>
  <si>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</si>
  <si>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</si>
  <si>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</si>
  <si>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</si>
  <si>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</si>
  <si>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</si>
  <si>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</si>
  <si>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</si>
  <si>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</si>
  <si>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</si>
  <si>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</si>
  <si>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</si>
  <si>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</si>
  <si>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</si>
  <si>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</si>
  <si>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</si>
  <si>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</si>
  <si>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</si>
  <si>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</si>
  <si>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</si>
  <si>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</si>
  <si>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</si>
  <si>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</si>
  <si>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</si>
  <si>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</si>
  <si>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</si>
  <si>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</si>
  <si>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</si>
  <si>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</si>
  <si>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</si>
  <si>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</si>
  <si>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</si>
  <si>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</si>
  <si>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</si>
  <si>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</si>
  <si>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</si>
  <si>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</si>
  <si>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</si>
  <si>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</si>
  <si>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</si>
  <si>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</si>
  <si>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</si>
  <si>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</si>
  <si>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</si>
  <si>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</si>
  <si>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</si>
  <si>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</si>
  <si>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</si>
  <si>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</si>
  <si>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</si>
  <si>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</si>
  <si>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</si>
  <si>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</si>
  <si>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</si>
  <si>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</si>
  <si>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</si>
  <si>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</si>
  <si>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</si>
  <si>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</si>
  <si>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</si>
  <si>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</si>
  <si>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</si>
  <si>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</si>
  <si>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</si>
  <si>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</si>
  <si>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</si>
  <si>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</si>
  <si>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</si>
  <si>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</si>
  <si>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</si>
  <si>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</si>
  <si>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</si>
  <si>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</si>
  <si>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</si>
  <si>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</si>
  <si>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</si>
  <si>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</si>
  <si>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</si>
  <si>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</si>
  <si>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</si>
  <si>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</si>
  <si>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</si>
  <si>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</si>
  <si>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</si>
  <si>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</si>
  <si>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</si>
  <si>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</si>
  <si>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</si>
  <si>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</si>
  <si>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</si>
  <si>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</si>
  <si>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</si>
  <si>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</si>
  <si>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</si>
  <si>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</si>
  <si>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</si>
  <si>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</si>
  <si>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</si>
  <si>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</si>
  <si>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</si>
  <si>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</si>
  <si>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</si>
  <si>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</si>
  <si>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</si>
  <si>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</si>
  <si>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</si>
  <si>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</si>
  <si>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</si>
  <si>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</si>
  <si>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</si>
  <si>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</si>
  <si>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</si>
  <si>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</si>
  <si>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</si>
  <si>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</si>
  <si>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</si>
  <si>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</si>
  <si>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</si>
  <si>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</si>
  <si>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</si>
  <si>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</si>
  <si>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</si>
  <si>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</si>
  <si>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</si>
  <si>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</si>
  <si>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</si>
  <si>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</si>
  <si>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</si>
  <si>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</si>
  <si>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</si>
  <si>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</si>
  <si>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</si>
  <si>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</si>
  <si>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</si>
  <si>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</si>
  <si>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</si>
  <si>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</si>
  <si>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</si>
  <si>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</si>
  <si>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</si>
  <si>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</si>
  <si>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</si>
  <si>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</si>
  <si>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</si>
  <si>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</si>
  <si>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</si>
  <si>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</si>
  <si>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</si>
  <si>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</si>
  <si>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</si>
  <si>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</si>
  <si>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</si>
  <si>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</si>
  <si>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</si>
  <si>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</si>
  <si>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</si>
  <si>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</si>
  <si>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</si>
  <si>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</si>
  <si>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</si>
  <si>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</si>
  <si>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</si>
  <si>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</si>
  <si>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</si>
  <si>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</si>
  <si>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</si>
  <si>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</si>
  <si>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</si>
  <si>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</si>
  <si>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</si>
  <si>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</si>
  <si>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</si>
  <si>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</si>
  <si>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</si>
  <si>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</si>
  <si>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</si>
  <si>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</si>
  <si>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</si>
  <si>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</si>
  <si>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</si>
  <si>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</si>
  <si>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</si>
  <si>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</si>
  <si>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</si>
  <si>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</si>
  <si>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</si>
  <si>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</si>
  <si>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</si>
  <si>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</si>
  <si>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</si>
  <si>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</si>
  <si>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</si>
  <si>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</si>
  <si>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</si>
  <si>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</si>
  <si>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</si>
  <si>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</si>
  <si>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</si>
  <si>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</si>
  <si>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</si>
  <si>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</si>
  <si>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</si>
  <si>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</si>
  <si>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</si>
  <si>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</si>
  <si>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</si>
  <si>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</si>
  <si>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</si>
  <si>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</si>
  <si>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</si>
  <si>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</si>
  <si>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</si>
  <si>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</si>
  <si>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</si>
  <si>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</si>
  <si>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</si>
  <si>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</si>
  <si>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</si>
  <si>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</si>
  <si>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</si>
  <si>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</si>
  <si>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</si>
  <si>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</si>
  <si>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</si>
  <si>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</si>
  <si>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</si>
  <si>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</si>
  <si>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</si>
  <si>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</si>
  <si>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</si>
  <si>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</si>
  <si>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</si>
  <si>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</si>
  <si>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</si>
  <si>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</si>
  <si>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</si>
  <si>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</si>
  <si>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</si>
  <si>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</si>
  <si>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</si>
  <si>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</si>
  <si>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</si>
  <si>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</si>
  <si>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</si>
  <si>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</si>
  <si>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</si>
  <si>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</si>
  <si>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</si>
  <si>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</si>
  <si>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</si>
  <si>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</si>
  <si>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</si>
  <si>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</si>
  <si>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</si>
  <si>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</si>
  <si>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</si>
  <si>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</si>
  <si>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</si>
  <si>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</si>
  <si>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</si>
  <si>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</si>
  <si>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</si>
  <si>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</si>
  <si>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</si>
  <si>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</si>
  <si>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</si>
  <si>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</si>
  <si>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</si>
  <si>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</si>
  <si>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</si>
  <si>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</si>
  <si>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</si>
  <si>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</si>
  <si>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</si>
  <si>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</si>
  <si>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</si>
  <si>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</si>
  <si>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</si>
  <si>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</si>
  <si>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</si>
  <si>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</si>
  <si>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</si>
  <si>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</si>
  <si>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</si>
  <si>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</si>
  <si>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</si>
  <si>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</si>
  <si>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</si>
  <si>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</si>
  <si>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</si>
  <si>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</si>
  <si>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</si>
  <si>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</si>
  <si>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</si>
  <si>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</si>
  <si>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</si>
  <si>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</si>
  <si>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</si>
  <si>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</si>
  <si>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</si>
  <si>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</si>
  <si>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</si>
  <si>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</si>
  <si>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</si>
  <si>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</si>
  <si>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</si>
  <si>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</si>
  <si>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</si>
  <si>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</si>
  <si>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</si>
  <si>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</si>
  <si>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</si>
  <si>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</si>
  <si>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</si>
  <si>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</si>
  <si>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</si>
  <si>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</si>
  <si>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</si>
  <si>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</si>
  <si>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</si>
  <si>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</si>
  <si>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</si>
  <si>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</si>
  <si>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</si>
  <si>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</si>
  <si>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</si>
  <si>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</si>
  <si>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</si>
  <si>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</si>
  <si>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</si>
  <si>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</si>
  <si>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</si>
  <si>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</si>
  <si>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</si>
  <si>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</si>
  <si>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</si>
  <si>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</si>
  <si>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</si>
  <si>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</si>
  <si>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</si>
  <si>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</si>
  <si>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</si>
  <si>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</si>
  <si>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</si>
  <si>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</si>
  <si>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</si>
  <si>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</si>
  <si>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</si>
  <si>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</si>
  <si>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</si>
  <si>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</si>
  <si>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</si>
  <si>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</si>
  <si>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</si>
  <si>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</si>
  <si>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</si>
  <si>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</si>
  <si>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</si>
  <si>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</si>
  <si>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</si>
  <si>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</si>
  <si>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</si>
  <si>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</si>
  <si>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</si>
  <si>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</si>
  <si>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</si>
  <si>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</si>
  <si>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</si>
  <si>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</si>
  <si>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</si>
  <si>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</si>
  <si>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</si>
  <si>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</si>
  <si>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</si>
  <si>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</si>
  <si>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</si>
  <si>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</si>
  <si>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</si>
  <si>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</si>
  <si>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</si>
  <si>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</si>
  <si>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</si>
  <si>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</si>
  <si>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</si>
  <si>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</si>
  <si>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</si>
  <si>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</si>
  <si>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</si>
  <si>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</si>
  <si>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</si>
  <si>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</si>
  <si>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</si>
  <si>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</si>
  <si>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</si>
  <si>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</si>
  <si>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</si>
  <si>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</si>
  <si>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</si>
  <si>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</si>
  <si>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</si>
  <si>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</si>
  <si>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</si>
  <si>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</si>
  <si>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</si>
  <si>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</si>
  <si>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</si>
  <si>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</si>
  <si>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</si>
  <si>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</si>
  <si>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</si>
  <si>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</si>
  <si>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</si>
  <si>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</si>
  <si>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</si>
  <si>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</si>
  <si>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</si>
  <si>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</si>
  <si>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</si>
  <si>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</si>
  <si>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</si>
  <si>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</si>
  <si>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</si>
  <si>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</si>
  <si>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</si>
  <si>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</si>
  <si>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</si>
  <si>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</si>
  <si>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</si>
  <si>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</si>
  <si>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</si>
  <si>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</si>
  <si>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</si>
  <si>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</si>
  <si>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</si>
  <si>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</si>
  <si>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</si>
  <si>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</si>
  <si>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</si>
  <si>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</si>
  <si>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</si>
  <si>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</si>
  <si>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</si>
  <si>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</si>
  <si>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</si>
  <si>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</si>
  <si>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</si>
  <si>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</si>
  <si>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</si>
  <si>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</si>
  <si>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</si>
  <si>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</si>
  <si>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</si>
  <si>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</si>
  <si>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</si>
  <si>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</si>
  <si>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</si>
  <si>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</si>
  <si>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</si>
  <si>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</si>
  <si>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</si>
  <si>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</si>
  <si>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</si>
  <si>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</si>
  <si>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</si>
  <si>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</si>
  <si>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</si>
  <si>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</si>
  <si>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</si>
  <si>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</si>
  <si>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</si>
  <si>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</si>
  <si>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</si>
  <si>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</si>
  <si>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</si>
  <si>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</si>
  <si>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</si>
  <si>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</si>
  <si>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</si>
  <si>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</si>
  <si>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</si>
  <si>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</si>
  <si>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</si>
  <si>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</si>
  <si>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</si>
  <si>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</si>
  <si>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</si>
  <si>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</si>
  <si>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</si>
  <si>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</si>
  <si>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</si>
  <si>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</si>
  <si>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</si>
  <si>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</si>
  <si>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</si>
  <si>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</si>
  <si>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</si>
  <si>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</si>
  <si>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</si>
  <si>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</si>
  <si>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</si>
  <si>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</si>
  <si>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</si>
  <si>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</si>
  <si>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</si>
  <si>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</si>
  <si>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</si>
  <si>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</si>
  <si>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</si>
  <si>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</si>
  <si>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</si>
  <si>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</si>
  <si>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</si>
  <si>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</si>
  <si>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</si>
  <si>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</si>
  <si>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</si>
  <si>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</si>
  <si>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</si>
  <si>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</si>
  <si>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</si>
  <si>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</si>
  <si>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</si>
  <si>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</si>
  <si>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</si>
  <si>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</si>
  <si>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</si>
  <si>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</si>
  <si>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</si>
  <si>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</si>
  <si>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</si>
  <si>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</si>
  <si>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</si>
  <si>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</si>
  <si>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</si>
  <si>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</si>
  <si>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</si>
  <si>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</si>
  <si>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</si>
  <si>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</si>
  <si>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</si>
  <si>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</si>
  <si>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</si>
  <si>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</si>
  <si>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</si>
  <si>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</si>
  <si>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</si>
  <si>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</si>
  <si>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</si>
  <si>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</si>
  <si>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</si>
  <si>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</si>
  <si>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</si>
  <si>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</si>
  <si>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</si>
  <si>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</si>
  <si>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</si>
  <si>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</si>
  <si>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</si>
  <si>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</si>
  <si>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</si>
  <si>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</si>
  <si>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</si>
  <si>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</si>
  <si>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</si>
  <si>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</si>
  <si>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</si>
  <si>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</si>
  <si>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</si>
  <si>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</si>
  <si>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</si>
  <si>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</si>
  <si>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</si>
  <si>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</si>
  <si>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</si>
  <si>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</si>
  <si>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</si>
  <si>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</si>
  <si>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</si>
  <si>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</si>
  <si>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</si>
  <si>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</si>
  <si>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</si>
  <si>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</si>
  <si>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</si>
  <si>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</si>
  <si>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</si>
  <si>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</si>
  <si>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</si>
  <si>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</si>
  <si>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</si>
  <si>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</si>
  <si>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</si>
  <si>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</si>
  <si>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</si>
  <si>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</si>
  <si>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</si>
  <si>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</si>
  <si>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</si>
  <si>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</si>
  <si>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</si>
  <si>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</si>
  <si>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</si>
  <si>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</si>
  <si>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</si>
  <si>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</si>
  <si>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</si>
  <si>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</si>
  <si>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</si>
  <si>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</si>
  <si>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</si>
  <si>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</si>
  <si>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</si>
  <si>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</si>
  <si>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</si>
  <si>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</si>
  <si>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</si>
  <si>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</si>
  <si>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</si>
  <si>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</si>
  <si>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</si>
  <si>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</si>
  <si>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</si>
  <si>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</si>
  <si>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</si>
  <si>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</si>
  <si>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</si>
  <si>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</si>
  <si>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</si>
  <si>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</si>
  <si>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</si>
  <si>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</si>
  <si>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</si>
  <si>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</si>
  <si>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</si>
  <si>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</si>
  <si>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</si>
  <si>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</si>
  <si>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</si>
  <si>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</si>
  <si>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</si>
  <si>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</si>
  <si>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</si>
  <si>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</si>
  <si>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</si>
  <si>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</si>
  <si>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</si>
  <si>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</si>
  <si>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</si>
  <si>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</si>
  <si>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</si>
  <si>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</si>
  <si>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</si>
  <si>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</si>
  <si>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</si>
  <si>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</si>
  <si>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</si>
  <si>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</si>
  <si>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</si>
  <si>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</si>
  <si>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</si>
  <si>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</si>
  <si>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</si>
  <si>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</si>
  <si>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</si>
  <si>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</si>
  <si>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</si>
  <si>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</si>
  <si>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</si>
  <si>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</si>
  <si>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</si>
  <si>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</si>
  <si>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</si>
  <si>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</si>
  <si>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</si>
  <si>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</si>
  <si>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</si>
  <si>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</si>
  <si>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</si>
  <si>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</si>
  <si>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</si>
  <si>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</si>
  <si>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</si>
  <si>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</si>
  <si>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</si>
  <si>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</si>
  <si>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</si>
  <si>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</si>
  <si>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</si>
  <si>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</si>
  <si>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</si>
  <si>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</si>
  <si>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</si>
  <si>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</si>
  <si>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</si>
  <si>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</si>
  <si>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</si>
  <si>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</si>
  <si>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</si>
  <si>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</si>
  <si>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</si>
  <si>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</si>
  <si>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</si>
  <si>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</si>
  <si>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</si>
  <si>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</si>
  <si>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</si>
  <si>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</si>
  <si>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</si>
  <si>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</si>
  <si>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</si>
  <si>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</si>
  <si>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</si>
  <si>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</si>
  <si>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</si>
  <si>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</si>
  <si>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</si>
  <si>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</si>
  <si>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</si>
  <si>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</si>
  <si>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</si>
  <si>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</si>
  <si>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</si>
  <si>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</si>
  <si>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</si>
  <si>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</si>
  <si>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</si>
  <si>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</si>
  <si>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</si>
  <si>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</si>
  <si>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</si>
  <si>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</si>
  <si>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</si>
  <si>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</si>
  <si>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</si>
  <si>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</si>
  <si>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</si>
  <si>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</si>
  <si>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</si>
  <si>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</si>
  <si>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</si>
  <si>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</si>
  <si>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</si>
  <si>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</si>
  <si>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</si>
  <si>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</si>
  <si>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</si>
  <si>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</si>
  <si>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</si>
  <si>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</si>
  <si>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</si>
  <si>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</si>
  <si>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</si>
  <si>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</si>
  <si>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</si>
  <si>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</si>
  <si>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</si>
  <si>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</si>
  <si>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</si>
  <si>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</si>
  <si>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</si>
  <si>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</si>
  <si>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</si>
  <si>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</si>
  <si>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</si>
  <si>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</si>
  <si>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</si>
  <si>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</si>
  <si>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</si>
  <si>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</si>
  <si>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</si>
  <si>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</si>
  <si>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</si>
  <si>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</si>
  <si>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</si>
  <si>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</si>
  <si>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</si>
  <si>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</si>
  <si>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</si>
  <si>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</si>
  <si>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</si>
  <si>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</si>
  <si>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</si>
  <si>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</si>
  <si>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</si>
  <si>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</si>
  <si>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</si>
  <si>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</si>
  <si>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</si>
  <si>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</si>
  <si>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</si>
  <si>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</si>
  <si>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</si>
  <si>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</si>
  <si>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</si>
  <si>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</si>
  <si>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</si>
  <si>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</si>
  <si>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</si>
  <si>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</si>
  <si>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</si>
  <si>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</si>
  <si>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</si>
  <si>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</si>
  <si>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</si>
  <si>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</si>
  <si>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</si>
  <si>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</si>
  <si>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</si>
  <si>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</si>
  <si>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</si>
  <si>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</si>
  <si>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</si>
  <si>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</si>
  <si>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</si>
  <si>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</si>
  <si>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</si>
  <si>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</si>
  <si>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</si>
  <si>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</si>
  <si>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</si>
  <si>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</si>
  <si>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</si>
  <si>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</si>
  <si>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</si>
  <si>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</si>
  <si>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</si>
  <si>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</si>
  <si>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</si>
  <si>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</si>
  <si>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</si>
  <si>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</si>
  <si>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</si>
  <si>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</si>
  <si>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</si>
  <si>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</si>
  <si>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</si>
  <si>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</si>
  <si>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</si>
  <si>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</si>
  <si>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</si>
  <si>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</si>
  <si>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</si>
  <si>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</si>
  <si>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</si>
  <si>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</si>
  <si>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</si>
  <si>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</si>
  <si>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</si>
  <si>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</si>
  <si>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</si>
  <si>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</si>
  <si>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</si>
  <si>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</si>
  <si>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</si>
  <si>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</si>
  <si>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</si>
  <si>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</si>
  <si>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</si>
  <si>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</si>
  <si>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</si>
  <si>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</si>
  <si>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</si>
  <si>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</si>
  <si>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</si>
  <si>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</si>
  <si>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</si>
  <si>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</si>
  <si>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</si>
  <si>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</si>
  <si>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</si>
  <si>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</si>
  <si>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</si>
  <si>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</si>
  <si>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</si>
  <si>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</si>
  <si>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</si>
  <si>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</si>
  <si>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</si>
  <si>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</si>
  <si>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</si>
  <si>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</si>
  <si>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</si>
  <si>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</si>
  <si>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</si>
  <si>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</si>
  <si>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</si>
  <si>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</si>
  <si>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</si>
  <si>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</si>
  <si>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</si>
  <si>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</si>
  <si>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</si>
  <si>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</si>
  <si>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</si>
  <si>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</si>
  <si>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</si>
  <si>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</si>
  <si>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</si>
  <si>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</si>
  <si>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</si>
  <si>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</si>
  <si>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</si>
  <si>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</si>
  <si>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</si>
  <si>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</si>
  <si>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</si>
  <si>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</si>
  <si>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</si>
  <si>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</si>
  <si>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</si>
  <si>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</si>
  <si>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</si>
  <si>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</si>
  <si>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</si>
  <si>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</si>
  <si>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</si>
  <si>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</si>
  <si>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</si>
  <si>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</si>
  <si>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</si>
  <si>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</si>
  <si>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</si>
  <si>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</si>
  <si>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</si>
  <si>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</si>
  <si>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</si>
  <si>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</si>
  <si>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</si>
  <si>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</si>
  <si>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</si>
  <si>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</si>
  <si>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</si>
  <si>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</si>
  <si>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</si>
  <si>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</si>
  <si>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</si>
  <si>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</si>
  <si>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</si>
  <si>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</si>
  <si>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</si>
  <si>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</si>
  <si>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</si>
  <si>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</si>
  <si>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</si>
  <si>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</si>
  <si>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</si>
  <si>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</si>
  <si>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</si>
  <si>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</si>
  <si>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</si>
  <si>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</si>
  <si>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</si>
  <si>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</si>
  <si>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</si>
  <si>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</si>
  <si>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</si>
  <si>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</si>
  <si>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</si>
  <si>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</si>
  <si>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</si>
  <si>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</si>
  <si>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</si>
  <si>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</si>
  <si>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</si>
  <si>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</si>
  <si>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</si>
  <si>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</si>
  <si>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</si>
  <si>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</si>
  <si>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</si>
  <si>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</si>
  <si>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</si>
  <si>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</si>
  <si>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</si>
  <si>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</si>
  <si>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</si>
  <si>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</si>
  <si>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</si>
  <si>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</si>
  <si>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</si>
  <si>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</si>
  <si>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</si>
  <si>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</si>
  <si>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</si>
  <si>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</si>
  <si>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</si>
  <si>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</si>
  <si>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</si>
  <si>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</si>
  <si>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</si>
  <si>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</si>
  <si>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</si>
  <si>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</si>
  <si>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</si>
  <si>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</si>
  <si>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</si>
  <si>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</si>
  <si>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</si>
  <si>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</si>
  <si>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</si>
  <si>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</si>
  <si>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</si>
  <si>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</si>
  <si>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</si>
  <si>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</si>
  <si>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</si>
  <si>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</si>
  <si>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</si>
  <si>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</si>
  <si>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</si>
  <si>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</si>
  <si>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</si>
  <si>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</si>
  <si>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</si>
  <si>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</si>
  <si>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</si>
  <si>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</si>
  <si>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</si>
  <si>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</si>
  <si>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</si>
  <si>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</si>
  <si>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</si>
  <si>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</si>
  <si>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</si>
  <si>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</si>
  <si>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</si>
  <si>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</si>
  <si>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</si>
  <si>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</si>
  <si>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</si>
  <si>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</si>
  <si>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</si>
  <si>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</si>
  <si>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</si>
  <si>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</si>
  <si>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</si>
  <si>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</si>
  <si>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</si>
  <si>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</si>
  <si>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</si>
  <si>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</si>
  <si>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</si>
  <si>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</si>
  <si>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</si>
  <si>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</si>
  <si>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</si>
  <si>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</si>
  <si>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</si>
  <si>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</si>
  <si>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</si>
  <si>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</si>
  <si>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</si>
  <si>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</si>
  <si>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</si>
  <si>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</si>
  <si>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</si>
  <si>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</si>
  <si>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</si>
  <si>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</si>
  <si>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</si>
  <si>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</si>
  <si>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</si>
  <si>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</si>
  <si>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</si>
  <si>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</si>
  <si>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</si>
  <si>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</si>
  <si>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</si>
  <si>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</si>
  <si>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</si>
  <si>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</si>
  <si>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</si>
  <si>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</si>
  <si>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</si>
  <si>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</si>
  <si>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</si>
  <si>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</si>
  <si>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</si>
  <si>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</si>
  <si>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</si>
  <si>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</si>
  <si>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</si>
  <si>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</si>
  <si>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</si>
  <si>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</si>
  <si>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</si>
  <si>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</si>
  <si>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</si>
  <si>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</si>
  <si>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</si>
  <si>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</si>
  <si>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</si>
  <si>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</si>
  <si>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</si>
  <si>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</si>
  <si>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</si>
  <si>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</si>
  <si>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</si>
  <si>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</si>
  <si>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</si>
  <si>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</si>
  <si>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</si>
  <si>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</si>
  <si>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</si>
  <si>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</si>
  <si>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</si>
  <si>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</si>
  <si>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</si>
  <si>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</si>
  <si>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</si>
  <si>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</si>
  <si>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</si>
  <si>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</si>
  <si>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</si>
  <si>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</si>
  <si>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</si>
  <si>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</si>
  <si>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</si>
  <si>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</si>
  <si>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</si>
  <si>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</si>
  <si>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</si>
  <si>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</si>
  <si>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</si>
  <si>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</si>
  <si>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</si>
  <si>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</si>
  <si>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</si>
  <si>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</si>
  <si>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</si>
  <si>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</si>
  <si>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</si>
  <si>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</si>
  <si>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</si>
  <si>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</si>
  <si>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</si>
  <si>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</si>
  <si>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</si>
  <si>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</si>
  <si>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</si>
  <si>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</si>
  <si>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</si>
  <si>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</si>
  <si>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</si>
  <si>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</si>
  <si>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</si>
  <si>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</si>
  <si>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</si>
  <si>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</si>
  <si>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</si>
  <si>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</si>
  <si>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</si>
  <si>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</si>
  <si>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</si>
  <si>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</si>
  <si>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</si>
  <si>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</si>
  <si>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</si>
  <si>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</si>
  <si>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</si>
  <si>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</si>
  <si>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</si>
  <si>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</si>
  <si>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</si>
  <si>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</si>
  <si>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</si>
  <si>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</si>
  <si>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</si>
  <si>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</si>
  <si>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</si>
  <si>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</si>
  <si>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</si>
  <si>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</si>
  <si>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</si>
  <si>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</si>
  <si>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</si>
  <si>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</si>
  <si>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</si>
  <si>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</si>
  <si>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</si>
  <si>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</si>
  <si>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</si>
  <si>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</si>
  <si>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</si>
  <si>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</si>
  <si>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</si>
  <si>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</si>
  <si>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</si>
  <si>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</si>
  <si>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</si>
  <si>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</si>
  <si>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</si>
  <si>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</si>
  <si>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</si>
  <si>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</si>
  <si>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</si>
  <si>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</si>
  <si>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</si>
  <si>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</si>
  <si>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</si>
  <si>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</si>
  <si>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</si>
  <si>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</si>
  <si>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</si>
  <si>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</si>
  <si>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</si>
  <si>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</si>
  <si>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</si>
  <si>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</si>
  <si>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</si>
  <si>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</si>
  <si>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</si>
  <si>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</si>
  <si>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</si>
  <si>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</si>
  <si>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</si>
  <si>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</si>
  <si>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</si>
  <si>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</si>
  <si>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</si>
  <si>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</si>
  <si>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</si>
  <si>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</si>
  <si>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</si>
  <si>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</si>
  <si>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</si>
  <si>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</si>
  <si>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</si>
  <si>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</si>
  <si>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</si>
  <si>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</si>
  <si>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</si>
  <si>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</si>
  <si>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</si>
  <si>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</si>
  <si>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</si>
  <si>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</si>
  <si>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</si>
  <si>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</si>
  <si>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</si>
  <si>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</si>
  <si>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</si>
  <si>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</si>
  <si>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</si>
  <si>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</si>
  <si>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</si>
  <si>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</si>
  <si>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</si>
  <si>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</si>
  <si>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</si>
  <si>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</si>
  <si>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</si>
  <si>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</si>
  <si>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</si>
  <si>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</si>
  <si>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</si>
  <si>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</si>
  <si>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</si>
  <si>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</si>
  <si>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</si>
  <si>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</si>
  <si>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</si>
  <si>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</si>
  <si>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</si>
  <si>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</si>
  <si>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</si>
  <si>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</si>
  <si>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</si>
  <si>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</si>
  <si>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</si>
  <si>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</si>
  <si>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</si>
  <si>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</si>
  <si>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</si>
  <si>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</si>
  <si>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</si>
  <si>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</si>
  <si>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</si>
  <si>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</si>
  <si>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</si>
  <si>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</si>
  <si>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</si>
  <si>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</si>
  <si>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</si>
  <si>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</si>
  <si>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</si>
  <si>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</si>
  <si>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</si>
  <si>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</si>
  <si>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</si>
  <si>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</si>
  <si>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</si>
  <si>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</si>
  <si>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</si>
  <si>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</si>
  <si>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</si>
  <si>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</si>
  <si>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</si>
  <si>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</si>
  <si>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</si>
  <si>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</si>
  <si>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</si>
  <si>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</si>
  <si>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</si>
  <si>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</si>
  <si>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</si>
  <si>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</si>
  <si>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</si>
  <si>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</si>
  <si>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</si>
  <si>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</si>
  <si>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</si>
  <si>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</si>
  <si>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</si>
  <si>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</si>
  <si>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</si>
  <si>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</si>
  <si>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</si>
  <si>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</si>
  <si>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</si>
  <si>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</si>
  <si>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</si>
  <si>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</si>
  <si>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</si>
  <si>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</si>
  <si>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</si>
  <si>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</si>
  <si>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</si>
  <si>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</si>
  <si>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</si>
  <si>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</si>
  <si>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</si>
  <si>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</si>
  <si>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</si>
  <si>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</si>
  <si>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</si>
  <si>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</si>
  <si>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</si>
  <si>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</si>
  <si>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</si>
  <si>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</si>
  <si>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</si>
  <si>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</si>
  <si>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</si>
  <si>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</si>
  <si>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</si>
  <si>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</si>
  <si>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</si>
  <si>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</si>
  <si>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</si>
  <si>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</si>
  <si>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</si>
  <si>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</si>
  <si>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</si>
  <si>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</si>
  <si>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</si>
  <si>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</si>
  <si>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</si>
  <si>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</si>
  <si>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</si>
  <si>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</si>
  <si>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</si>
  <si>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</si>
  <si>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</si>
  <si>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</si>
  <si>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</si>
  <si>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</si>
  <si>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</si>
  <si>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</si>
  <si>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</si>
  <si>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</si>
  <si>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</si>
  <si>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</si>
  <si>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</si>
  <si>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</si>
  <si>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</si>
  <si>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</si>
  <si>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</si>
  <si>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</si>
  <si>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</si>
  <si>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</si>
  <si>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</si>
  <si>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</si>
  <si>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</si>
  <si>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</si>
  <si>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</si>
  <si>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</si>
  <si>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</si>
  <si>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</si>
  <si>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</si>
  <si>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</si>
  <si>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</si>
  <si>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</si>
  <si>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</si>
  <si>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</si>
  <si>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</si>
  <si>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</si>
  <si>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</si>
  <si>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</si>
  <si>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</si>
  <si>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</si>
  <si>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</si>
  <si>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</si>
  <si>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</si>
  <si>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</si>
  <si>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</si>
  <si>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</si>
  <si>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</si>
  <si>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</si>
  <si>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</si>
  <si>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</si>
  <si>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</si>
  <si>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</si>
  <si>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</si>
  <si>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</si>
  <si>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</si>
  <si>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</si>
  <si>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</si>
  <si>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</si>
  <si>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</si>
  <si>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</si>
  <si>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</si>
  <si>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</si>
  <si>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</si>
  <si>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</si>
  <si>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</si>
  <si>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</si>
  <si>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</si>
  <si>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</si>
  <si>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</si>
  <si>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</si>
  <si>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</si>
  <si>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</si>
  <si>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</si>
  <si>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</si>
  <si>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</si>
  <si>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</si>
  <si>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</si>
  <si>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</si>
  <si>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</si>
  <si>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</si>
  <si>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</si>
  <si>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</si>
  <si>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</si>
  <si>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</si>
  <si>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</si>
  <si>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</si>
  <si>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</si>
  <si>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</si>
  <si>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</si>
  <si>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</si>
  <si>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</si>
  <si>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</si>
  <si>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</si>
  <si>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</si>
  <si>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</si>
  <si>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</si>
  <si>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</si>
  <si>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</si>
  <si>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</si>
  <si>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</si>
  <si>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</si>
  <si>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</si>
  <si>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</si>
  <si>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</si>
  <si>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</si>
  <si>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</si>
  <si>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</si>
  <si>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</si>
  <si>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</si>
  <si>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</si>
  <si>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</si>
  <si>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</si>
  <si>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</si>
  <si>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</si>
  <si>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</si>
  <si>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</si>
  <si>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</si>
  <si>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</si>
  <si>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</si>
  <si>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</si>
  <si>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</si>
  <si>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</si>
  <si>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</si>
  <si>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</si>
  <si>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</si>
  <si>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</si>
  <si>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</si>
  <si>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</si>
  <si>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</si>
  <si>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</si>
  <si>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</si>
  <si>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</si>
  <si>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</si>
  <si>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</si>
  <si>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</si>
  <si>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</si>
  <si>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</si>
  <si>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</si>
  <si>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</si>
  <si>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</si>
  <si>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</si>
  <si>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</si>
  <si>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</si>
  <si>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</si>
  <si>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</si>
  <si>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</si>
  <si>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</si>
  <si>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</si>
  <si>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</si>
  <si>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</si>
  <si>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</si>
  <si>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</si>
  <si>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</si>
  <si>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</si>
  <si>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</si>
  <si>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</si>
  <si>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</si>
  <si>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</si>
  <si>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</si>
  <si>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</si>
  <si>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</si>
  <si>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</si>
  <si>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</si>
  <si>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</si>
  <si>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</si>
  <si>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</si>
  <si>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</si>
  <si>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</si>
  <si>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</si>
  <si>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</si>
  <si>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</si>
  <si>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</si>
  <si>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</si>
  <si>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</si>
  <si>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</si>
  <si>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</si>
  <si>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</si>
  <si>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</si>
  <si>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</si>
  <si>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</si>
  <si>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</si>
  <si>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</si>
  <si>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</si>
  <si>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</si>
  <si>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</si>
  <si>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</si>
  <si>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</si>
  <si>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</si>
  <si>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</si>
  <si>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</si>
  <si>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</si>
  <si>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</si>
  <si>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</si>
  <si>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</si>
  <si>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</si>
  <si>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</si>
  <si>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</si>
  <si>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</si>
  <si>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</si>
  <si>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</si>
  <si>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</si>
  <si>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</si>
  <si>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</si>
  <si>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</si>
  <si>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</si>
  <si>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</si>
  <si>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</si>
  <si>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</si>
  <si>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</si>
  <si>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</si>
  <si>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</si>
  <si>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</si>
  <si>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</si>
  <si>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</si>
  <si>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</si>
  <si>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</si>
  <si>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</si>
  <si>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</si>
  <si>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</si>
  <si>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</si>
  <si>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</si>
  <si>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</si>
  <si>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</si>
  <si>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</si>
  <si>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</si>
  <si>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</si>
  <si>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</si>
  <si>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</si>
  <si>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</si>
  <si>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</si>
  <si>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</si>
  <si>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</si>
  <si>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</si>
  <si>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</si>
  <si>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</si>
  <si>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</si>
  <si>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</si>
  <si>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</si>
  <si>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</si>
  <si>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</si>
  <si>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</si>
  <si>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</si>
  <si>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</si>
  <si>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</si>
  <si>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</si>
  <si>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</si>
  <si>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</si>
  <si>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</si>
  <si>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</si>
  <si>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</si>
  <si>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</si>
  <si>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</si>
  <si>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</si>
  <si>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</si>
  <si>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</si>
  <si>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</si>
  <si>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</si>
  <si>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</si>
  <si>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</si>
  <si>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</si>
  <si>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</si>
  <si>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</si>
  <si>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</si>
  <si>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</si>
  <si>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</si>
  <si>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</si>
  <si>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</si>
  <si>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</si>
  <si>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</si>
  <si>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</si>
  <si>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</si>
  <si>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</si>
  <si>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</si>
  <si>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</si>
  <si>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</si>
  <si>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</si>
  <si>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</si>
  <si>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</si>
  <si>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</si>
  <si>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</si>
  <si>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</si>
  <si>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</si>
  <si>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</si>
  <si>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</si>
  <si>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</si>
  <si>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</si>
  <si>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</si>
  <si>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</si>
  <si>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</si>
  <si>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</si>
  <si>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</si>
  <si>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</si>
  <si>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</si>
  <si>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</si>
  <si>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</si>
  <si>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</si>
  <si>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</si>
  <si>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</si>
  <si>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</si>
  <si>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</si>
  <si>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</si>
  <si>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</si>
  <si>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</si>
  <si>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</si>
  <si>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</si>
  <si>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</si>
  <si>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</si>
  <si>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</si>
  <si>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</si>
  <si>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</si>
  <si>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</si>
  <si>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</si>
  <si>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</si>
  <si>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</si>
  <si>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</si>
  <si>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</si>
  <si>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</si>
  <si>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</si>
  <si>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</si>
  <si>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</si>
  <si>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</si>
  <si>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</si>
  <si>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</si>
  <si>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</si>
  <si>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</si>
  <si>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</si>
  <si>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</si>
  <si>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</si>
  <si>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</si>
  <si>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</si>
  <si>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</si>
  <si>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</si>
  <si>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</si>
  <si>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</si>
  <si>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</si>
  <si>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</si>
  <si>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</si>
  <si>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</si>
  <si>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</si>
  <si>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</si>
  <si>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</si>
  <si>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</si>
  <si>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</si>
  <si>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</si>
  <si>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</si>
  <si>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</si>
  <si>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</si>
  <si>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</si>
  <si>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</si>
  <si>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</si>
  <si>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</si>
  <si>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</si>
  <si>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</si>
  <si>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</si>
  <si>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</si>
  <si>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</si>
  <si>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</si>
  <si>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</si>
  <si>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</si>
  <si>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</si>
  <si>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</si>
  <si>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</si>
  <si>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</si>
  <si>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</si>
  <si>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</si>
  <si>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</si>
  <si>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</si>
  <si>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</si>
  <si>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</si>
  <si>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</si>
  <si>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</si>
  <si>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</si>
  <si>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</si>
  <si>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</si>
  <si>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</si>
  <si>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</si>
  <si>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</si>
  <si>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</si>
  <si>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</si>
  <si>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</si>
  <si>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</si>
  <si>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</si>
  <si>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</si>
  <si>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</si>
  <si>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</si>
  <si>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</si>
  <si>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</si>
  <si>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</si>
  <si>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</si>
  <si>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</si>
  <si>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</si>
  <si>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</si>
  <si>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</si>
  <si>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</si>
  <si>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</si>
  <si>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</si>
  <si>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</si>
  <si>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</si>
  <si>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</si>
  <si>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</si>
  <si>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</si>
  <si>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</si>
  <si>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</si>
  <si>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</si>
  <si>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</si>
  <si>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</si>
  <si>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</si>
  <si>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</si>
  <si>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</si>
  <si>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</si>
  <si>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</si>
  <si>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</si>
  <si>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</si>
  <si>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</si>
  <si>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</si>
  <si>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</si>
  <si>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</si>
  <si>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</si>
  <si>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</si>
  <si>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</si>
  <si>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</si>
  <si>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</si>
  <si>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</si>
  <si>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</si>
  <si>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</si>
  <si>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</si>
  <si>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</si>
  <si>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</si>
  <si>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</si>
  <si>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</si>
  <si>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</si>
  <si>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</si>
  <si>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</si>
  <si>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</si>
  <si>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</si>
  <si>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</si>
  <si>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</si>
  <si>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</si>
  <si>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</si>
  <si>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</si>
  <si>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</si>
  <si>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</si>
  <si>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</si>
  <si>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</si>
  <si>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</si>
  <si>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</si>
  <si>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</si>
  <si>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</si>
  <si>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</si>
  <si>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</si>
  <si>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</si>
  <si>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</si>
  <si>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</si>
  <si>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</si>
  <si>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</si>
  <si>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</si>
  <si>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</si>
  <si>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</si>
  <si>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</si>
  <si>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</si>
  <si>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</si>
  <si>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</si>
  <si>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</si>
  <si>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</si>
  <si>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</si>
  <si>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</si>
  <si>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</si>
  <si>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</si>
  <si>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</si>
  <si>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</si>
  <si>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</si>
  <si>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</si>
  <si>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</si>
  <si>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</si>
  <si>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</si>
  <si>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</si>
  <si>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</si>
  <si>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</si>
  <si>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</si>
  <si>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</si>
  <si>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</si>
  <si>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</si>
  <si>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</si>
  <si>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</si>
  <si>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</si>
  <si>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</si>
  <si>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</si>
  <si>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</si>
  <si>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</si>
  <si>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</si>
  <si>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</si>
  <si>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</si>
  <si>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</si>
  <si>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</si>
  <si>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</si>
  <si>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</si>
  <si>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</si>
  <si>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</si>
  <si>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</si>
  <si>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</si>
  <si>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</si>
  <si>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</si>
  <si>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</si>
  <si>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</si>
  <si>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</si>
  <si>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</si>
  <si>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</si>
  <si>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</si>
  <si>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</si>
  <si>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</si>
  <si>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</si>
  <si>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</si>
  <si>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</si>
  <si>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</si>
  <si>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</si>
  <si>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</si>
  <si>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</si>
  <si>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</si>
  <si>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</si>
  <si>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</si>
  <si>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</si>
  <si>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</si>
  <si>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</si>
  <si>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</si>
  <si>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</si>
  <si>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</si>
  <si>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</si>
  <si>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</si>
  <si>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</si>
  <si>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</si>
  <si>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</si>
  <si>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</si>
  <si>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</si>
  <si>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</si>
  <si>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</si>
  <si>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</si>
  <si>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</si>
  <si>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</si>
  <si>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</si>
  <si>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</si>
  <si>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</si>
  <si>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</si>
  <si>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</si>
  <si>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</si>
  <si>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</si>
  <si>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</si>
  <si>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</si>
  <si>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</si>
  <si>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</si>
  <si>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</si>
  <si>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</si>
  <si>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</si>
  <si>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</si>
  <si>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</si>
  <si>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</si>
  <si>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</si>
  <si>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</si>
  <si>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</si>
  <si>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</si>
  <si>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</si>
  <si>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</si>
  <si>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</si>
  <si>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</si>
  <si>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</si>
  <si>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</si>
  <si>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</si>
  <si>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</si>
  <si>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</si>
  <si>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</si>
  <si>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</si>
  <si>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</si>
  <si>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</si>
  <si>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</si>
  <si>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</si>
  <si>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</si>
  <si>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</si>
  <si>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</si>
  <si>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</si>
  <si>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</si>
  <si>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</si>
  <si>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</si>
  <si>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</si>
  <si>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</si>
  <si>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</si>
  <si>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</si>
  <si>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</si>
  <si>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</si>
  <si>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</si>
  <si>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</si>
  <si>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</si>
  <si>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</si>
  <si>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</si>
  <si>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</si>
  <si>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</si>
  <si>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</si>
  <si>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</si>
  <si>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</si>
  <si>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</si>
  <si>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</si>
  <si>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</si>
  <si>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</si>
  <si>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</si>
  <si>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</si>
  <si>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</si>
  <si>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</si>
  <si>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</si>
  <si>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</si>
  <si>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</si>
  <si>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</si>
  <si>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</si>
  <si>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</si>
  <si>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</si>
  <si>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</si>
  <si>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</si>
  <si>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</si>
  <si>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</si>
  <si>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</si>
  <si>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</si>
  <si>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</si>
  <si>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</si>
  <si>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</si>
  <si>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</si>
  <si>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</si>
  <si>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</si>
  <si>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</si>
  <si>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</si>
  <si>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</si>
  <si>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</si>
  <si>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</si>
  <si>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</si>
  <si>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</si>
  <si>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</si>
  <si>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</si>
  <si>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</si>
  <si>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</si>
  <si>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</si>
  <si>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</si>
  <si>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</si>
  <si>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</si>
  <si>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</si>
  <si>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</si>
  <si>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</si>
  <si>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</si>
  <si>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</si>
  <si>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</si>
  <si>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</si>
  <si>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</si>
  <si>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</si>
  <si>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</si>
  <si>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</si>
  <si>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</si>
  <si>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</si>
  <si>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</si>
  <si>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</si>
  <si>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</si>
  <si>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</si>
  <si>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</si>
  <si>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</si>
  <si>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</si>
  <si>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</si>
  <si>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</si>
  <si>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</si>
  <si>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</si>
  <si>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</si>
  <si>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</si>
  <si>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</si>
  <si>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</si>
  <si>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</si>
  <si>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</si>
  <si>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</si>
  <si>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</si>
  <si>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</si>
  <si>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</si>
  <si>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</si>
  <si>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</si>
  <si>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</si>
  <si>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</si>
  <si>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</si>
  <si>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</si>
  <si>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</si>
  <si>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</si>
  <si>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</si>
  <si>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</si>
  <si>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</si>
  <si>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</si>
  <si>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</si>
  <si>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</si>
  <si>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</si>
  <si>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</si>
  <si>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</si>
  <si>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</si>
  <si>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</si>
  <si>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</si>
  <si>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</si>
  <si>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</si>
  <si>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</si>
  <si>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</si>
  <si>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</si>
  <si>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</si>
  <si>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</si>
  <si>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</si>
  <si>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</si>
  <si>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</si>
  <si>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</si>
  <si>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</si>
  <si>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</si>
  <si>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</si>
  <si>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</si>
  <si>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</si>
  <si>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</si>
  <si>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</si>
  <si>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</si>
  <si>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</si>
  <si>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</si>
  <si>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</si>
  <si>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</si>
  <si>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</si>
  <si>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</si>
  <si>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</si>
  <si>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</si>
  <si>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</si>
  <si>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</si>
  <si>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</si>
  <si>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</si>
  <si>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</si>
  <si>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</si>
  <si>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</si>
  <si>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</si>
  <si>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</si>
  <si>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</si>
  <si>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</si>
  <si>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</si>
  <si>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</si>
  <si>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</si>
  <si>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</si>
  <si>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</si>
  <si>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</si>
  <si>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</si>
  <si>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</si>
  <si>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</si>
  <si>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</si>
  <si>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</si>
  <si>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</si>
  <si>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</si>
  <si>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</si>
  <si>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</si>
  <si>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</si>
  <si>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</si>
  <si>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</si>
  <si>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</si>
  <si>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</si>
  <si>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</si>
  <si>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</si>
  <si>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</si>
  <si>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</si>
  <si>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</si>
  <si>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</si>
  <si>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</si>
  <si>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</si>
  <si>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</si>
  <si>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</si>
  <si>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</si>
  <si>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</si>
  <si>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</si>
  <si>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</si>
  <si>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</si>
  <si>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</si>
  <si>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</si>
  <si>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</si>
  <si>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</si>
  <si>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</si>
  <si>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</si>
  <si>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</si>
  <si>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</si>
  <si>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</si>
  <si>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</si>
  <si>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</si>
  <si>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</si>
  <si>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</si>
  <si>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</si>
  <si>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</si>
  <si>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</si>
  <si>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</si>
  <si>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</si>
  <si>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</si>
  <si>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</si>
  <si>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</si>
  <si>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</si>
  <si>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</si>
  <si>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</si>
  <si>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</si>
  <si>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</si>
  <si>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</si>
  <si>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</si>
  <si>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</si>
  <si>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</si>
  <si>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</si>
  <si>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</si>
  <si>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</si>
  <si>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</si>
  <si>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</si>
  <si>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</si>
  <si>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</si>
  <si>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</si>
  <si>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</si>
  <si>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</si>
  <si>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</si>
  <si>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</si>
  <si>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</si>
  <si>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</si>
  <si>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</si>
  <si>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</si>
  <si>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</si>
  <si>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</si>
  <si>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</si>
  <si>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</si>
  <si>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</si>
  <si>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</si>
  <si>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</si>
  <si>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</si>
  <si>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</si>
  <si>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</si>
  <si>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</si>
  <si>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</si>
  <si>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</si>
  <si>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</si>
  <si>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</si>
  <si>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</si>
  <si>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</si>
  <si>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</si>
  <si>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</si>
  <si>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</si>
  <si>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</si>
  <si>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</si>
  <si>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</si>
  <si>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</si>
  <si>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</si>
  <si>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</si>
  <si>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</si>
  <si>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</si>
  <si>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</si>
  <si>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</si>
  <si>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</si>
  <si>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</si>
  <si>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</si>
  <si>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</si>
  <si>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</si>
  <si>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</si>
  <si>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</si>
  <si>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</si>
  <si>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</si>
  <si>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</si>
  <si>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</si>
  <si>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</si>
  <si>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</si>
  <si>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</si>
  <si>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</si>
  <si>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</si>
  <si>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</si>
  <si>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</si>
  <si>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</si>
  <si>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</si>
  <si>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</si>
  <si>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</si>
  <si>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</si>
  <si>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</si>
  <si>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</si>
  <si>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</si>
  <si>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</si>
  <si>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</si>
  <si>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</si>
  <si>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</si>
  <si>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</si>
  <si>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</si>
  <si>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</si>
  <si>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</si>
  <si>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</si>
  <si>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</si>
  <si>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</si>
  <si>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</si>
  <si>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</si>
  <si>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</si>
  <si>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</si>
  <si>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</si>
  <si>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</si>
  <si>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</si>
  <si>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</si>
  <si>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</si>
  <si>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</si>
  <si>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</si>
  <si>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</si>
  <si>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</si>
  <si>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</si>
  <si>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</si>
  <si>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</si>
  <si>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</si>
  <si>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</si>
  <si>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</si>
  <si>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</si>
  <si>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</si>
  <si>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</si>
  <si>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</si>
  <si>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</si>
  <si>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</si>
  <si>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</si>
  <si>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</si>
  <si>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</si>
  <si>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</si>
  <si>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</si>
  <si>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</si>
  <si>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</si>
  <si>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</si>
  <si>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</si>
  <si>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</si>
  <si>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</si>
  <si>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</si>
  <si>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</si>
  <si>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</si>
  <si>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</si>
  <si>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</si>
  <si>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</si>
  <si>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</si>
  <si>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</si>
  <si>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</si>
  <si>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</si>
  <si>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</si>
  <si>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</si>
  <si>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</si>
  <si>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</si>
  <si>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</si>
  <si>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</si>
  <si>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</si>
  <si>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</si>
  <si>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</si>
  <si>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</si>
  <si>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</si>
  <si>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</si>
  <si>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</si>
  <si>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</si>
  <si>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</si>
  <si>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</si>
  <si>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</si>
  <si>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</si>
  <si>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</si>
  <si>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</si>
  <si>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</si>
  <si>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</si>
  <si>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</si>
  <si>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</si>
  <si>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</si>
  <si>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</si>
  <si>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</si>
  <si>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</si>
  <si>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</si>
  <si>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</si>
  <si>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</si>
  <si>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</si>
  <si>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</si>
  <si>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</si>
  <si>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</si>
  <si>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</si>
  <si>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</si>
  <si>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</si>
  <si>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</si>
  <si>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</si>
  <si>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</si>
  <si>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</si>
  <si>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</si>
  <si>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</si>
  <si>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</si>
  <si>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</si>
  <si>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</si>
  <si>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</si>
  <si>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</si>
  <si>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</si>
  <si>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</si>
  <si>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</si>
  <si>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</si>
  <si>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</si>
  <si>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</si>
  <si>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</si>
  <si>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</si>
  <si>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</si>
  <si>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</si>
  <si>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</si>
  <si>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</si>
  <si>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</si>
  <si>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</si>
  <si>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</si>
  <si>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</si>
  <si>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</si>
  <si>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</si>
  <si>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</si>
  <si>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</si>
  <si>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</si>
  <si>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</si>
  <si>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</si>
  <si>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</si>
  <si>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</si>
  <si>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</si>
  <si>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</si>
  <si>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</si>
  <si>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</si>
  <si>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</si>
  <si>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</si>
  <si>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</si>
  <si>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</si>
  <si>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</si>
  <si>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</si>
  <si>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</si>
  <si>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</si>
  <si>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</si>
  <si>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</si>
  <si>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</si>
  <si>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</si>
  <si>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</si>
  <si>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</si>
  <si>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</si>
  <si>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</si>
  <si>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</si>
  <si>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</si>
  <si>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</si>
  <si>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</si>
  <si>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</si>
  <si>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</si>
  <si>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</si>
  <si>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</si>
  <si>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</si>
  <si>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</si>
  <si>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</si>
  <si>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</si>
  <si>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</si>
  <si>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</si>
  <si>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</si>
  <si>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</si>
  <si>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</si>
  <si>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</si>
  <si>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</si>
  <si>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</si>
  <si>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</si>
  <si>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</si>
  <si>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</si>
  <si>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</si>
  <si>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</si>
  <si>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</si>
  <si>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</si>
  <si>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</si>
  <si>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</si>
  <si>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</si>
  <si>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</si>
  <si>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</si>
  <si>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</si>
  <si>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</si>
  <si>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</si>
  <si>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</si>
  <si>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</si>
  <si>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</si>
  <si>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</si>
  <si>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</si>
  <si>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</si>
  <si>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</si>
  <si>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</si>
  <si>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</si>
  <si>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</si>
  <si>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</si>
  <si>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</si>
  <si>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</si>
  <si>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</si>
  <si>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</si>
  <si>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</si>
  <si>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</si>
  <si>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</si>
  <si>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</si>
  <si>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</si>
  <si>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</si>
  <si>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</si>
  <si>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</si>
  <si>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</si>
  <si>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</si>
  <si>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</si>
  <si>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</si>
  <si>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</si>
  <si>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</si>
  <si>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</si>
  <si>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</si>
  <si>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</si>
  <si>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</si>
  <si>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</si>
  <si>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</si>
  <si>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</si>
  <si>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</si>
  <si>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</si>
  <si>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</si>
  <si>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</si>
  <si>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</si>
  <si>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</si>
  <si>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</si>
  <si>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</si>
  <si>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</si>
  <si>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</si>
  <si>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</si>
  <si>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</si>
  <si>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</si>
  <si>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</si>
  <si>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</si>
  <si>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</si>
  <si>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</si>
  <si>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</si>
  <si>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</si>
  <si>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</si>
  <si>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</si>
  <si>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</si>
  <si>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</si>
  <si>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</si>
  <si>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</si>
  <si>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</si>
  <si>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</si>
  <si>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</si>
  <si>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</si>
  <si>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</si>
  <si>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</si>
  <si>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</si>
  <si>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</si>
  <si>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</si>
  <si>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</si>
  <si>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</si>
  <si>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</si>
  <si>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</si>
  <si>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</si>
  <si>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</si>
  <si>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</si>
  <si>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</si>
  <si>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</si>
  <si>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</si>
  <si>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</si>
  <si>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</si>
  <si>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</si>
  <si>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</si>
  <si>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</si>
  <si>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</si>
  <si>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</si>
  <si>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</si>
  <si>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</si>
  <si>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</si>
  <si>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</si>
  <si>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</si>
  <si>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</si>
  <si>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</si>
  <si>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</si>
  <si>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</si>
  <si>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</si>
  <si>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</si>
  <si>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</si>
  <si>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</si>
  <si>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</si>
  <si>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</si>
  <si>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</si>
  <si>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</si>
  <si>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</si>
  <si>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</si>
  <si>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</si>
  <si>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</si>
  <si>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</si>
  <si>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</si>
  <si>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</si>
  <si>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</si>
  <si>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</si>
  <si>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</si>
  <si>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</si>
  <si>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</si>
  <si>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</si>
  <si>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</si>
  <si>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</si>
  <si>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</si>
  <si>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</si>
  <si>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</si>
  <si>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</si>
  <si>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</si>
  <si>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</si>
  <si>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</si>
  <si>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</si>
  <si>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</si>
  <si>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</si>
  <si>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</si>
  <si>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</si>
  <si>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</si>
  <si>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</si>
  <si>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</si>
  <si>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</si>
  <si>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</si>
  <si>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</si>
  <si>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</si>
  <si>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</si>
  <si>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</si>
  <si>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</si>
  <si>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</si>
  <si>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</si>
  <si>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</si>
  <si>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</si>
  <si>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</si>
  <si>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</si>
  <si>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</si>
  <si>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</si>
  <si>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</si>
  <si>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</si>
  <si>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</si>
  <si>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</si>
  <si>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</si>
  <si>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</si>
  <si>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</si>
  <si>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</si>
  <si>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</si>
  <si>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</si>
  <si>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</si>
  <si>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</si>
  <si>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</si>
  <si>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</si>
  <si>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</si>
  <si>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</si>
  <si>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</si>
  <si>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</si>
  <si>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</si>
  <si>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</si>
  <si>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</si>
  <si>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</si>
  <si>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</si>
  <si>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</si>
  <si>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</si>
  <si>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</si>
  <si>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</si>
  <si>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</si>
  <si>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</si>
  <si>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</si>
  <si>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</si>
  <si>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</si>
  <si>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</si>
  <si>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</si>
  <si>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</si>
  <si>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</si>
  <si>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</si>
  <si>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</si>
  <si>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</si>
  <si>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</si>
  <si>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</si>
  <si>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</si>
  <si>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</si>
  <si>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</si>
  <si>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</si>
  <si>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</si>
  <si>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</si>
  <si>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</si>
  <si>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</si>
  <si>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</si>
  <si>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</si>
  <si>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</si>
  <si>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</si>
  <si>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</si>
  <si>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</si>
  <si>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</si>
  <si>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</si>
  <si>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</si>
  <si>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</si>
  <si>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</si>
  <si>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</si>
  <si>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</si>
  <si>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</si>
  <si>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</si>
  <si>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</si>
  <si>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</si>
  <si>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</si>
  <si>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</si>
  <si>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</si>
  <si>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</si>
  <si>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</si>
  <si>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</si>
  <si>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</si>
  <si>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</si>
  <si>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</si>
  <si>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</si>
  <si>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</si>
  <si>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</si>
  <si>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</si>
  <si>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</si>
  <si>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</si>
  <si>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</si>
  <si>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</si>
  <si>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</si>
  <si>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</si>
  <si>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</si>
  <si>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</si>
  <si>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</si>
  <si>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</si>
  <si>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</si>
  <si>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</si>
  <si>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</si>
  <si>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</si>
  <si>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</si>
  <si>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</si>
  <si>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</si>
  <si>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</si>
  <si>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</si>
  <si>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</si>
  <si>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</si>
  <si>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</si>
  <si>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</si>
  <si>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</si>
  <si>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</si>
  <si>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</si>
  <si>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</si>
  <si>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</si>
  <si>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</si>
  <si>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</si>
  <si>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</si>
  <si>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</si>
  <si>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</si>
  <si>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</si>
  <si>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</si>
  <si>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</si>
  <si>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</si>
  <si>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</si>
  <si>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</si>
  <si>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</si>
  <si>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</si>
  <si>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</si>
  <si>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</si>
  <si>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</si>
  <si>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</si>
  <si>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</si>
  <si>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</si>
  <si>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</si>
  <si>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</si>
  <si>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</si>
  <si>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</si>
  <si>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</si>
  <si>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</si>
  <si>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</si>
  <si>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</si>
  <si>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</si>
  <si>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</si>
  <si>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</si>
  <si>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</si>
  <si>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</si>
  <si>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</si>
  <si>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</si>
  <si>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</si>
  <si>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</si>
  <si>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</si>
  <si>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</si>
  <si>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</si>
  <si>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</si>
  <si>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</si>
  <si>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</si>
  <si>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</si>
  <si>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</si>
  <si>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</si>
  <si>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</si>
  <si>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</si>
  <si>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</si>
  <si>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</si>
  <si>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</si>
  <si>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</si>
  <si>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</si>
  <si>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</si>
  <si>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</si>
  <si>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</si>
  <si>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</si>
  <si>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</si>
  <si>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</si>
  <si>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</si>
  <si>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</si>
  <si>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</si>
  <si>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</si>
  <si>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</si>
  <si>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</si>
  <si>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</si>
  <si>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</si>
  <si>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</si>
  <si>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</si>
  <si>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</si>
  <si>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</si>
  <si>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</si>
  <si>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</si>
  <si>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</si>
  <si>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</si>
  <si>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</si>
  <si>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</si>
  <si>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</si>
  <si>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</si>
  <si>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</si>
  <si>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</si>
  <si>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</si>
  <si>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</si>
  <si>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</si>
  <si>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</si>
  <si>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</si>
  <si>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</si>
  <si>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</si>
  <si>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</si>
  <si>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</si>
  <si>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</si>
  <si>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</si>
  <si>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</si>
  <si>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</si>
  <si>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</si>
  <si>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</si>
  <si>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</si>
  <si>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</si>
  <si>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</si>
  <si>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</si>
  <si>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</si>
  <si>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</si>
  <si>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</si>
  <si>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</si>
  <si>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</si>
  <si>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</si>
  <si>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</si>
  <si>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</si>
  <si>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</si>
  <si>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</si>
  <si>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</si>
  <si>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</si>
  <si>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</si>
  <si>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</si>
  <si>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</si>
  <si>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</si>
  <si>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</si>
  <si>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</si>
  <si>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</si>
  <si>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</si>
  <si>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</si>
  <si>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</si>
  <si>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</si>
  <si>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</si>
  <si>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</si>
  <si>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</si>
  <si>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</si>
  <si>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</si>
  <si>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</si>
  <si>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</si>
  <si>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</si>
  <si>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</si>
  <si>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</si>
  <si>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</si>
  <si>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</si>
  <si>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</si>
  <si>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</si>
  <si>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</si>
  <si>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</si>
  <si>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</si>
  <si>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</si>
  <si>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</si>
  <si>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</si>
  <si>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</si>
  <si>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</si>
  <si>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</si>
  <si>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</si>
  <si>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</si>
  <si>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</si>
  <si>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</si>
  <si>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</si>
  <si>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</si>
  <si>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</si>
  <si>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</si>
  <si>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</si>
  <si>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</si>
  <si>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</si>
  <si>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</si>
  <si>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</si>
  <si>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</si>
  <si>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</si>
  <si>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</si>
  <si>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</si>
  <si>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</si>
  <si>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</si>
  <si>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</si>
  <si>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</si>
  <si>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</si>
  <si>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</si>
  <si>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</si>
  <si>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</si>
  <si>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</si>
  <si>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</si>
  <si>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</si>
  <si>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</si>
  <si>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</si>
  <si>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</si>
  <si>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</si>
  <si>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</si>
  <si>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</si>
  <si>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</si>
  <si>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</si>
  <si>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</si>
  <si>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</si>
  <si>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</si>
  <si>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</si>
  <si>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</si>
  <si>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</si>
  <si>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</si>
  <si>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</si>
  <si>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</si>
  <si>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</si>
  <si>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</si>
  <si>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</si>
  <si>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</si>
  <si>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</si>
  <si>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</si>
  <si>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</si>
  <si>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</si>
  <si>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</si>
  <si>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</si>
  <si>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</si>
  <si>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</si>
  <si>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</si>
  <si>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</si>
  <si>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</si>
  <si>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</si>
  <si>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</si>
  <si>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</si>
  <si>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</si>
  <si>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</si>
  <si>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</si>
  <si>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</si>
  <si>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</si>
  <si>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</si>
  <si>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</si>
  <si>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</si>
  <si>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</si>
  <si>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</si>
  <si>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</si>
  <si>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</si>
  <si>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</si>
  <si>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</si>
  <si>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</si>
  <si>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</si>
  <si>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</si>
  <si>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</si>
  <si>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</si>
  <si>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</si>
  <si>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</si>
  <si>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</si>
  <si>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</si>
  <si>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</si>
  <si>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</si>
  <si>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</si>
  <si>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</si>
  <si>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</si>
  <si>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</si>
  <si>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</si>
  <si>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</si>
  <si>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</si>
  <si>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</si>
  <si>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</si>
  <si>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</si>
  <si>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</si>
  <si>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</si>
  <si>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</si>
  <si>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</si>
  <si>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</si>
  <si>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</si>
  <si>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</si>
  <si>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</si>
  <si>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</si>
  <si>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</si>
  <si>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</si>
  <si>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</si>
  <si>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</si>
  <si>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</si>
  <si>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</si>
  <si>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</si>
  <si>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</si>
  <si>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</si>
  <si>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</si>
  <si>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</si>
  <si>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</si>
  <si>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</si>
  <si>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</si>
  <si>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</si>
  <si>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</si>
  <si>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</si>
  <si>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</si>
  <si>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</si>
  <si>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</si>
  <si>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</si>
  <si>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</si>
  <si>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</si>
  <si>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</si>
  <si>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</si>
  <si>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</si>
  <si>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</si>
  <si>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</si>
  <si>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</si>
  <si>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</si>
  <si>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</si>
  <si>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</si>
  <si>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</si>
  <si>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</si>
  <si>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</si>
  <si>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</si>
  <si>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</si>
  <si>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</si>
  <si>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</si>
  <si>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</si>
  <si>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</si>
  <si>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</si>
  <si>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</si>
  <si>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</si>
  <si>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</si>
  <si>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</si>
  <si>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</si>
  <si>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</si>
  <si>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</si>
  <si>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</si>
  <si>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</si>
  <si>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</si>
  <si>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</si>
  <si>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</si>
  <si>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</si>
  <si>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</si>
  <si>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</si>
  <si>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</si>
  <si>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</si>
  <si>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</si>
  <si>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</si>
  <si>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</si>
  <si>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</si>
  <si>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</si>
  <si>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</si>
  <si>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</si>
  <si>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</si>
  <si>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</si>
  <si>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</si>
  <si>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</si>
  <si>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</si>
  <si>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</si>
  <si>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</si>
  <si>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</si>
  <si>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</si>
  <si>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</si>
  <si>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</si>
  <si>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</si>
  <si>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</si>
  <si>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</si>
  <si>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</si>
  <si>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</si>
  <si>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</si>
  <si>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</si>
  <si>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</si>
  <si>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</si>
  <si>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</si>
  <si>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</si>
  <si>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</si>
  <si>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</si>
  <si>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</si>
  <si>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</si>
  <si>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</si>
  <si>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</si>
  <si>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</si>
  <si>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</si>
  <si>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</si>
  <si>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</si>
  <si>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</si>
  <si>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</si>
  <si>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</si>
  <si>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</si>
  <si>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</si>
  <si>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</si>
  <si>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</si>
  <si>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</si>
  <si>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</si>
  <si>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</si>
  <si>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</si>
  <si>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</si>
  <si>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</si>
  <si>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</si>
  <si>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</si>
  <si>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</si>
  <si>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</si>
  <si>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</si>
  <si>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</si>
  <si>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</si>
  <si>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</si>
  <si>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</si>
  <si>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</si>
  <si>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</si>
  <si>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</si>
  <si>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</si>
  <si>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</si>
  <si>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</si>
  <si>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</si>
  <si>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</si>
  <si>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</si>
  <si>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</si>
  <si>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</si>
  <si>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</si>
  <si>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</si>
  <si>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</si>
  <si>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</si>
  <si>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</si>
  <si>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</si>
  <si>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</si>
  <si>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</si>
  <si>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</si>
  <si>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</si>
  <si>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</si>
  <si>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</si>
  <si>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</si>
  <si>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</si>
  <si>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</si>
  <si>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</si>
  <si>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</si>
  <si>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</si>
  <si>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</si>
  <si>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</si>
  <si>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</si>
  <si>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</si>
  <si>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</si>
  <si>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</si>
  <si>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</si>
  <si>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</si>
  <si>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</si>
  <si>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</si>
  <si>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</si>
  <si>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</si>
  <si>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</si>
  <si>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</si>
  <si>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</si>
  <si>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</si>
  <si>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</si>
  <si>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</si>
  <si>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</si>
  <si>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</si>
  <si>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</si>
  <si>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</si>
  <si>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</si>
  <si>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</si>
  <si>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</si>
  <si>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</si>
  <si>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</si>
  <si>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</si>
  <si>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</si>
  <si>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</si>
  <si>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</si>
  <si>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</si>
  <si>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</si>
  <si>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</si>
  <si>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</si>
  <si>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</si>
  <si>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</si>
  <si>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</si>
  <si>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</si>
  <si>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</si>
  <si>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</si>
  <si>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</si>
  <si>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</si>
  <si>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</si>
  <si>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</si>
  <si>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</si>
  <si>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</si>
  <si>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</si>
  <si>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</si>
  <si>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</si>
  <si>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</si>
  <si>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</si>
  <si>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</si>
  <si>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</si>
  <si>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</si>
  <si>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</si>
  <si>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</si>
  <si>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</si>
  <si>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</si>
  <si>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</si>
  <si>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</si>
  <si>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</si>
  <si>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</si>
  <si>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</si>
  <si>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</si>
  <si>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</si>
  <si>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</si>
  <si>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</si>
  <si>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</si>
  <si>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</si>
  <si>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</si>
  <si>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</si>
  <si>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</si>
  <si>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</si>
  <si>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</si>
  <si>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</si>
  <si>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</si>
  <si>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</si>
  <si>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</si>
  <si>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</si>
  <si>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</si>
  <si>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</si>
  <si>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</si>
  <si>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</si>
  <si>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</si>
  <si>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</si>
  <si>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</si>
  <si>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</si>
  <si>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</si>
  <si>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</si>
  <si>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</si>
  <si>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</si>
  <si>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</si>
  <si>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</si>
  <si>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</si>
  <si>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</si>
  <si>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</si>
  <si>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</si>
  <si>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</si>
  <si>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</si>
  <si>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</si>
  <si>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</si>
  <si>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</si>
  <si>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</si>
  <si>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</si>
  <si>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</si>
  <si>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</si>
  <si>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</si>
  <si>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</si>
  <si>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</si>
  <si>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</si>
  <si>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</si>
  <si>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</si>
  <si>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</si>
  <si>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</si>
  <si>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</si>
  <si>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</si>
  <si>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</si>
  <si>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</si>
  <si>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</si>
  <si>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</si>
  <si>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</si>
  <si>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</si>
  <si>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</si>
  <si>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</si>
  <si>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</si>
  <si>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</si>
  <si>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</si>
  <si>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</si>
  <si>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</si>
  <si>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</si>
  <si>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</si>
  <si>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</si>
  <si>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</si>
  <si>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</si>
  <si>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</si>
  <si>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</si>
  <si>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</si>
  <si>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</si>
  <si>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</si>
  <si>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</si>
  <si>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</si>
  <si>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</si>
  <si>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</si>
  <si>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</si>
  <si>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</si>
  <si>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</si>
  <si>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</si>
  <si>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</si>
  <si>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</si>
  <si>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</si>
  <si>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</si>
  <si>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</si>
  <si>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</si>
  <si>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</si>
  <si>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</si>
  <si>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</si>
  <si>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</si>
  <si>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</si>
  <si>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</si>
  <si>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</si>
  <si>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</si>
  <si>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</si>
  <si>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</si>
  <si>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</si>
  <si>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</si>
  <si>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</si>
  <si>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</si>
  <si>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</si>
  <si>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</si>
  <si>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</si>
  <si>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</si>
  <si>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</si>
  <si>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</si>
  <si>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</si>
  <si>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</si>
  <si>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</si>
  <si>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</si>
  <si>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</si>
  <si>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</si>
  <si>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</si>
  <si>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</si>
  <si>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</si>
  <si>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</si>
  <si>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</si>
  <si>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</si>
  <si>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</si>
  <si>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</si>
  <si>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</si>
  <si>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</si>
  <si>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</si>
  <si>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</si>
  <si>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</si>
  <si>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</si>
  <si>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</si>
  <si>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</si>
  <si>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</si>
  <si>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</si>
  <si>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</si>
  <si>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</si>
  <si>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</si>
  <si>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</si>
  <si>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</si>
  <si>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</si>
  <si>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</si>
  <si>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</si>
  <si>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</si>
  <si>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</si>
  <si>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</si>
  <si>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</si>
  <si>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</si>
  <si>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</si>
  <si>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</si>
  <si>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</si>
  <si>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</si>
  <si>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</si>
  <si>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</si>
  <si>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</si>
  <si>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</si>
  <si>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</si>
  <si>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</si>
  <si>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</si>
  <si>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</si>
  <si>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</si>
  <si>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</si>
  <si>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</si>
  <si>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</si>
  <si>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</si>
  <si>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</si>
  <si>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</si>
  <si>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</si>
  <si>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</si>
  <si>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</si>
  <si>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</si>
  <si>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</si>
  <si>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</si>
  <si>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</si>
  <si>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</si>
  <si>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</si>
  <si>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</si>
  <si>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</si>
  <si>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</si>
  <si>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</si>
  <si>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</si>
  <si>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</si>
  <si>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</si>
  <si>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</si>
  <si>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</si>
  <si>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</si>
  <si>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</si>
  <si>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</si>
  <si>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</si>
  <si>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</si>
  <si>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</si>
  <si>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</si>
  <si>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</si>
  <si>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</si>
  <si>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</si>
  <si>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</si>
  <si>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</si>
  <si>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</si>
  <si>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</si>
  <si>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</si>
  <si>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</si>
  <si>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</si>
  <si>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</si>
  <si>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</si>
  <si>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</si>
  <si>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</si>
  <si>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</si>
  <si>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</si>
  <si>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</si>
  <si>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</si>
  <si>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</si>
  <si>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</si>
  <si>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</si>
  <si>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</si>
  <si>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</si>
  <si>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</si>
  <si>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</si>
  <si>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</si>
  <si>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</si>
  <si>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</si>
  <si>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</si>
  <si>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</si>
  <si>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</si>
  <si>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</si>
  <si>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</si>
  <si>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</si>
  <si>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</si>
  <si>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</si>
  <si>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</si>
  <si>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</si>
  <si>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</si>
  <si>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</si>
  <si>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</si>
  <si>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</si>
  <si>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</si>
  <si>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</si>
  <si>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</si>
  <si>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</si>
  <si>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</si>
  <si>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</si>
  <si>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</si>
  <si>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</si>
  <si>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</si>
  <si>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</si>
  <si>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</si>
  <si>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</si>
  <si>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</si>
  <si>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</si>
  <si>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</si>
  <si>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</si>
  <si>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</si>
  <si>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</si>
  <si>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</si>
  <si>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</si>
  <si>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</si>
  <si>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</si>
  <si>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</si>
  <si>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</si>
  <si>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</si>
  <si>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</si>
  <si>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</si>
  <si>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</si>
  <si>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</si>
  <si>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</si>
  <si>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</si>
  <si>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</si>
  <si>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</si>
  <si>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</si>
  <si>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</si>
  <si>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</si>
  <si>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</si>
  <si>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</si>
  <si>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</si>
  <si>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</si>
  <si>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</si>
  <si>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</si>
  <si>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</si>
  <si>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</si>
  <si>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</si>
  <si>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</si>
  <si>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</si>
  <si>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</si>
  <si>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</si>
  <si>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</si>
  <si>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</si>
  <si>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</si>
  <si>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</si>
  <si>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</si>
  <si>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</si>
  <si>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</si>
  <si>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</si>
  <si>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</si>
  <si>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</si>
  <si>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</si>
  <si>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</si>
  <si>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</si>
  <si>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</si>
  <si>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</si>
  <si>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</si>
  <si>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</si>
  <si>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</si>
  <si>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</si>
  <si>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</si>
  <si>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</si>
  <si>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</si>
  <si>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</si>
  <si>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</si>
  <si>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</si>
  <si>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</si>
  <si>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</si>
  <si>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</si>
  <si>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</si>
  <si>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</si>
  <si>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</si>
  <si>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</si>
  <si>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</si>
  <si>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</si>
  <si>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</si>
  <si>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</si>
  <si>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</si>
  <si>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</si>
  <si>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</si>
  <si>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</si>
  <si>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</si>
  <si>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</si>
  <si>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</si>
  <si>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</si>
  <si>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</si>
  <si>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</si>
  <si>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</si>
  <si>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</si>
  <si>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</si>
  <si>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</si>
  <si>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</si>
  <si>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</si>
  <si>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</si>
  <si>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</si>
  <si>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</si>
  <si>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</si>
  <si>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</si>
  <si>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</si>
  <si>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</si>
  <si>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</si>
  <si>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</si>
  <si>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</si>
  <si>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</si>
  <si>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</si>
  <si>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</si>
  <si>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</si>
  <si>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</si>
  <si>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</si>
  <si>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</si>
  <si>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</si>
  <si>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</si>
  <si>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</si>
  <si>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</si>
  <si>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</si>
  <si>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</si>
  <si>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</si>
  <si>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</si>
  <si>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</si>
  <si>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</si>
  <si>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</si>
  <si>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</si>
  <si>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</si>
  <si>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</si>
  <si>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</si>
  <si>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</si>
  <si>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</si>
  <si>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</si>
  <si>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</si>
  <si>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</si>
  <si>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</si>
  <si>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</si>
  <si>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</si>
  <si>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</si>
  <si>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</si>
  <si>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</si>
  <si>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</si>
  <si>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</si>
  <si>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</si>
  <si>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</si>
  <si>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</si>
  <si>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</si>
  <si>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</si>
  <si>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</si>
  <si>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</si>
  <si>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</si>
  <si>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</si>
  <si>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</si>
  <si>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</si>
  <si>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</si>
  <si>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</si>
  <si>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</si>
  <si>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</si>
  <si>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</si>
  <si>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</si>
  <si>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</si>
  <si>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</si>
  <si>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</si>
  <si>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</si>
  <si>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</si>
  <si>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</si>
  <si>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</si>
  <si>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</si>
  <si>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</si>
  <si>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</si>
  <si>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</si>
  <si>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</si>
  <si>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</si>
  <si>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</si>
  <si>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</si>
  <si>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</si>
  <si>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</si>
  <si>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</si>
  <si>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</si>
  <si>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</si>
  <si>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</si>
  <si>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</si>
  <si>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</si>
  <si>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</si>
  <si>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</si>
  <si>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</si>
  <si>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</si>
  <si>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</si>
  <si>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</si>
  <si>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</si>
  <si>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</si>
  <si>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</si>
  <si>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</si>
  <si>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</si>
  <si>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</si>
  <si>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</si>
  <si>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</si>
  <si>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</si>
  <si>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</si>
  <si>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</si>
  <si>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</si>
  <si>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</si>
  <si>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</si>
  <si>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</si>
  <si>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</si>
  <si>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</si>
  <si>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</si>
  <si>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</si>
  <si>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</si>
  <si>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</si>
  <si>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</si>
  <si>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</si>
  <si>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</si>
  <si>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</si>
  <si>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</si>
  <si>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</si>
  <si>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</si>
  <si>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</si>
  <si>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</si>
  <si>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</si>
  <si>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</si>
  <si>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</si>
  <si>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</si>
  <si>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</si>
  <si>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</si>
  <si>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</si>
  <si>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</si>
  <si>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</si>
  <si>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</si>
  <si>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</si>
  <si>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</si>
  <si>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</si>
  <si>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</si>
  <si>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</si>
  <si>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</si>
  <si>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</si>
  <si>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</si>
  <si>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</si>
  <si>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</si>
  <si>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</si>
  <si>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</si>
  <si>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</si>
  <si>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</si>
  <si>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</si>
  <si>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</si>
  <si>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</si>
  <si>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</si>
  <si>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</si>
  <si>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</si>
  <si>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</si>
  <si>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</si>
  <si>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</si>
  <si>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</si>
  <si>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</si>
  <si>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</si>
  <si>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</si>
  <si>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</si>
  <si>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</si>
  <si>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</si>
  <si>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</si>
  <si>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</si>
  <si>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</si>
  <si>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</si>
  <si>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</si>
  <si>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</si>
  <si>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</si>
  <si>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</si>
  <si>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</si>
  <si>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</si>
  <si>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</si>
  <si>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</si>
  <si>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</si>
  <si>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</si>
  <si>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</si>
  <si>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</si>
  <si>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</si>
  <si>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</si>
  <si>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</si>
  <si>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</si>
  <si>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</si>
  <si>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</si>
  <si>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</si>
  <si>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</si>
  <si>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</si>
  <si>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</si>
  <si>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</si>
  <si>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</si>
  <si>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</si>
  <si>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</si>
  <si>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</si>
  <si>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</si>
  <si>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</si>
  <si>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</si>
  <si>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</si>
  <si>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</si>
  <si>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</si>
  <si>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</si>
  <si>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</si>
  <si>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</si>
  <si>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</si>
  <si>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</si>
  <si>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</si>
  <si>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</si>
  <si>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</si>
  <si>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</si>
  <si>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</si>
  <si>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</si>
  <si>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</si>
  <si>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</si>
  <si>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</si>
  <si>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</si>
  <si>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</si>
  <si>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</si>
  <si>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</si>
  <si>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</si>
  <si>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</si>
  <si>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</si>
  <si>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</si>
  <si>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</si>
  <si>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</si>
  <si>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</si>
  <si>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</si>
  <si>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</si>
  <si>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</si>
  <si>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</si>
  <si>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</si>
  <si>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</si>
  <si>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</si>
  <si>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</si>
  <si>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</si>
  <si>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</si>
  <si>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</si>
  <si>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</si>
  <si>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</si>
  <si>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</si>
  <si>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</si>
  <si>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</si>
  <si>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</si>
  <si>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</si>
  <si>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</si>
  <si>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</si>
  <si>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</si>
  <si>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</si>
  <si>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</si>
  <si>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</si>
  <si>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</si>
  <si>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</si>
  <si>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</si>
  <si>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</si>
  <si>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</si>
  <si>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</si>
  <si>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</si>
  <si>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</si>
  <si>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</si>
  <si>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</si>
  <si>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</si>
  <si>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</si>
  <si>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</si>
  <si>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</si>
  <si>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</si>
  <si>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</si>
  <si>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</si>
  <si>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</si>
  <si>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</si>
  <si>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</si>
  <si>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</si>
  <si>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</si>
  <si>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</si>
  <si>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</si>
  <si>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</si>
  <si>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</si>
  <si>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</si>
  <si>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</si>
  <si>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</si>
  <si>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</si>
  <si>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</si>
  <si>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</si>
  <si>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</si>
  <si>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</si>
  <si>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</si>
  <si>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</si>
  <si>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</si>
  <si>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</si>
  <si>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</si>
  <si>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</si>
  <si>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</si>
  <si>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</si>
  <si>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</si>
  <si>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</si>
  <si>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</si>
  <si>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</si>
  <si>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</si>
  <si>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</si>
  <si>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</si>
  <si>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</si>
  <si>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</si>
  <si>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</si>
  <si>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</si>
  <si>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</si>
  <si>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</si>
  <si>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</si>
  <si>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</si>
  <si>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</si>
  <si>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</si>
  <si>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</si>
  <si>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</si>
  <si>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</si>
  <si>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</si>
  <si>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</si>
  <si>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</si>
  <si>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</si>
  <si>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</si>
  <si>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</si>
  <si>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</si>
  <si>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</si>
  <si>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</si>
  <si>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</si>
  <si>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</si>
  <si>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</si>
  <si>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</si>
  <si>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</si>
  <si>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</si>
  <si>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</si>
  <si>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</si>
  <si>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</si>
  <si>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</si>
  <si>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</si>
  <si>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</si>
  <si>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</si>
  <si>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</si>
  <si>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</si>
  <si>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</si>
  <si>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</si>
  <si>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</si>
  <si>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</si>
  <si>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</si>
  <si>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</si>
  <si>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</si>
  <si>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</si>
  <si>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</si>
  <si>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</si>
  <si>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</si>
  <si>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</si>
  <si>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</si>
  <si>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</si>
  <si>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</si>
  <si>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</si>
  <si>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</si>
  <si>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</si>
  <si>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</si>
  <si>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</si>
  <si>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</si>
  <si>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</si>
  <si>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</si>
  <si>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</si>
  <si>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</si>
  <si>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</si>
  <si>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</si>
  <si>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</si>
  <si>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</si>
  <si>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</si>
  <si>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</si>
  <si>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</si>
  <si>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</si>
  <si>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</si>
  <si>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</si>
  <si>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</si>
  <si>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</si>
  <si>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</si>
  <si>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</si>
  <si>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</si>
  <si>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</si>
  <si>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</si>
  <si>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</si>
  <si>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</si>
  <si>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</si>
  <si>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</si>
  <si>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</si>
  <si>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</si>
  <si>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</si>
  <si>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</si>
  <si>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</si>
  <si>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</si>
  <si>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</si>
  <si>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</si>
  <si>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</si>
  <si>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</si>
  <si>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</si>
  <si>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</si>
  <si>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</si>
  <si>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</si>
  <si>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</si>
  <si>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</si>
  <si>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</si>
  <si>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</si>
  <si>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</si>
  <si>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</si>
  <si>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</si>
  <si>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</si>
  <si>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</si>
  <si>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</si>
  <si>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</si>
  <si>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</si>
  <si>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</si>
  <si>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</si>
  <si>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</si>
  <si>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</si>
  <si>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</si>
  <si>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</si>
  <si>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</si>
  <si>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</si>
  <si>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</si>
  <si>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</si>
  <si>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</si>
  <si>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</si>
  <si>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</si>
  <si>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</si>
  <si>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</si>
  <si>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</si>
  <si>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</si>
  <si>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</si>
  <si>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</si>
  <si>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</si>
  <si>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</si>
  <si>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</si>
  <si>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</si>
  <si>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</si>
  <si>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</si>
  <si>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</si>
  <si>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</si>
  <si>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</si>
  <si>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</si>
  <si>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</si>
  <si>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</si>
  <si>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</si>
  <si>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</si>
  <si>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</si>
  <si>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</si>
  <si>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</si>
  <si>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</si>
  <si>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</si>
  <si>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</si>
  <si>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</si>
  <si>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</si>
  <si>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</si>
  <si>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</si>
  <si>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</si>
  <si>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</si>
  <si>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</si>
  <si>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</si>
  <si>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</si>
  <si>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</si>
  <si>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</si>
  <si>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</si>
  <si>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</si>
  <si>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</si>
  <si>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</si>
  <si>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</si>
  <si>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</si>
  <si>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</si>
  <si>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</si>
  <si>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</si>
  <si>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</si>
  <si>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</si>
  <si>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</si>
  <si>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</si>
  <si>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</si>
  <si>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</si>
  <si>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</si>
  <si>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</si>
  <si>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</si>
  <si>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</si>
  <si>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</si>
  <si>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</si>
  <si>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</si>
  <si>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</si>
  <si>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</si>
  <si>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</si>
  <si>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</si>
  <si>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</si>
  <si>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</si>
  <si>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</si>
  <si>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</si>
  <si>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</si>
  <si>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</si>
  <si>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</si>
  <si>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</si>
  <si>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</si>
  <si>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</si>
  <si>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</si>
  <si>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</si>
  <si>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</si>
  <si>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</si>
  <si>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</si>
  <si>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</si>
  <si>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</si>
  <si>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</si>
  <si>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</si>
  <si>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</si>
  <si>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</si>
  <si>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</si>
  <si>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</si>
  <si>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</si>
  <si>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</si>
  <si>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</si>
  <si>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</si>
  <si>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</si>
  <si>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</si>
  <si>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</si>
  <si>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</si>
  <si>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</si>
  <si>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</si>
  <si>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</si>
  <si>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</si>
  <si>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</si>
  <si>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</si>
  <si>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</si>
  <si>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</si>
  <si>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</si>
  <si>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</si>
  <si>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</si>
  <si>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</si>
  <si>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</si>
  <si>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</si>
  <si>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</si>
  <si>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</si>
  <si>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</si>
  <si>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</si>
  <si>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</si>
  <si>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</si>
  <si>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</si>
  <si>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</si>
  <si>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</si>
  <si>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</si>
  <si>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</si>
  <si>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</si>
  <si>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</si>
  <si>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</si>
  <si>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</si>
  <si>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</si>
  <si>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</si>
  <si>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</si>
  <si>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</si>
  <si>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</si>
  <si>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</si>
  <si>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</si>
  <si>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</si>
  <si>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</si>
  <si>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</si>
  <si>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</si>
  <si>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</si>
  <si>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</si>
  <si>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</si>
  <si>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</si>
  <si>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</si>
  <si>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</si>
  <si>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</si>
  <si>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</si>
  <si>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</si>
  <si>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</si>
  <si>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</si>
  <si>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</si>
  <si>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</si>
  <si>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</si>
  <si>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</si>
  <si>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</si>
  <si>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</si>
  <si>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</si>
  <si>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</si>
  <si>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</si>
  <si>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</si>
  <si>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</si>
  <si>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</si>
  <si>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</si>
  <si>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</si>
  <si>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</si>
  <si>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</si>
  <si>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</si>
  <si>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</si>
  <si>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</si>
  <si>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</si>
  <si>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</si>
  <si>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</si>
  <si>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</si>
  <si>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</si>
  <si>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</si>
  <si>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</si>
  <si>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</si>
  <si>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</si>
  <si>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</si>
  <si>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</si>
  <si>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</si>
  <si>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</si>
  <si>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</si>
  <si>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</si>
  <si>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</si>
  <si>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</si>
  <si>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</si>
  <si>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</si>
  <si>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</si>
  <si>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</si>
  <si>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</si>
  <si>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</si>
  <si>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</si>
  <si>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</si>
  <si>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</si>
  <si>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</si>
  <si>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</si>
  <si>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</si>
  <si>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</si>
  <si>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</si>
  <si>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</si>
  <si>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</si>
  <si>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</si>
  <si>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</si>
  <si>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</si>
  <si>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</si>
  <si>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</si>
  <si>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</si>
  <si>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</si>
  <si>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</si>
  <si>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</si>
  <si>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</si>
  <si>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</si>
  <si>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</si>
  <si>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</si>
  <si>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</si>
  <si>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</si>
  <si>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</si>
  <si>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</si>
  <si>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</si>
  <si>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</si>
  <si>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</si>
  <si>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</si>
  <si>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</si>
  <si>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</si>
  <si>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</si>
  <si>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</si>
  <si>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</si>
  <si>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</si>
  <si>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</si>
  <si>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</si>
  <si>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</si>
  <si>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</si>
  <si>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</si>
  <si>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</si>
  <si>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</si>
  <si>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</si>
  <si>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</si>
  <si>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</si>
  <si>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</si>
  <si>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</si>
  <si>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</si>
  <si>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</si>
  <si>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</si>
  <si>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</si>
  <si>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</si>
  <si>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</si>
  <si>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</si>
  <si>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</si>
  <si>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</si>
  <si>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</si>
  <si>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</si>
  <si>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</si>
  <si>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</si>
  <si>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</si>
  <si>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</si>
  <si>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</si>
  <si>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</si>
  <si>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</si>
  <si>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</si>
  <si>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</si>
  <si>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</si>
  <si>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</si>
  <si>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</si>
  <si>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</si>
  <si>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</si>
  <si>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</si>
  <si>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</si>
  <si>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</si>
  <si>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</si>
  <si>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</si>
  <si>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</si>
  <si>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</si>
  <si>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</si>
  <si>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</si>
  <si>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</si>
  <si>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</si>
  <si>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</si>
  <si>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</si>
  <si>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</si>
  <si>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</si>
  <si>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</si>
  <si>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</si>
  <si>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</si>
  <si>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</si>
  <si>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</si>
  <si>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</si>
  <si>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</si>
  <si>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</si>
  <si>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</si>
  <si>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</si>
  <si>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</si>
  <si>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</si>
  <si>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</si>
  <si>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</si>
  <si>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</si>
  <si>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</si>
  <si>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</si>
  <si>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</si>
  <si>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</si>
  <si>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</si>
  <si>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</si>
  <si>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</si>
  <si>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</si>
  <si>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</si>
  <si>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</si>
  <si>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</si>
  <si>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</si>
  <si>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</si>
  <si>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</si>
  <si>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</si>
  <si>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</si>
  <si>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</si>
  <si>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</si>
  <si>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</si>
  <si>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</si>
  <si>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</si>
  <si>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</si>
  <si>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</si>
  <si>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</si>
  <si>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</si>
  <si>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</si>
  <si>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</si>
  <si>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</si>
  <si>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</si>
  <si>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</si>
  <si>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</si>
  <si>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</si>
  <si>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</si>
  <si>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</si>
  <si>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</si>
  <si>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</si>
  <si>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</si>
  <si>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</si>
  <si>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</si>
  <si>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</si>
  <si>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</si>
  <si>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</si>
  <si>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</si>
  <si>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</si>
  <si>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</si>
  <si>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</si>
  <si>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</si>
  <si>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</si>
  <si>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</si>
  <si>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</si>
  <si>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</si>
  <si>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</si>
  <si>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</si>
  <si>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</si>
  <si>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</si>
  <si>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</si>
  <si>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</si>
  <si>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</si>
  <si>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</si>
  <si>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</si>
  <si>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</si>
  <si>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</si>
  <si>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</si>
  <si>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</si>
  <si>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</si>
  <si>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</si>
  <si>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</si>
  <si>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</si>
  <si>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</si>
  <si>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</si>
  <si>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</si>
  <si>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</si>
  <si>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</si>
  <si>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</si>
  <si>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</si>
  <si>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</si>
  <si>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</si>
  <si>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</si>
  <si>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</si>
  <si>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</si>
  <si>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</si>
  <si>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</si>
  <si>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</si>
  <si>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</si>
  <si>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</si>
  <si>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</si>
  <si>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</si>
  <si>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</si>
  <si>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</si>
  <si>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</si>
  <si>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</si>
  <si>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</si>
  <si>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</si>
  <si>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</si>
  <si>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</si>
  <si>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</si>
  <si>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</si>
  <si>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</si>
  <si>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</si>
  <si>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</si>
  <si>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</si>
  <si>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</si>
  <si>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</si>
  <si>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</si>
  <si>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</si>
  <si>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</si>
  <si>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</si>
  <si>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</si>
  <si>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</si>
  <si>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</si>
  <si>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</si>
  <si>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</si>
  <si>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</si>
  <si>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</si>
  <si>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</si>
  <si>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</si>
  <si>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</si>
  <si>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</si>
  <si>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</si>
  <si>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</si>
  <si>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</si>
  <si>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</si>
  <si>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</si>
  <si>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</si>
  <si>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</si>
  <si>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</si>
  <si>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</si>
  <si>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</si>
  <si>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</si>
  <si>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</si>
  <si>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</si>
  <si>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</si>
  <si>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</si>
  <si>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</si>
  <si>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</si>
  <si>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</si>
  <si>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</si>
  <si>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</si>
  <si>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</si>
  <si>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</si>
  <si>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</si>
  <si>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</si>
  <si>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</si>
  <si>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</si>
  <si>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</si>
  <si>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</si>
  <si>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</si>
  <si>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</si>
  <si>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</si>
  <si>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</si>
  <si>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</si>
  <si>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</si>
  <si>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</si>
  <si>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</si>
  <si>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</si>
  <si>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</si>
  <si>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</si>
  <si>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</si>
  <si>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</si>
  <si>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</si>
  <si>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</si>
  <si>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</si>
  <si>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</si>
  <si>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</si>
  <si>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</si>
  <si>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</si>
  <si>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</si>
  <si>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</si>
  <si>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</si>
  <si>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</si>
  <si>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</si>
  <si>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</si>
  <si>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</si>
  <si>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</si>
  <si>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</si>
  <si>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</si>
  <si>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</si>
  <si>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</si>
  <si>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</si>
  <si>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</si>
  <si>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</si>
  <si>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</si>
  <si>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</si>
  <si>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</si>
  <si>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</si>
  <si>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</si>
  <si>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</si>
  <si>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</si>
  <si>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</si>
  <si>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</si>
  <si>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</si>
  <si>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</si>
  <si>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</si>
  <si>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</si>
  <si>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</si>
  <si>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</si>
  <si>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</si>
  <si>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</si>
  <si>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</si>
  <si>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</si>
  <si>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</si>
  <si>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</si>
  <si>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</si>
  <si>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</si>
  <si>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</si>
  <si>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</si>
  <si>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</si>
  <si>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</si>
  <si>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</si>
  <si>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</si>
  <si>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</si>
  <si>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</si>
  <si>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</si>
  <si>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</si>
  <si>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</si>
  <si>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</si>
  <si>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</si>
  <si>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</si>
  <si>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</si>
  <si>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</si>
  <si>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</si>
  <si>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</si>
  <si>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</si>
  <si>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</si>
  <si>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</si>
  <si>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</si>
  <si>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</si>
  <si>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</si>
  <si>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</si>
  <si>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</si>
  <si>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</si>
  <si>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</si>
  <si>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</si>
  <si>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</si>
  <si>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</si>
  <si>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</si>
  <si>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</si>
  <si>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</si>
  <si>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</si>
  <si>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</si>
  <si>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</si>
  <si>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</si>
  <si>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</si>
  <si>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</si>
  <si>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</si>
  <si>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</si>
  <si>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</si>
  <si>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</si>
  <si>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</si>
  <si>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</si>
  <si>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</si>
  <si>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</si>
  <si>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</si>
  <si>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</si>
  <si>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</si>
  <si>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</si>
  <si>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</si>
  <si>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</si>
  <si>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</si>
  <si>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</si>
  <si>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</si>
  <si>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</si>
  <si>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</si>
  <si>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</si>
  <si>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</si>
  <si>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</si>
  <si>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</si>
  <si>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</si>
  <si>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</si>
  <si>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</si>
  <si>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</si>
  <si>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</si>
  <si>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</si>
  <si>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</si>
  <si>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</si>
  <si>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</si>
  <si>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</si>
  <si>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</si>
  <si>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</si>
  <si>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</si>
  <si>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</si>
  <si>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</si>
  <si>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</si>
  <si>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</si>
  <si>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</si>
  <si>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</si>
  <si>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</si>
  <si>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</si>
  <si>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</si>
  <si>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</si>
  <si>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</si>
  <si>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</si>
  <si>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</si>
  <si>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</si>
  <si>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</si>
  <si>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</si>
  <si>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</si>
  <si>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</si>
  <si>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</si>
  <si>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</si>
  <si>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</si>
  <si>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</si>
  <si>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</si>
  <si>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</si>
  <si>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</si>
  <si>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</si>
  <si>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</si>
  <si>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</si>
  <si>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</si>
  <si>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</si>
  <si>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</si>
  <si>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</si>
  <si>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</si>
  <si>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</si>
  <si>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</si>
  <si>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</si>
  <si>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</si>
  <si>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</si>
  <si>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</si>
  <si>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</si>
  <si>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</si>
  <si>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</si>
  <si>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</si>
  <si>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</si>
  <si>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</si>
  <si>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</si>
  <si>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</si>
  <si>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</si>
  <si>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</si>
  <si>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</si>
  <si>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</si>
  <si>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</si>
  <si>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</si>
  <si>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</si>
  <si>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</si>
  <si>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</si>
  <si>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</si>
  <si>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</si>
  <si>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</si>
  <si>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</si>
  <si>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</si>
  <si>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</si>
  <si>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</si>
  <si>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</si>
  <si>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</si>
  <si>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</si>
  <si>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</si>
  <si>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</si>
  <si>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</si>
  <si>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</si>
  <si>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</si>
  <si>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</si>
  <si>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</si>
  <si>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</si>
  <si>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</si>
  <si>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</si>
  <si>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</si>
  <si>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</si>
  <si>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</si>
  <si>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</si>
  <si>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</si>
  <si>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</si>
  <si>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</si>
  <si>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</si>
  <si>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</si>
  <si>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</si>
  <si>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</si>
  <si>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</si>
  <si>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</si>
  <si>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</si>
  <si>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</si>
  <si>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</si>
  <si>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</si>
  <si>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</si>
  <si>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</si>
  <si>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</si>
  <si>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</si>
  <si>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</si>
  <si>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</si>
  <si>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</si>
  <si>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</si>
  <si>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</si>
  <si>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</si>
  <si>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</si>
  <si>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</si>
  <si>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</si>
  <si>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</si>
  <si>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</si>
  <si>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</si>
  <si>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</si>
  <si>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</si>
  <si>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</si>
  <si>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</si>
  <si>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</si>
  <si>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</si>
  <si>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</si>
  <si>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</si>
  <si>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</si>
  <si>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</si>
  <si>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</si>
  <si>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</si>
  <si>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</si>
  <si>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</si>
  <si>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</si>
  <si>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</si>
  <si>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</si>
  <si>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</si>
  <si>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</si>
  <si>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</si>
  <si>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</si>
  <si>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</si>
  <si>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</si>
  <si>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</si>
  <si>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</si>
  <si>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</si>
  <si>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</si>
  <si>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</si>
  <si>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</si>
  <si>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</si>
  <si>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</si>
  <si>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</si>
  <si>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</si>
  <si>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</si>
  <si>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</si>
  <si>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</si>
  <si>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</si>
  <si>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</si>
  <si>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</si>
  <si>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</si>
  <si>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</si>
  <si>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</si>
  <si>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</si>
  <si>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</si>
  <si>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</si>
  <si>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</si>
  <si>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</si>
  <si>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</si>
  <si>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</si>
  <si>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</si>
  <si>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</si>
  <si>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</si>
  <si>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</si>
  <si>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</si>
  <si>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</si>
  <si>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</si>
  <si>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</si>
  <si>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</si>
  <si>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</si>
  <si>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</si>
  <si>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</si>
  <si>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</si>
  <si>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</si>
  <si>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</si>
  <si>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</si>
  <si>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</si>
  <si>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</si>
  <si>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</si>
  <si>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</si>
  <si>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</si>
  <si>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</si>
  <si>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</si>
  <si>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</si>
  <si>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</si>
  <si>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</si>
  <si>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</si>
  <si>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</si>
  <si>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</si>
  <si>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</si>
  <si>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</si>
  <si>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</si>
  <si>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</si>
  <si>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</si>
  <si>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</si>
  <si>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</si>
  <si>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</si>
  <si>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</si>
  <si>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</si>
  <si>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</si>
  <si>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</si>
  <si>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</si>
  <si>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</si>
  <si>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</si>
  <si>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</si>
  <si>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</si>
  <si>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</si>
  <si>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</si>
  <si>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</si>
  <si>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</si>
  <si>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</si>
  <si>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</si>
  <si>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</si>
  <si>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</si>
  <si>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</si>
  <si>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</si>
  <si>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</si>
  <si>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</si>
  <si>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</si>
  <si>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</si>
  <si>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</si>
  <si>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</si>
  <si>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</si>
  <si>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</si>
  <si>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</si>
  <si>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</si>
  <si>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</si>
  <si>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</si>
  <si>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</si>
  <si>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</si>
  <si>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</si>
  <si>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</si>
  <si>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</si>
  <si>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</si>
  <si>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</si>
  <si>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</si>
  <si>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</si>
  <si>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</si>
  <si>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</si>
  <si>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</si>
  <si>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</si>
  <si>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</si>
  <si>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</si>
  <si>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</si>
  <si>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</si>
  <si>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</si>
  <si>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</si>
  <si>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</si>
  <si>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</si>
  <si>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</si>
  <si>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</si>
  <si>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</si>
  <si>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</si>
  <si>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</si>
  <si>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</si>
  <si>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</si>
  <si>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</si>
  <si>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</si>
  <si>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</si>
  <si>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</si>
  <si>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</si>
  <si>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</si>
  <si>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</si>
  <si>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</si>
  <si>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</si>
  <si>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</si>
  <si>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</si>
  <si>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</si>
  <si>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</si>
  <si>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</si>
  <si>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</si>
  <si>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</si>
  <si>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</si>
  <si>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</si>
  <si>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</si>
  <si>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</si>
  <si>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</si>
  <si>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</si>
  <si>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</si>
  <si>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</si>
  <si>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</si>
  <si>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</si>
  <si>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</si>
  <si>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</si>
  <si>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</si>
  <si>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</si>
  <si>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</si>
  <si>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</si>
  <si>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</si>
  <si>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</si>
  <si>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</si>
  <si>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</si>
  <si>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</si>
  <si>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</si>
  <si>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</si>
  <si>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</si>
  <si>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</si>
  <si>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</si>
  <si>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</si>
  <si>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</si>
  <si>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</si>
  <si>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</si>
  <si>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</si>
  <si>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</si>
  <si>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</si>
  <si>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</si>
  <si>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</si>
  <si>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</si>
  <si>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</si>
  <si>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</si>
  <si>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</si>
  <si>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</si>
  <si>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</si>
  <si>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</si>
  <si>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</si>
  <si>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</si>
  <si>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</si>
  <si>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</si>
  <si>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</si>
  <si>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</si>
  <si>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</si>
  <si>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</si>
  <si>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</si>
  <si>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</si>
  <si>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</si>
  <si>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</si>
  <si>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</si>
  <si>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</si>
  <si>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</si>
  <si>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</si>
  <si>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</si>
  <si>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</si>
  <si>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</si>
  <si>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</si>
  <si>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</si>
  <si>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</si>
  <si>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</si>
  <si>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</si>
  <si>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</si>
  <si>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</si>
  <si>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</si>
  <si>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</si>
  <si>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</si>
  <si>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</si>
  <si>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</si>
  <si>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</si>
  <si>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</si>
  <si>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</si>
  <si>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</si>
  <si>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</si>
  <si>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</si>
  <si>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</si>
  <si>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</si>
  <si>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</si>
  <si>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</si>
  <si>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</si>
  <si>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</si>
  <si>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</si>
  <si>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</si>
  <si>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</si>
  <si>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</si>
  <si>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</si>
  <si>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</si>
  <si>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</si>
  <si>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</si>
  <si>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</si>
  <si>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</si>
  <si>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</si>
  <si>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</si>
  <si>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</si>
  <si>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</si>
  <si>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</si>
  <si>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</si>
  <si>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</si>
  <si>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</si>
  <si>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</si>
  <si>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</si>
  <si>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</si>
  <si>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</si>
  <si>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</si>
  <si>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</si>
  <si>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</si>
  <si>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</si>
  <si>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</si>
  <si>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</si>
  <si>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</si>
  <si>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</si>
  <si>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</si>
  <si>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</si>
  <si>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</si>
  <si>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</si>
  <si>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</si>
  <si>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</si>
  <si>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</si>
  <si>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</si>
  <si>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</si>
  <si>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</si>
  <si>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</si>
  <si>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</si>
  <si>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</si>
  <si>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</si>
  <si>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</si>
  <si>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</si>
  <si>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</si>
  <si>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</si>
  <si>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</si>
  <si>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</si>
  <si>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</si>
  <si>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</si>
  <si>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</si>
  <si>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</si>
  <si>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</si>
  <si>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</si>
  <si>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</si>
  <si>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</si>
  <si>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</si>
  <si>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</si>
  <si>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</si>
  <si>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</si>
  <si>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</si>
  <si>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</si>
  <si>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</si>
  <si>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</si>
  <si>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</si>
  <si>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</si>
  <si>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</si>
  <si>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</si>
  <si>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</si>
  <si>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</si>
  <si>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</si>
  <si>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</si>
  <si>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</si>
  <si>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</si>
  <si>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</si>
  <si>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</si>
  <si>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</si>
  <si>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</si>
  <si>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</si>
  <si>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</si>
  <si>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</si>
  <si>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</si>
  <si>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</si>
  <si>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</si>
  <si>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</si>
  <si>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</si>
  <si>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</si>
  <si>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</si>
  <si>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</si>
  <si>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</si>
  <si>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</si>
  <si>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</si>
  <si>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</si>
  <si>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</si>
  <si>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</si>
  <si>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</si>
  <si>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</si>
  <si>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</si>
  <si>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</si>
  <si>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</si>
  <si>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</si>
  <si>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</si>
  <si>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</si>
  <si>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</si>
  <si>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</si>
  <si>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</si>
  <si>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</si>
  <si>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</si>
  <si>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</si>
  <si>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</si>
  <si>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</si>
  <si>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</si>
  <si>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</si>
  <si>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</si>
  <si>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</si>
  <si>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</si>
  <si>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</si>
  <si>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</si>
  <si>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</si>
  <si>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</si>
  <si>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</si>
  <si>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</si>
  <si>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</si>
  <si>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</si>
  <si>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</si>
  <si>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</si>
  <si>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</si>
  <si>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</si>
  <si>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</si>
  <si>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</si>
  <si>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</si>
  <si>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</si>
  <si>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</si>
  <si>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</si>
  <si>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</si>
  <si>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</si>
  <si>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</si>
  <si>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</si>
  <si>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</si>
  <si>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</si>
  <si>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</si>
  <si>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</si>
  <si>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</si>
  <si>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</si>
  <si>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</si>
  <si>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</si>
  <si>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</si>
  <si>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</si>
  <si>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</si>
  <si>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</si>
  <si>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</si>
  <si>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</si>
  <si>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</si>
  <si>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</si>
  <si>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</si>
  <si>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</si>
  <si>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</si>
  <si>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</si>
  <si>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</si>
  <si>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</si>
  <si>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</si>
  <si>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</si>
  <si>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</si>
  <si>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</si>
  <si>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</si>
  <si>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</si>
  <si>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</si>
  <si>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</si>
  <si>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</si>
  <si>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</si>
  <si>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</si>
  <si>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</si>
  <si>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</si>
  <si>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</si>
  <si>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</si>
  <si>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</si>
  <si>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</si>
  <si>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</si>
  <si>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</si>
  <si>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</si>
  <si>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</si>
  <si>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</si>
  <si>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</si>
  <si>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</si>
  <si>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</si>
  <si>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</si>
  <si>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</si>
  <si>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</si>
  <si>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</si>
  <si>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</si>
  <si>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</si>
  <si>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</si>
  <si>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</si>
  <si>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</si>
  <si>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</si>
  <si>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</si>
  <si>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</si>
  <si>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</si>
  <si>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</si>
  <si>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</si>
  <si>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</si>
  <si>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</si>
  <si>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</si>
  <si>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</si>
  <si>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</si>
  <si>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</si>
  <si>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</si>
  <si>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</si>
  <si>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</si>
  <si>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</si>
  <si>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</si>
  <si>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</si>
  <si>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</si>
  <si>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</si>
  <si>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</si>
  <si>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</si>
  <si>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</si>
  <si>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</si>
  <si>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</si>
  <si>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</si>
  <si>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</si>
  <si>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</si>
  <si>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</si>
  <si>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</si>
  <si>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</si>
  <si>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</si>
  <si>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</si>
  <si>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</si>
  <si>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</si>
  <si>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</si>
  <si>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</si>
  <si>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</si>
  <si>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</si>
  <si>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</si>
  <si>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</si>
  <si>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</si>
  <si>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</si>
  <si>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</si>
  <si>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</si>
  <si>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</si>
  <si>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</si>
  <si>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</si>
  <si>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</si>
  <si>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</si>
  <si>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</si>
  <si>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</si>
  <si>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</si>
  <si>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</si>
  <si>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</si>
  <si>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</si>
  <si>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</si>
  <si>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</si>
  <si>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</si>
  <si>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</si>
  <si>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</si>
  <si>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</si>
  <si>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</si>
  <si>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</si>
  <si>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</si>
  <si>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</si>
  <si>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</si>
  <si>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</si>
  <si>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</si>
  <si>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</si>
  <si>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</si>
  <si>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</si>
  <si>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</si>
  <si>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</si>
  <si>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</si>
  <si>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</si>
  <si>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</si>
  <si>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</si>
  <si>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</si>
  <si>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</si>
  <si>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</si>
  <si>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</si>
  <si>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</si>
  <si>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</si>
  <si>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</si>
  <si>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</si>
  <si>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</si>
  <si>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</si>
  <si>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</si>
  <si>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</si>
  <si>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</si>
  <si>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</si>
  <si>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</si>
  <si>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</si>
  <si>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</si>
  <si>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</si>
  <si>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</si>
  <si>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</si>
  <si>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</si>
  <si>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</si>
  <si>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</si>
  <si>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</si>
  <si>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</si>
  <si>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</si>
  <si>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</si>
  <si>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</si>
  <si>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</si>
  <si>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</si>
  <si>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</si>
  <si>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</si>
  <si>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</si>
  <si>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</si>
  <si>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</si>
  <si>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</si>
  <si>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</si>
  <si>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</si>
  <si>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</si>
  <si>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</si>
  <si>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</si>
  <si>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</si>
  <si>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</si>
  <si>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</si>
  <si>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</si>
  <si>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</si>
  <si>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</si>
  <si>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</si>
  <si>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</si>
  <si>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</si>
  <si>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</si>
  <si>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</si>
  <si>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</si>
  <si>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</si>
  <si>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</si>
  <si>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</si>
  <si>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</si>
  <si>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</si>
  <si>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</si>
  <si>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</si>
  <si>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</si>
  <si>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</si>
  <si>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</si>
  <si>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</si>
  <si>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</si>
  <si>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</si>
  <si>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</si>
  <si>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</si>
  <si>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</si>
  <si>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</si>
  <si>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</si>
  <si>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</si>
  <si>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</si>
  <si>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</si>
  <si>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</si>
  <si>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</si>
  <si>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</si>
  <si>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</si>
  <si>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</si>
  <si>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</si>
  <si>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</si>
  <si>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</si>
  <si>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</si>
  <si>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</si>
  <si>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</si>
  <si>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</si>
  <si>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</si>
  <si>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</si>
  <si>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</si>
  <si>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</si>
  <si>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</si>
  <si>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</si>
  <si>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</si>
  <si>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</si>
  <si>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</si>
  <si>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</si>
  <si>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</si>
  <si>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</si>
  <si>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</si>
  <si>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</si>
  <si>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</si>
  <si>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</si>
  <si>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</si>
  <si>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</si>
  <si>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</si>
  <si>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</si>
  <si>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</si>
  <si>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</si>
  <si>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</si>
  <si>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</si>
  <si>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</si>
  <si>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</si>
  <si>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</si>
  <si>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</si>
  <si>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</si>
  <si>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</si>
  <si>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</si>
  <si>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</si>
  <si>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</si>
  <si>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</si>
  <si>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</si>
  <si>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</si>
  <si>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</si>
  <si>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</si>
  <si>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</si>
  <si>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</si>
  <si>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</si>
  <si>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</si>
  <si>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</si>
  <si>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</si>
  <si>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</si>
  <si>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</si>
  <si>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</si>
  <si>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</si>
  <si>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</si>
  <si>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</si>
  <si>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</si>
  <si>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</si>
  <si>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</si>
  <si>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</si>
  <si>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</si>
  <si>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</si>
  <si>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</si>
  <si>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</si>
  <si>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</si>
  <si>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</si>
  <si>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</si>
  <si>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</si>
  <si>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</si>
  <si>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</si>
  <si>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</si>
  <si>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</si>
  <si>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</si>
  <si>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</si>
  <si>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</si>
  <si>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</si>
  <si>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</si>
  <si>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</si>
  <si>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</si>
  <si>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</si>
  <si>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</si>
  <si>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</si>
  <si>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</si>
  <si>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</si>
  <si>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</si>
  <si>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</si>
  <si>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</si>
  <si>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</si>
  <si>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</si>
  <si>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</si>
  <si>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</si>
  <si>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</si>
  <si>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</si>
  <si>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</si>
  <si>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</si>
  <si>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</si>
  <si>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</si>
  <si>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</si>
  <si>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</si>
  <si>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</si>
  <si>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</si>
  <si>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</si>
  <si>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</si>
  <si>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</si>
  <si>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</si>
  <si>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</si>
  <si>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</si>
  <si>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</si>
  <si>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</si>
  <si>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</si>
  <si>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</si>
  <si>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</si>
  <si>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</si>
  <si>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</si>
  <si>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</si>
  <si>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</si>
  <si>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</si>
  <si>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</si>
  <si>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</si>
  <si>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</si>
  <si>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</si>
  <si>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</si>
  <si>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</si>
  <si>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</si>
  <si>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</si>
  <si>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</si>
  <si>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</si>
  <si>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</si>
  <si>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</si>
  <si>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</si>
  <si>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</si>
  <si>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</si>
  <si>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</si>
  <si>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</si>
  <si>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</si>
  <si>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</si>
  <si>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</si>
  <si>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</si>
  <si>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</si>
  <si>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</si>
  <si>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</si>
  <si>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</si>
  <si>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</si>
  <si>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</si>
  <si>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</si>
  <si>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</si>
  <si>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</si>
  <si>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</si>
  <si>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</si>
  <si>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</si>
  <si>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</si>
  <si>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</si>
  <si>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</si>
  <si>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</si>
  <si>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</si>
  <si>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</si>
  <si>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</si>
  <si>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</si>
  <si>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</si>
  <si>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</si>
  <si>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</si>
  <si>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</si>
  <si>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</si>
  <si>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</si>
  <si>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</si>
  <si>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</si>
  <si>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</si>
  <si>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</si>
  <si>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</si>
  <si>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</si>
  <si>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</si>
  <si>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</si>
  <si>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</si>
  <si>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</si>
  <si>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</si>
  <si>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</si>
  <si>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</si>
  <si>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</si>
  <si>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</si>
  <si>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</si>
  <si>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</si>
  <si>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</si>
  <si>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</si>
  <si>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</si>
  <si>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</si>
  <si>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</si>
  <si>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</si>
  <si>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</si>
  <si>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</si>
  <si>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</si>
  <si>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</si>
  <si>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</si>
  <si>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</si>
  <si>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</si>
  <si>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</si>
  <si>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</si>
  <si>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</si>
  <si>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</si>
  <si>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</si>
  <si>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</si>
  <si>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</si>
  <si>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</si>
  <si>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</si>
  <si>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</si>
  <si>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</si>
  <si>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</si>
  <si>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</si>
  <si>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</si>
  <si>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</si>
  <si>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</si>
  <si>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</si>
  <si>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</si>
  <si>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</si>
  <si>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</si>
  <si>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</si>
  <si>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</si>
  <si>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</si>
  <si>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</si>
  <si>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</si>
  <si>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</si>
  <si>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</si>
  <si>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</si>
  <si>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</si>
  <si>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</si>
  <si>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</si>
  <si>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</si>
  <si>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</si>
  <si>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</si>
  <si>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</si>
  <si>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</si>
  <si>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</si>
  <si>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</si>
  <si>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</si>
  <si>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</si>
  <si>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</si>
  <si>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</si>
  <si>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</si>
  <si>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</si>
  <si>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</si>
  <si>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</si>
  <si>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</si>
  <si>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</si>
  <si>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</si>
  <si>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</si>
  <si>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</si>
  <si>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</si>
  <si>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</si>
  <si>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</si>
  <si>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</si>
  <si>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</si>
  <si>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</si>
  <si>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</si>
  <si>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</si>
  <si>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</si>
  <si>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</si>
  <si>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</si>
  <si>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</si>
  <si>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</si>
  <si>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</si>
  <si>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</si>
  <si>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</si>
  <si>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</si>
  <si>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</si>
  <si>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</si>
  <si>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</si>
  <si>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</si>
  <si>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</si>
  <si>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</si>
  <si>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</si>
  <si>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</si>
  <si>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</si>
  <si>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</si>
  <si>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</si>
  <si>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</si>
  <si>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</si>
  <si>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</si>
  <si>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</si>
  <si>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</si>
  <si>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</si>
  <si>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</si>
  <si>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</si>
  <si>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</si>
  <si>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</si>
  <si>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</si>
  <si>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</si>
  <si>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</si>
  <si>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</si>
  <si>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</si>
  <si>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</si>
  <si>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</si>
  <si>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</si>
  <si>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</si>
  <si>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</si>
  <si>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</si>
  <si>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</si>
  <si>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</si>
  <si>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</si>
  <si>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</si>
  <si>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</si>
  <si>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</si>
  <si>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</si>
  <si>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</si>
  <si>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</si>
  <si>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</si>
  <si>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</si>
  <si>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</si>
  <si>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</si>
  <si>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</si>
  <si>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</si>
  <si>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</si>
  <si>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</si>
  <si>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</si>
  <si>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</si>
  <si>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</si>
  <si>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</si>
  <si>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</si>
  <si>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</si>
  <si>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</si>
  <si>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</si>
  <si>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</si>
  <si>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</si>
  <si>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</si>
  <si>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</si>
  <si>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</si>
  <si>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</si>
  <si>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</si>
  <si>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</si>
  <si>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</si>
  <si>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</si>
  <si>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</si>
  <si>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</si>
  <si>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</si>
  <si>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</si>
  <si>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</si>
  <si>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</si>
  <si>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</si>
  <si>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</si>
  <si>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</si>
  <si>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</si>
  <si>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</si>
  <si>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</si>
  <si>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</si>
  <si>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</si>
  <si>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</si>
  <si>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</si>
  <si>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</si>
  <si>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</si>
  <si>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</si>
  <si>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</si>
  <si>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</si>
  <si>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</si>
  <si>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</si>
  <si>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</si>
  <si>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</si>
  <si>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</si>
  <si>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</si>
  <si>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</si>
  <si>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</si>
  <si>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</si>
  <si>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</si>
  <si>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</si>
  <si>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</si>
  <si>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</si>
  <si>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</si>
  <si>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</si>
  <si>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</si>
  <si>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</si>
  <si>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</si>
  <si>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</si>
  <si>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</si>
  <si>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</si>
  <si>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</si>
  <si>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</si>
  <si>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</si>
  <si>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</si>
  <si>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</si>
  <si>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</si>
  <si>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</si>
  <si>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</si>
  <si>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</si>
  <si>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</si>
  <si>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</si>
  <si>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</si>
  <si>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</si>
  <si>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</si>
  <si>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</si>
  <si>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</si>
  <si>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</si>
  <si>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</si>
  <si>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</si>
  <si>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</si>
  <si>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</si>
  <si>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</si>
  <si>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</si>
  <si>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</si>
  <si>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</si>
  <si>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</si>
  <si>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</si>
  <si>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</si>
  <si>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</si>
  <si>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</si>
  <si>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</si>
  <si>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</si>
  <si>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</si>
  <si>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</si>
  <si>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</si>
  <si>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</si>
  <si>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</si>
  <si>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</si>
  <si>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</si>
  <si>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</si>
  <si>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</si>
  <si>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</si>
  <si>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</si>
  <si>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</si>
  <si>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</si>
  <si>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</si>
  <si>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</si>
  <si>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</si>
  <si>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</si>
  <si>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</si>
  <si>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</si>
  <si>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</si>
  <si>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</si>
  <si>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</si>
  <si>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</si>
  <si>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</si>
  <si>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</si>
  <si>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</si>
  <si>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</si>
  <si>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</si>
  <si>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</si>
  <si>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</si>
  <si>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</si>
  <si>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</si>
  <si>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</si>
  <si>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</si>
  <si>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</si>
  <si>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</si>
  <si>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</si>
  <si>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</si>
  <si>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</si>
  <si>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</si>
  <si>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</si>
  <si>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</si>
  <si>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</si>
  <si>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</si>
  <si>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</si>
  <si>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</si>
  <si>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</si>
  <si>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</si>
  <si>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</si>
  <si>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</si>
  <si>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</si>
  <si>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</si>
  <si>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</si>
  <si>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</si>
  <si>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</si>
  <si>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</si>
  <si>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</si>
  <si>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</si>
  <si>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</si>
  <si>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</si>
  <si>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</si>
  <si>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</si>
  <si>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</si>
  <si>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</si>
  <si>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</si>
  <si>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</si>
  <si>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</si>
  <si>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</si>
  <si>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</si>
  <si>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</si>
  <si>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</si>
  <si>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</si>
  <si>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</si>
  <si>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</si>
  <si>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</si>
  <si>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</si>
  <si>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</si>
  <si>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</si>
  <si>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</si>
  <si>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</si>
  <si>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</si>
  <si>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</si>
  <si>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</si>
  <si>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</si>
  <si>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</si>
  <si>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</si>
  <si>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</si>
  <si>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</si>
  <si>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</si>
  <si>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</si>
  <si>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</si>
  <si>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</si>
  <si>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</si>
  <si>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</si>
  <si>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</si>
  <si>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</si>
  <si>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</si>
  <si>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</si>
  <si>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</si>
  <si>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</si>
  <si>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</si>
  <si>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</si>
  <si>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</si>
  <si>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</si>
  <si>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</si>
  <si>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</si>
  <si>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</si>
  <si>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</si>
  <si>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</si>
  <si>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</si>
  <si>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</si>
  <si>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</si>
  <si>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</si>
  <si>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</si>
  <si>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</si>
  <si>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</si>
  <si>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</si>
  <si>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</si>
  <si>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</si>
  <si>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</si>
  <si>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</si>
  <si>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</si>
  <si>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</si>
  <si>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</si>
  <si>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</si>
  <si>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</si>
  <si>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</si>
  <si>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</si>
  <si>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</si>
  <si>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</si>
  <si>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</si>
  <si>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</si>
  <si>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</si>
  <si>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</si>
  <si>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</si>
  <si>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</si>
  <si>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</si>
  <si>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</si>
  <si>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</si>
  <si>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</si>
  <si>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</si>
  <si>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</si>
  <si>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</si>
  <si>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</si>
  <si>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</si>
  <si>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</si>
  <si>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</si>
  <si>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</si>
  <si>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</si>
  <si>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</si>
  <si>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</si>
  <si>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</si>
  <si>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</si>
  <si>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</si>
  <si>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</si>
  <si>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</si>
  <si>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</si>
  <si>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</si>
  <si>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</si>
  <si>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</si>
  <si>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</si>
  <si>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</si>
  <si>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</si>
  <si>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</si>
  <si>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</si>
  <si>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</si>
  <si>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</si>
  <si>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</si>
  <si>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</si>
  <si>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</si>
  <si>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</si>
  <si>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</si>
  <si>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</si>
  <si>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</si>
  <si>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</si>
  <si>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</si>
  <si>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</si>
  <si>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</si>
  <si>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</si>
  <si>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</si>
  <si>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</si>
  <si>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</si>
  <si>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</si>
  <si>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</si>
  <si>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</si>
  <si>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</si>
  <si>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</si>
  <si>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</si>
  <si>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</si>
  <si>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</si>
  <si>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</si>
  <si>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</si>
  <si>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</si>
  <si>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</si>
  <si>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</si>
  <si>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</si>
  <si>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</si>
  <si>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</si>
  <si>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</si>
  <si>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</si>
  <si>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</si>
  <si>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</si>
  <si>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</si>
  <si>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</si>
  <si>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</si>
  <si>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</si>
  <si>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</si>
  <si>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</si>
  <si>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</si>
  <si>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</si>
  <si>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</si>
  <si>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</si>
  <si>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</si>
  <si>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</si>
  <si>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</si>
  <si>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</si>
  <si>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</si>
  <si>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</si>
  <si>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</si>
  <si>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</si>
  <si>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</si>
  <si>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</si>
  <si>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</si>
  <si>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</si>
  <si>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</si>
  <si>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</si>
  <si>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</si>
  <si>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</si>
  <si>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</si>
  <si>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</si>
  <si>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</si>
  <si>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</si>
  <si>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</si>
  <si>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</si>
  <si>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</si>
  <si>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</si>
  <si>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</si>
  <si>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</si>
  <si>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</si>
  <si>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</si>
  <si>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</si>
  <si>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</si>
  <si>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</si>
  <si>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</si>
  <si>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</si>
  <si>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</si>
  <si>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</si>
  <si>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</si>
  <si>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</si>
  <si>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</si>
  <si>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</si>
  <si>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</si>
  <si>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</si>
  <si>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</si>
  <si>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</si>
  <si>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</si>
  <si>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</si>
  <si>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</si>
  <si>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</si>
  <si>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</si>
  <si>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</si>
  <si>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</si>
  <si>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</si>
  <si>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</si>
  <si>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</si>
  <si>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</si>
  <si>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</si>
  <si>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</si>
  <si>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</si>
  <si>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</si>
  <si>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</si>
  <si>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</si>
  <si>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</si>
  <si>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</si>
  <si>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</si>
  <si>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</si>
  <si>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</si>
  <si>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</si>
  <si>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</si>
  <si>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</si>
  <si>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</si>
  <si>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</si>
  <si>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</si>
  <si>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</si>
  <si>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</si>
  <si>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</si>
  <si>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</si>
  <si>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</si>
  <si>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</si>
  <si>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</si>
  <si>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</si>
  <si>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</si>
  <si>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</si>
  <si>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</si>
  <si>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</si>
  <si>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</si>
  <si>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</si>
  <si>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</si>
  <si>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</si>
  <si>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</si>
  <si>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</si>
  <si>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</si>
  <si>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</si>
  <si>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</si>
  <si>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</si>
  <si>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</si>
  <si>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</si>
  <si>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</si>
  <si>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</si>
  <si>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</si>
  <si>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</si>
  <si>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</si>
  <si>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</si>
  <si>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</si>
  <si>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</si>
  <si>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</si>
  <si>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</si>
  <si>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</si>
  <si>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</si>
  <si>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</si>
  <si>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</si>
  <si>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</si>
  <si>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</si>
  <si>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</si>
  <si>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</si>
  <si>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</si>
  <si>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</si>
  <si>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</si>
  <si>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</si>
  <si>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</si>
  <si>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</si>
  <si>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</si>
  <si>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</si>
  <si>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</si>
  <si>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</si>
  <si>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</si>
  <si>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</si>
  <si>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</si>
  <si>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</si>
  <si>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</si>
  <si>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</si>
  <si>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</si>
  <si>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</si>
  <si>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</si>
  <si>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</si>
  <si>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</si>
  <si>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</si>
  <si>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</si>
  <si>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</si>
  <si>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</si>
  <si>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</si>
  <si>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</si>
  <si>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</si>
  <si>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</si>
  <si>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</si>
  <si>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</si>
  <si>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</si>
  <si>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</si>
  <si>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</si>
  <si>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</si>
  <si>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</si>
  <si>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</si>
  <si>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</si>
  <si>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</si>
  <si>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</si>
  <si>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</si>
  <si>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</si>
  <si>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</si>
  <si>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</si>
  <si>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</si>
  <si>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</si>
  <si>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</si>
  <si>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</si>
  <si>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</si>
  <si>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</si>
  <si>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</si>
  <si>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</si>
  <si>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</si>
  <si>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</si>
  <si>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</si>
  <si>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</si>
  <si>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</si>
  <si>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</si>
  <si>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</si>
  <si>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</si>
  <si>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</si>
  <si>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</si>
  <si>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</si>
  <si>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</si>
  <si>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</si>
  <si>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</si>
  <si>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</si>
  <si>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</si>
  <si>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</si>
  <si>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</si>
  <si>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</si>
  <si>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</si>
  <si>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</si>
  <si>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</si>
  <si>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</si>
  <si>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</si>
  <si>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</si>
  <si>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</si>
  <si>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</si>
  <si>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</si>
  <si>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</si>
  <si>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</si>
  <si>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</si>
  <si>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</si>
  <si>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</si>
  <si>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</si>
  <si>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</si>
  <si>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</si>
  <si>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</si>
  <si>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</si>
  <si>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</si>
  <si>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</si>
  <si>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</si>
  <si>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</si>
  <si>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</si>
  <si>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</si>
  <si>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</si>
  <si>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</si>
  <si>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</si>
  <si>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</si>
  <si>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</si>
  <si>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</si>
  <si>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</si>
  <si>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</si>
  <si>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</si>
  <si>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</si>
  <si>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</si>
  <si>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</si>
  <si>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</si>
  <si>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</si>
  <si>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</si>
  <si>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</si>
  <si>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</si>
  <si>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</si>
  <si>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</si>
  <si>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</si>
  <si>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</si>
  <si>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</si>
  <si>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</si>
  <si>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</si>
  <si>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</si>
  <si>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</si>
  <si>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</si>
  <si>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</si>
  <si>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</si>
  <si>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</si>
  <si>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</si>
  <si>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</si>
  <si>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</si>
  <si>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</si>
  <si>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</si>
  <si>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</si>
  <si>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</si>
  <si>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</si>
  <si>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</si>
  <si>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</si>
  <si>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</si>
  <si>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</si>
  <si>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</si>
  <si>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</si>
  <si>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</si>
  <si>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</si>
  <si>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</si>
  <si>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</si>
  <si>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</si>
  <si>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</si>
  <si>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</si>
  <si>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</si>
  <si>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</si>
  <si>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</si>
  <si>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</si>
  <si>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</si>
  <si>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</si>
  <si>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</si>
  <si>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</si>
  <si>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</si>
  <si>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</si>
  <si>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</si>
  <si>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</si>
  <si>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</si>
  <si>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</si>
  <si>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</si>
  <si>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</si>
  <si>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</si>
  <si>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</si>
  <si>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</si>
  <si>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</si>
  <si>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</si>
  <si>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</si>
  <si>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</si>
  <si>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</si>
  <si>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</si>
  <si>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</si>
  <si>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</si>
  <si>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</si>
  <si>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</si>
  <si>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</si>
  <si>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</si>
  <si>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</si>
  <si>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</si>
  <si>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</si>
  <si>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</si>
  <si>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</si>
  <si>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</si>
  <si>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</si>
  <si>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</si>
  <si>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</si>
  <si>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</si>
  <si>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</si>
  <si>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</si>
  <si>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</si>
  <si>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</si>
  <si>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</si>
  <si>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</si>
  <si>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</si>
  <si>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</si>
  <si>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</si>
  <si>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</si>
  <si>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</si>
  <si>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</si>
  <si>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</si>
  <si>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</si>
  <si>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</si>
  <si>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</si>
  <si>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</si>
  <si>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</si>
  <si>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</si>
  <si>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</si>
  <si>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</si>
  <si>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</si>
  <si>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</si>
  <si>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</si>
  <si>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</si>
  <si>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</si>
  <si>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</si>
  <si>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</si>
  <si>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</si>
  <si>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</si>
  <si>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</si>
  <si>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</si>
  <si>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</si>
  <si>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</si>
  <si>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</si>
  <si>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</si>
  <si>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</si>
  <si>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</si>
  <si>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</si>
  <si>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</si>
  <si>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</si>
  <si>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</si>
  <si>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</si>
  <si>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</si>
  <si>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</si>
  <si>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</si>
  <si>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</si>
  <si>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</si>
  <si>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</si>
  <si>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</si>
  <si>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</si>
  <si>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</si>
  <si>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</si>
  <si>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</si>
  <si>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</si>
  <si>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</si>
  <si>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</si>
  <si>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</si>
  <si>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</si>
  <si>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</si>
  <si>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</si>
  <si>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</si>
  <si>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</si>
  <si>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</si>
  <si>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</si>
  <si>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</si>
  <si>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</si>
  <si>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</si>
  <si>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</si>
  <si>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</si>
  <si>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</si>
  <si>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</si>
  <si>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</si>
  <si>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</si>
  <si>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</si>
  <si>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</si>
  <si>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</si>
  <si>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</si>
  <si>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</si>
  <si>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</si>
  <si>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</si>
  <si>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</si>
  <si>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</si>
  <si>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</si>
  <si>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</si>
  <si>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</si>
  <si>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</si>
  <si>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</si>
  <si>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</si>
  <si>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</si>
  <si>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</si>
  <si>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</si>
  <si>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</si>
  <si>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</si>
  <si>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</si>
  <si>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</si>
  <si>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</si>
  <si>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</si>
  <si>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</si>
  <si>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</si>
  <si>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</si>
  <si>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</si>
  <si>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</si>
  <si>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</si>
  <si>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</si>
  <si>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</si>
  <si>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</si>
  <si>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</si>
  <si>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</si>
  <si>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</si>
  <si>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</si>
  <si>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</si>
  <si>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</si>
  <si>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</si>
  <si>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</si>
  <si>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</si>
  <si>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</si>
  <si>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</si>
  <si>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</si>
  <si>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</si>
  <si>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</si>
  <si>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</si>
  <si>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</si>
  <si>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</si>
  <si>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</si>
  <si>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</si>
  <si>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</si>
  <si>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</si>
  <si>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</si>
  <si>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</si>
  <si>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</si>
  <si>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</si>
  <si>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</si>
  <si>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</si>
  <si>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</si>
  <si>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</si>
  <si>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</si>
  <si>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</si>
  <si>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</si>
  <si>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</si>
  <si>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</si>
  <si>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</si>
  <si>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</si>
  <si>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</si>
  <si>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</si>
  <si>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</si>
  <si>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</si>
  <si>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</si>
  <si>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</si>
  <si>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</si>
  <si>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</si>
  <si>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</si>
  <si>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</si>
  <si>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</si>
  <si>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</si>
  <si>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</si>
  <si>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</si>
  <si>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</si>
  <si>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</si>
  <si>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</si>
  <si>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</si>
  <si>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</si>
  <si>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</si>
  <si>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</si>
  <si>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</si>
  <si>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</si>
  <si>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</si>
  <si>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</si>
  <si>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</si>
  <si>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</si>
  <si>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</si>
  <si>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</si>
  <si>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</si>
  <si>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</si>
  <si>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</si>
  <si>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</si>
  <si>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</si>
  <si>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</si>
  <si>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</si>
  <si>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</si>
  <si>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</si>
  <si>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</si>
  <si>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</si>
  <si>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</si>
  <si>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</si>
  <si>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</si>
  <si>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</si>
  <si>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</si>
  <si>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</si>
  <si>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</si>
  <si>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</si>
  <si>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</si>
  <si>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</si>
  <si>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</si>
  <si>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</si>
  <si>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</si>
  <si>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</si>
  <si>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</si>
  <si>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</si>
  <si>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</si>
  <si>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</si>
  <si>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</si>
  <si>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</si>
  <si>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</si>
  <si>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</si>
  <si>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</si>
  <si>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</si>
  <si>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</si>
  <si>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</si>
  <si>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</si>
  <si>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</si>
  <si>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</si>
  <si>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</si>
  <si>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</si>
  <si>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</si>
  <si>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</si>
  <si>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</si>
  <si>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</si>
  <si>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</si>
  <si>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</si>
  <si>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</si>
  <si>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</si>
  <si>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</si>
  <si>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</si>
  <si>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</si>
  <si>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</si>
  <si>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</si>
  <si>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</si>
  <si>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</si>
  <si>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</si>
  <si>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</si>
  <si>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</si>
  <si>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</si>
  <si>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</si>
  <si>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</si>
  <si>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</si>
  <si>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</si>
  <si>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</si>
  <si>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</si>
  <si>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</si>
  <si>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</si>
  <si>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</si>
  <si>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</si>
  <si>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</si>
  <si>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</si>
  <si>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</si>
  <si>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</si>
  <si>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</si>
  <si>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</si>
  <si>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</si>
  <si>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</si>
  <si>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</si>
  <si>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</si>
  <si>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</si>
  <si>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</si>
  <si>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</si>
  <si>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</si>
  <si>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</si>
  <si>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</si>
  <si>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</si>
  <si>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</si>
  <si>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</si>
  <si>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</si>
  <si>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</si>
  <si>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</si>
  <si>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</si>
  <si>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</si>
  <si>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</si>
  <si>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</si>
  <si>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</si>
  <si>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</si>
  <si>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</si>
  <si>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</si>
  <si>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</si>
  <si>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</si>
  <si>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</si>
  <si>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</si>
  <si>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</si>
  <si>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</si>
  <si>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</si>
  <si>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</si>
  <si>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</si>
  <si>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</si>
  <si>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</si>
  <si>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</si>
  <si>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</si>
  <si>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</si>
  <si>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</si>
  <si>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</si>
  <si>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</si>
  <si>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</si>
  <si>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</si>
  <si>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</si>
  <si>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</si>
  <si>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</si>
  <si>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</si>
  <si>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</si>
  <si>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</si>
  <si>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</si>
  <si>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</si>
  <si>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</si>
  <si>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</si>
  <si>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</si>
  <si>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</si>
  <si>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</si>
  <si>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</si>
  <si>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</si>
  <si>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</si>
  <si>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</si>
  <si>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</si>
  <si>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</si>
  <si>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</si>
  <si>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</si>
  <si>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</si>
  <si>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</si>
  <si>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</si>
  <si>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</si>
  <si>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</si>
  <si>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</si>
  <si>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</si>
  <si>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</si>
  <si>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</si>
  <si>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</si>
  <si>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</si>
  <si>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</si>
  <si>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</si>
  <si>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</si>
  <si>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</si>
  <si>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</si>
  <si>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</si>
  <si>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</si>
  <si>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</si>
  <si>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</si>
  <si>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</si>
  <si>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</si>
  <si>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</si>
  <si>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</si>
  <si>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</si>
  <si>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</si>
  <si>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</si>
  <si>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</si>
  <si>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</si>
  <si>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</si>
  <si>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</si>
  <si>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</si>
  <si>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</si>
  <si>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</si>
  <si>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</si>
  <si>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</si>
  <si>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</si>
  <si>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</si>
  <si>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</si>
  <si>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</si>
  <si>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</si>
  <si>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</si>
  <si>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</si>
  <si>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</si>
  <si>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</si>
  <si>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</si>
  <si>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</si>
  <si>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</si>
  <si>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</si>
  <si>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</si>
  <si>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</si>
  <si>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</si>
  <si>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</si>
  <si>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</si>
  <si>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</si>
  <si>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</si>
  <si>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</si>
  <si>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</si>
  <si>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</si>
  <si>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</si>
  <si>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</si>
  <si>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</si>
  <si>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</si>
  <si>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</si>
  <si>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</si>
  <si>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</si>
  <si>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</si>
  <si>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</si>
  <si>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</si>
  <si>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</si>
  <si>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</si>
  <si>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</si>
  <si>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</si>
  <si>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</si>
  <si>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</si>
  <si>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</si>
  <si>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</si>
  <si>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</si>
  <si>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</si>
  <si>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</si>
  <si>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</si>
  <si>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</si>
  <si>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</si>
  <si>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</si>
  <si>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</si>
  <si>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</si>
  <si>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</si>
  <si>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</si>
  <si>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</si>
  <si>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</si>
  <si>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</si>
  <si>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</si>
  <si>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</si>
  <si>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</si>
  <si>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</si>
  <si>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</si>
  <si>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</si>
  <si>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</si>
  <si>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</si>
  <si>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</si>
  <si>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</si>
  <si>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</si>
  <si>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</si>
  <si>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</si>
  <si>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</si>
  <si>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</si>
  <si>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</si>
  <si>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</si>
  <si>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</si>
  <si>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</si>
  <si>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</si>
  <si>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</si>
  <si>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</si>
  <si>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</si>
  <si>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</si>
  <si>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</si>
  <si>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</si>
  <si>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</si>
  <si>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</si>
  <si>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</si>
  <si>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</si>
  <si>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</si>
  <si>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</si>
  <si>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</si>
  <si>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</si>
  <si>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</si>
  <si>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</si>
  <si>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</si>
  <si>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</si>
  <si>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</si>
  <si>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</si>
  <si>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</si>
  <si>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</si>
  <si>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</si>
  <si>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</si>
  <si>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</si>
  <si>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</si>
  <si>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</si>
  <si>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</si>
  <si>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</si>
  <si>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</si>
  <si>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</si>
  <si>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</si>
  <si>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</si>
  <si>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</si>
  <si>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</si>
  <si>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</si>
  <si>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</si>
  <si>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</si>
  <si>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</si>
  <si>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</si>
  <si>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</si>
  <si>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</si>
  <si>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</si>
  <si>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</si>
  <si>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</si>
  <si>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</si>
  <si>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</si>
  <si>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</si>
  <si>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</si>
  <si>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</si>
  <si>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</si>
  <si>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</si>
  <si>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</si>
  <si>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</si>
  <si>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</si>
  <si>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</si>
  <si>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</si>
  <si>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</si>
  <si>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</si>
  <si>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</si>
  <si>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</si>
  <si>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</si>
  <si>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</si>
  <si>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</si>
  <si>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</si>
  <si>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</si>
  <si>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</si>
  <si>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</si>
  <si>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</si>
  <si>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</si>
  <si>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</si>
  <si>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</si>
  <si>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</si>
  <si>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</si>
  <si>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</si>
  <si>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</si>
  <si>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</si>
  <si>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</si>
  <si>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</si>
  <si>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</si>
  <si>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</si>
  <si>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</si>
  <si>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</si>
  <si>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</si>
  <si>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</si>
  <si>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</si>
  <si>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</si>
  <si>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</si>
  <si>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</si>
  <si>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</si>
  <si>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</si>
  <si>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</si>
  <si>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</si>
  <si>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</si>
  <si>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</si>
  <si>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</si>
  <si>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</si>
  <si>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</si>
  <si>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</si>
  <si>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</si>
  <si>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</si>
  <si>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</si>
  <si>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</si>
  <si>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</si>
  <si>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</si>
  <si>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</si>
  <si>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</si>
  <si>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</si>
  <si>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</si>
  <si>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</si>
  <si>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</si>
  <si>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</si>
  <si>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</si>
  <si>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</si>
  <si>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</si>
  <si>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</si>
  <si>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</si>
  <si>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</si>
  <si>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</si>
  <si>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</si>
  <si>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</si>
  <si>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</si>
  <si>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</si>
  <si>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</si>
  <si>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</si>
  <si>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</si>
  <si>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</si>
  <si>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</si>
  <si>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</si>
  <si>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</si>
  <si>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</si>
  <si>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</si>
  <si>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</si>
  <si>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</si>
  <si>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</si>
  <si>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</si>
  <si>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</si>
  <si>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</si>
  <si>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</si>
  <si>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</si>
  <si>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</si>
  <si>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</si>
  <si>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</si>
  <si>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</si>
  <si>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</si>
  <si>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</si>
  <si>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</si>
  <si>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</si>
  <si>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</si>
  <si>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</si>
  <si>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</si>
  <si>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</si>
  <si>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</si>
  <si>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</si>
  <si>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</si>
  <si>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</si>
  <si>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</si>
  <si>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</si>
  <si>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</si>
  <si>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</si>
  <si>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</si>
  <si>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</si>
  <si>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</si>
  <si>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</si>
  <si>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</si>
  <si>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</si>
  <si>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</si>
  <si>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</si>
  <si>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</si>
  <si>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</si>
  <si>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</si>
  <si>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</si>
  <si>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</si>
  <si>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</si>
  <si>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</si>
  <si>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</si>
  <si>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</si>
  <si>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</si>
  <si>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</si>
  <si>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</si>
  <si>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</si>
  <si>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</si>
  <si>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</si>
  <si>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</si>
  <si>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</si>
  <si>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</si>
  <si>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</si>
  <si>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</si>
  <si>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</si>
  <si>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</si>
  <si>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</si>
  <si>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</si>
  <si>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</si>
  <si>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</si>
  <si>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</si>
  <si>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</si>
  <si>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</si>
  <si>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</si>
  <si>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</si>
  <si>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</si>
  <si>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</si>
  <si>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</si>
  <si>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</si>
  <si>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</si>
  <si>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</si>
  <si>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</si>
  <si>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</si>
  <si>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</si>
  <si>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</si>
  <si>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</si>
  <si>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</si>
  <si>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</si>
  <si>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</si>
  <si>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</si>
  <si>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</si>
  <si>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</si>
  <si>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</si>
  <si>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</si>
  <si>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</si>
  <si>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</si>
  <si>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</si>
  <si>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</si>
  <si>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</si>
  <si>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</si>
  <si>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</si>
  <si>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</si>
  <si>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</si>
  <si>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</si>
  <si>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</si>
  <si>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</si>
  <si>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</si>
  <si>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</si>
  <si>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</si>
  <si>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</si>
  <si>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</si>
  <si>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</si>
  <si>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</si>
  <si>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</si>
  <si>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</si>
  <si>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</si>
  <si>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</si>
  <si>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</si>
  <si>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</si>
  <si>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</si>
  <si>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</si>
  <si>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</si>
  <si>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</si>
  <si>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</si>
  <si>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</si>
  <si>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</si>
  <si>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</si>
  <si>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</si>
  <si>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</si>
  <si>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</si>
  <si>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</si>
  <si>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</si>
  <si>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</si>
  <si>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</si>
  <si>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</si>
  <si>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</si>
  <si>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</si>
  <si>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</si>
  <si>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</si>
  <si>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</si>
  <si>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</si>
  <si>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</si>
  <si>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</si>
  <si>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</si>
  <si>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</si>
  <si>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</si>
  <si>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</si>
  <si>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</si>
  <si>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</si>
  <si>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</si>
  <si>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</si>
  <si>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</si>
  <si>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</si>
  <si>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</si>
  <si>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</si>
  <si>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</si>
  <si>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</si>
  <si>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</si>
  <si>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</si>
  <si>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</si>
  <si>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</si>
  <si>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</si>
  <si>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</si>
  <si>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</si>
  <si>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</si>
  <si>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</si>
  <si>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</si>
  <si>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</si>
  <si>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</si>
  <si>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</si>
  <si>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</si>
  <si>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</si>
  <si>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</si>
  <si>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</si>
  <si>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</si>
  <si>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</si>
  <si>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</si>
  <si>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</si>
  <si>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</si>
  <si>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</si>
  <si>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</si>
  <si>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</si>
  <si>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</si>
  <si>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</si>
  <si>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</si>
  <si>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</si>
  <si>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</si>
  <si>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</si>
  <si>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</si>
  <si>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</si>
  <si>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</si>
  <si>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</si>
  <si>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</si>
  <si>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</si>
  <si>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</si>
  <si>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</si>
  <si>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</si>
  <si>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</si>
  <si>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</si>
  <si>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</si>
  <si>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</si>
  <si>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</si>
  <si>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</si>
  <si>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</si>
  <si>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</si>
  <si>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</si>
  <si>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</si>
  <si>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</si>
  <si>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</si>
  <si>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</si>
  <si>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</si>
  <si>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</si>
  <si>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</si>
  <si>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</si>
  <si>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</si>
  <si>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</si>
  <si>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</si>
  <si>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</si>
  <si>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</si>
  <si>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</si>
  <si>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</si>
  <si>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</si>
  <si>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</si>
  <si>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</si>
  <si>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</si>
  <si>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</si>
  <si>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</si>
  <si>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</si>
  <si>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</si>
  <si>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</si>
  <si>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</si>
  <si>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</si>
  <si>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</si>
  <si>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</si>
  <si>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</si>
  <si>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</si>
  <si>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</si>
  <si>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</si>
  <si>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</si>
  <si>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</si>
  <si>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</si>
  <si>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</si>
  <si>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</si>
  <si>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</si>
  <si>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</si>
  <si>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</si>
  <si>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</si>
  <si>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</si>
  <si>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</si>
  <si>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</si>
  <si>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</si>
  <si>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</si>
  <si>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</si>
  <si>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</si>
  <si>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</si>
  <si>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</si>
  <si>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</si>
  <si>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</si>
  <si>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</si>
  <si>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</si>
  <si>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</si>
  <si>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</si>
  <si>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</si>
  <si>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</si>
  <si>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</si>
  <si>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</si>
  <si>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</si>
  <si>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</si>
  <si>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</si>
  <si>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</si>
  <si>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</si>
  <si>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</si>
  <si>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</si>
  <si>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</si>
  <si>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</si>
  <si>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</si>
  <si>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</si>
  <si>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</si>
  <si>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</si>
  <si>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</si>
  <si>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</si>
  <si>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</si>
  <si>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</si>
  <si>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</si>
  <si>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</si>
  <si>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</si>
  <si>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</si>
  <si>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</si>
  <si>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</si>
  <si>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</si>
  <si>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</si>
  <si>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</si>
  <si>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</si>
  <si>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</si>
  <si>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</si>
  <si>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</si>
  <si>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</si>
  <si>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</si>
  <si>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</si>
  <si>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</si>
  <si>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</si>
  <si>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</si>
  <si>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</si>
  <si>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</si>
  <si>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</si>
  <si>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</si>
  <si>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</si>
  <si>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</si>
  <si>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</si>
  <si>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</si>
  <si>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</si>
  <si>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</si>
  <si>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</si>
  <si>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</si>
  <si>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</si>
  <si>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</si>
  <si>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</si>
  <si>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</si>
  <si>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</si>
  <si>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</si>
  <si>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</si>
  <si>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</si>
  <si>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</si>
  <si>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</si>
  <si>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</si>
  <si>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</si>
  <si>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</si>
  <si>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</si>
  <si>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</si>
  <si>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</si>
  <si>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</si>
  <si>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</si>
  <si>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</si>
  <si>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</si>
  <si>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</si>
  <si>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</si>
  <si>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</si>
  <si>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</si>
  <si>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</si>
  <si>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</si>
  <si>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</si>
  <si>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</si>
  <si>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</si>
  <si>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</si>
  <si>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</si>
  <si>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</si>
  <si>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</si>
  <si>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</si>
  <si>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</si>
  <si>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</si>
  <si>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</si>
  <si>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</si>
  <si>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</si>
  <si>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</si>
  <si>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</si>
  <si>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</si>
  <si>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</si>
  <si>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</si>
  <si>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</si>
  <si>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</si>
  <si>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</si>
  <si>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</si>
  <si>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</si>
  <si>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</si>
  <si>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</si>
  <si>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</si>
  <si>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</si>
  <si>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</si>
  <si>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</si>
  <si>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</si>
  <si>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</si>
  <si>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</si>
  <si>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</si>
  <si>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</si>
  <si>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</si>
  <si>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</si>
  <si>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</si>
  <si>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</si>
  <si>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</si>
  <si>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</si>
  <si>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</si>
  <si>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</si>
  <si>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</si>
  <si>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</si>
  <si>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</si>
  <si>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</si>
  <si>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</si>
  <si>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</si>
  <si>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</si>
  <si>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</si>
  <si>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</si>
  <si>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</si>
  <si>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</si>
  <si>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</si>
  <si>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</si>
  <si>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</si>
  <si>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</si>
  <si>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</si>
  <si>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</si>
  <si>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</si>
  <si>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</si>
  <si>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</si>
  <si>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</si>
  <si>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</si>
  <si>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</si>
  <si>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</si>
  <si>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</si>
  <si>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</si>
  <si>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</si>
  <si>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</si>
  <si>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</si>
  <si>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</si>
  <si>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</si>
  <si>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</si>
  <si>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</si>
  <si>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</si>
  <si>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</si>
  <si>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</si>
  <si>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</si>
  <si>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</si>
  <si>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</si>
  <si>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</si>
  <si>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</si>
  <si>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</si>
  <si>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</si>
  <si>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</si>
  <si>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</si>
  <si>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</si>
  <si>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</si>
  <si>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</si>
  <si>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</si>
  <si>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</si>
  <si>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</si>
  <si>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</si>
  <si>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</si>
  <si>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</si>
  <si>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</si>
  <si>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</si>
  <si>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</si>
  <si>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</si>
  <si>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</si>
  <si>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</si>
  <si>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</si>
  <si>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</si>
  <si>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</si>
  <si>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</si>
  <si>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</si>
  <si>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</si>
  <si>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</si>
  <si>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</si>
  <si>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</si>
  <si>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</si>
  <si>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</si>
  <si>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</si>
  <si>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</si>
  <si>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</si>
  <si>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</si>
  <si>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</si>
  <si>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</si>
  <si>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</si>
  <si>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</si>
  <si>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</si>
  <si>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</si>
  <si>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</si>
  <si>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</si>
  <si>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</si>
  <si>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</si>
  <si>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</si>
  <si>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</si>
  <si>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</si>
  <si>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</si>
  <si>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</si>
  <si>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</si>
  <si>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</si>
  <si>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</si>
  <si>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</si>
  <si>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</si>
  <si>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</si>
  <si>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</si>
  <si>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</si>
  <si>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</si>
  <si>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</si>
  <si>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</si>
  <si>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</si>
  <si>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</si>
  <si>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</si>
  <si>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</si>
  <si>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</si>
  <si>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</si>
  <si>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</si>
  <si>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</si>
  <si>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</si>
  <si>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</si>
  <si>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</si>
  <si>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</si>
  <si>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</si>
  <si>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</si>
  <si>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</si>
  <si>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</si>
  <si>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</si>
  <si>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</si>
  <si>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</si>
  <si>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</si>
  <si>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</si>
  <si>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</si>
  <si>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</si>
  <si>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</si>
  <si>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</si>
  <si>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</si>
  <si>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</si>
  <si>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</si>
  <si>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</si>
  <si>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</si>
  <si>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</si>
  <si>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</si>
  <si>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</si>
  <si>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</si>
  <si>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</si>
  <si>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</si>
  <si>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</si>
  <si>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</si>
  <si>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</si>
  <si>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</si>
  <si>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</si>
  <si>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</si>
  <si>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</si>
  <si>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</si>
  <si>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</si>
  <si>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</si>
  <si>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</si>
  <si>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</si>
  <si>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</si>
  <si>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</si>
  <si>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</si>
  <si>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</si>
  <si>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</si>
  <si>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</si>
  <si>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</si>
  <si>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</si>
  <si>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</si>
  <si>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</si>
  <si>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</si>
  <si>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</si>
  <si>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</si>
  <si>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</si>
  <si>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</si>
  <si>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</si>
  <si>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</si>
  <si>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</si>
  <si>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</si>
  <si>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</si>
  <si>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</si>
  <si>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</si>
  <si>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</si>
  <si>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</si>
  <si>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</si>
  <si>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</si>
  <si>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</si>
  <si>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</si>
  <si>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</si>
  <si>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</si>
  <si>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</si>
  <si>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</si>
  <si>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</si>
  <si>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</si>
  <si>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</si>
  <si>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</si>
  <si>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</si>
  <si>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</si>
  <si>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</si>
  <si>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</si>
  <si>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</si>
  <si>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</si>
  <si>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</si>
  <si>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</si>
  <si>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</si>
  <si>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</si>
  <si>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</si>
  <si>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</si>
  <si>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</si>
  <si>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</si>
  <si>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</si>
  <si>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</si>
  <si>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</si>
  <si>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</si>
  <si>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</si>
  <si>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</si>
  <si>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</si>
  <si>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</si>
  <si>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</si>
  <si>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</si>
  <si>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</si>
  <si>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</si>
  <si>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</si>
  <si>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</si>
  <si>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</si>
  <si>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</si>
  <si>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</si>
  <si>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</si>
  <si>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</si>
  <si>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</si>
  <si>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</si>
  <si>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</si>
  <si>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</si>
  <si>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</si>
  <si>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</si>
  <si>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</si>
  <si>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</si>
  <si>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</si>
  <si>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</si>
  <si>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</si>
  <si>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</si>
  <si>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</si>
  <si>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</si>
  <si>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</si>
  <si>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</si>
  <si>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</si>
  <si>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</si>
  <si>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</si>
  <si>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</si>
  <si>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</si>
  <si>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</si>
  <si>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</si>
  <si>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</si>
  <si>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</si>
  <si>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</si>
  <si>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</si>
  <si>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</si>
  <si>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</si>
  <si>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</si>
  <si>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</si>
  <si>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</si>
  <si>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</si>
  <si>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</si>
  <si>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</si>
  <si>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</si>
  <si>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</si>
  <si>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</si>
  <si>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</si>
  <si>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</si>
  <si>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</si>
  <si>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</si>
  <si>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</si>
  <si>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</si>
  <si>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</si>
  <si>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</si>
  <si>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</si>
  <si>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</si>
  <si>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</si>
  <si>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</si>
  <si>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</si>
  <si>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</si>
  <si>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</si>
  <si>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</si>
  <si>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</si>
  <si>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</si>
  <si>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</si>
  <si>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</si>
  <si>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</si>
  <si>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</si>
  <si>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</si>
  <si>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</si>
  <si>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</si>
  <si>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</si>
  <si>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</si>
  <si>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</si>
  <si>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</si>
  <si>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</si>
  <si>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</si>
  <si>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</si>
  <si>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</si>
  <si>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</si>
  <si>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</si>
  <si>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</si>
  <si>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</si>
  <si>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</si>
  <si>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</si>
  <si>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</si>
  <si>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</si>
  <si>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</si>
  <si>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</si>
  <si>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</si>
  <si>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</si>
  <si>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</si>
  <si>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</si>
  <si>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</si>
  <si>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</si>
  <si>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</si>
  <si>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</si>
  <si>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</si>
  <si>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</si>
  <si>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</si>
  <si>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</si>
  <si>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</si>
  <si>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</si>
  <si>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</si>
  <si>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</si>
  <si>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</si>
  <si>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</si>
  <si>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</si>
  <si>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</si>
  <si>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</si>
  <si>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</si>
  <si>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</si>
  <si>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</si>
  <si>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</si>
  <si>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</si>
  <si>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</si>
  <si>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</si>
  <si>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</si>
  <si>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</si>
  <si>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</si>
  <si>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</si>
  <si>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</si>
  <si>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</si>
  <si>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</si>
  <si>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</si>
  <si>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</si>
  <si>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</si>
  <si>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</si>
  <si>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</si>
  <si>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</si>
  <si>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</si>
  <si>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</si>
  <si>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</si>
  <si>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</si>
  <si>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</si>
  <si>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</si>
  <si>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</si>
  <si>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</si>
  <si>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</si>
  <si>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</si>
  <si>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</si>
  <si>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</si>
  <si>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</si>
  <si>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</si>
  <si>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</si>
  <si>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</si>
  <si>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</si>
  <si>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</si>
  <si>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</si>
  <si>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</si>
  <si>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</si>
  <si>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</si>
  <si>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</si>
  <si>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</si>
  <si>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</si>
  <si>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</si>
  <si>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</si>
  <si>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</si>
  <si>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</si>
  <si>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</si>
  <si>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</si>
  <si>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</si>
  <si>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</si>
  <si>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</si>
  <si>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</si>
  <si>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</si>
  <si>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</si>
  <si>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</si>
  <si>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</si>
  <si>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</si>
  <si>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</si>
  <si>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</si>
  <si>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</si>
  <si>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</si>
  <si>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</si>
  <si>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</si>
  <si>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</si>
  <si>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</si>
  <si>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</si>
  <si>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</si>
  <si>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</si>
  <si>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</si>
  <si>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</si>
  <si>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</si>
  <si>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</si>
  <si>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</si>
  <si>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</si>
  <si>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</si>
  <si>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</si>
  <si>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</si>
  <si>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</si>
  <si>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</si>
  <si>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</si>
  <si>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</si>
  <si>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</si>
  <si>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</si>
  <si>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</si>
  <si>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</si>
  <si>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</si>
  <si>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</si>
  <si>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</si>
  <si>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</si>
  <si>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</si>
  <si>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</si>
  <si>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</si>
  <si>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</si>
  <si>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</si>
  <si>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</si>
  <si>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</si>
  <si>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</si>
  <si>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</si>
  <si>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</si>
  <si>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</si>
  <si>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</si>
  <si>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</si>
  <si>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</si>
  <si>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</si>
  <si>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</si>
  <si>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</si>
  <si>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</si>
  <si>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</si>
  <si>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</si>
  <si>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</si>
  <si>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</si>
  <si>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</si>
  <si>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</si>
  <si>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</si>
  <si>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</si>
  <si>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</si>
  <si>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</si>
  <si>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</si>
  <si>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</si>
  <si>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</si>
  <si>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</si>
  <si>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</si>
  <si>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</si>
  <si>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</si>
  <si>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</si>
  <si>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</si>
  <si>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</si>
  <si>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</si>
  <si>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</si>
  <si>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</si>
  <si>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</si>
  <si>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</si>
  <si>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</si>
  <si>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</si>
  <si>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</si>
  <si>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</si>
  <si>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</si>
  <si>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</si>
  <si>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</si>
  <si>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</si>
  <si>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</si>
  <si>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</si>
  <si>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</si>
  <si>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</si>
  <si>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</si>
  <si>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</si>
  <si>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</si>
  <si>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</si>
  <si>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</si>
  <si>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</si>
  <si>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</si>
  <si>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</si>
  <si>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</si>
  <si>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</si>
  <si>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</si>
  <si>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</si>
  <si>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</si>
  <si>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</si>
  <si>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</si>
  <si>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</si>
  <si>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</si>
  <si>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</si>
  <si>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</si>
  <si>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</si>
  <si>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</si>
  <si>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</si>
  <si>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</si>
  <si>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</si>
  <si>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</si>
  <si>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</si>
  <si>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</si>
  <si>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</si>
  <si>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</si>
  <si>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</si>
  <si>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</si>
  <si>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</si>
  <si>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</si>
  <si>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</si>
  <si>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</si>
  <si>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</si>
  <si>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</si>
  <si>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</si>
  <si>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</si>
  <si>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</si>
  <si>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</si>
  <si>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</si>
  <si>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</si>
  <si>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</si>
  <si>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</si>
  <si>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</si>
  <si>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</si>
  <si>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</si>
  <si>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</si>
  <si>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</si>
  <si>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</si>
  <si>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</si>
  <si>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</si>
  <si>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</si>
  <si>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</si>
  <si>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</si>
  <si>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</si>
  <si>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</si>
  <si>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</si>
  <si>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</si>
  <si>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</si>
  <si>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</si>
  <si>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</si>
  <si>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</si>
  <si>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</si>
  <si>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</si>
  <si>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</si>
  <si>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</si>
  <si>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</si>
  <si>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</si>
  <si>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</si>
  <si>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</si>
  <si>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</si>
  <si>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</si>
  <si>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</si>
  <si>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</si>
  <si>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</si>
  <si>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</si>
  <si>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</si>
  <si>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</si>
  <si>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</si>
  <si>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</si>
  <si>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</si>
  <si>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</si>
  <si>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</si>
  <si>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</si>
  <si>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</si>
  <si>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</si>
  <si>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</si>
  <si>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</si>
  <si>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</si>
  <si>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</si>
  <si>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</si>
  <si>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</si>
  <si>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</si>
  <si>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</si>
  <si>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</si>
  <si>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</si>
  <si>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</si>
  <si>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</si>
  <si>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</si>
  <si>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</si>
  <si>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</si>
  <si>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</si>
  <si>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</si>
  <si>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</si>
  <si>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</si>
  <si>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</si>
  <si>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</si>
  <si>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</si>
  <si>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</si>
  <si>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</si>
  <si>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</si>
  <si>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</si>
  <si>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</si>
  <si>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</si>
  <si>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</si>
  <si>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</si>
  <si>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</si>
  <si>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</si>
  <si>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</si>
  <si>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</si>
  <si>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</si>
  <si>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</si>
  <si>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</si>
  <si>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</si>
  <si>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</si>
  <si>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</si>
  <si>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</si>
  <si>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</si>
  <si>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</si>
  <si>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</si>
  <si>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</si>
  <si>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</si>
  <si>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</si>
  <si>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</si>
  <si>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</si>
  <si>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</si>
  <si>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</si>
  <si>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</si>
  <si>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</si>
  <si>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</si>
  <si>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</si>
  <si>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</si>
  <si>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</si>
  <si>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</si>
  <si>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</si>
  <si>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</si>
  <si>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</si>
  <si>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</si>
  <si>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</si>
  <si>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</si>
  <si>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</si>
  <si>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</si>
  <si>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</si>
  <si>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</si>
  <si>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</si>
  <si>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</si>
  <si>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</si>
  <si>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</si>
  <si>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</si>
  <si>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</si>
  <si>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</si>
  <si>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</si>
  <si>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</si>
  <si>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</si>
  <si>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</si>
  <si>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</si>
  <si>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</si>
  <si>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</si>
  <si>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</si>
  <si>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</si>
  <si>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</si>
  <si>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</si>
  <si>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</si>
  <si>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</si>
  <si>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</si>
  <si>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</si>
  <si>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</si>
  <si>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</si>
  <si>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</si>
  <si>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</si>
  <si>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</si>
  <si>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</si>
  <si>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</si>
  <si>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</si>
  <si>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</si>
  <si>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</si>
  <si>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</si>
  <si>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</si>
  <si>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</si>
  <si>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</si>
  <si>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</si>
  <si>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</si>
  <si>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</si>
  <si>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</si>
  <si>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</si>
  <si>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</si>
  <si>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</si>
  <si>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</si>
  <si>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</si>
  <si>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</si>
  <si>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</si>
  <si>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</si>
  <si>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</si>
  <si>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</si>
  <si>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</si>
  <si>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</si>
  <si>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</si>
  <si>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</si>
  <si>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</si>
  <si>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</si>
  <si>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</si>
  <si>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</si>
  <si>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</si>
  <si>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</si>
  <si>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</si>
  <si>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</si>
  <si>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</si>
  <si>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</si>
  <si>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</si>
  <si>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</si>
  <si>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</si>
  <si>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</si>
  <si>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</si>
  <si>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</si>
  <si>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</si>
  <si>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</si>
  <si>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</si>
  <si>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</si>
  <si>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</si>
  <si>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</si>
  <si>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</si>
  <si>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</si>
  <si>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</si>
  <si>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</si>
  <si>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</si>
  <si>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</si>
  <si>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</si>
  <si>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</si>
  <si>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</si>
  <si>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</si>
  <si>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</si>
  <si>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</si>
  <si>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</si>
  <si>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</si>
  <si>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</si>
  <si>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</si>
  <si>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</si>
  <si>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</si>
  <si>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</si>
  <si>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</si>
  <si>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</si>
  <si>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</si>
  <si>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</si>
  <si>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</si>
  <si>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</si>
  <si>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</si>
  <si>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</si>
  <si>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</si>
  <si>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</si>
  <si>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</si>
  <si>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</si>
  <si>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</si>
  <si>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</si>
  <si>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</si>
  <si>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</si>
  <si>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</si>
  <si>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</si>
  <si>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</si>
  <si>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</si>
  <si>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</si>
  <si>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</si>
  <si>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</si>
  <si>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</si>
  <si>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</si>
  <si>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</si>
  <si>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</si>
  <si>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</si>
  <si>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</si>
  <si>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</si>
  <si>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</si>
  <si>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</si>
  <si>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</si>
  <si>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</si>
  <si>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</si>
  <si>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</si>
  <si>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</si>
  <si>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</si>
  <si>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</si>
  <si>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</si>
  <si>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</si>
  <si>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</si>
  <si>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</si>
  <si>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</si>
  <si>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</si>
  <si>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</si>
  <si>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</si>
  <si>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</si>
  <si>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</si>
  <si>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</si>
  <si>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</si>
  <si>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</si>
  <si>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</si>
  <si>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</si>
  <si>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</si>
  <si>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</si>
  <si>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</si>
  <si>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</si>
  <si>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</si>
  <si>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</si>
  <si>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</si>
  <si>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</si>
  <si>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</si>
  <si>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</si>
  <si>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</si>
  <si>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</si>
  <si>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</si>
  <si>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</si>
  <si>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</si>
  <si>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</si>
  <si>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</si>
  <si>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</si>
  <si>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</si>
  <si>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</si>
  <si>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</si>
  <si>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</si>
  <si>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</si>
  <si>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</si>
  <si>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</si>
  <si>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</si>
  <si>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</si>
  <si>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</si>
  <si>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</si>
  <si>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</si>
  <si>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</si>
  <si>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</si>
  <si>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</si>
  <si>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</si>
  <si>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</si>
  <si>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</si>
  <si>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</si>
  <si>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</si>
  <si>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</si>
  <si>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</si>
  <si>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</si>
  <si>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</si>
  <si>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</si>
  <si>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</si>
  <si>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</si>
  <si>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</si>
  <si>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</si>
  <si>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</si>
  <si>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</si>
  <si>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</si>
  <si>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</si>
  <si>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</si>
  <si>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</si>
  <si>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</si>
  <si>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</si>
  <si>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</si>
  <si>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</si>
  <si>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</si>
  <si>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</si>
  <si>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</si>
  <si>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</si>
  <si>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</si>
  <si>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</si>
  <si>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</si>
  <si>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</si>
  <si>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</si>
  <si>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</si>
  <si>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</si>
  <si>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</si>
  <si>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</si>
  <si>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</si>
  <si>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</si>
  <si>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</si>
  <si>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</si>
  <si>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</si>
  <si>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</si>
  <si>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</si>
  <si>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</si>
  <si>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</si>
  <si>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</si>
  <si>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</si>
  <si>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</si>
  <si>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</si>
  <si>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</si>
  <si>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</si>
  <si>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</si>
  <si>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</si>
  <si>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</si>
  <si>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</si>
  <si>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</si>
  <si>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</si>
  <si>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</si>
  <si>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</si>
  <si>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</si>
  <si>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</si>
  <si>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</si>
  <si>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</si>
  <si>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</si>
  <si>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</si>
  <si>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</si>
  <si>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</si>
  <si>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</si>
  <si>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</si>
  <si>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</si>
  <si>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</si>
  <si>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</si>
  <si>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</si>
  <si>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</si>
  <si>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</si>
  <si>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</si>
  <si>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</si>
  <si>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</si>
  <si>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</si>
  <si>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</si>
  <si>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</si>
  <si>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</si>
  <si>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</si>
  <si>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</si>
  <si>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</si>
  <si>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</si>
  <si>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</si>
  <si>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</si>
  <si>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</si>
  <si>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</si>
  <si>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</si>
  <si>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</si>
  <si>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</si>
  <si>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</si>
  <si>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</si>
  <si>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</si>
  <si>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</si>
  <si>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</si>
  <si>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</si>
  <si>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</si>
  <si>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</si>
  <si>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</si>
  <si>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</si>
  <si>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</si>
  <si>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</si>
  <si>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</si>
  <si>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</si>
  <si>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</si>
  <si>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</si>
  <si>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</si>
  <si>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</si>
  <si>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</si>
  <si>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</si>
  <si>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</si>
  <si>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</si>
  <si>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</si>
  <si>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</si>
  <si>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</si>
  <si>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</si>
  <si>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</si>
  <si>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</si>
  <si>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</si>
  <si>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</si>
  <si>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</si>
  <si>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</si>
  <si>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</si>
  <si>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</si>
  <si>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</si>
  <si>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</si>
  <si>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</si>
  <si>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</si>
  <si>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</si>
  <si>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</si>
  <si>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</si>
  <si>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</si>
  <si>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</si>
  <si>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</si>
  <si>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</si>
  <si>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</si>
  <si>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</si>
  <si>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</si>
  <si>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</si>
  <si>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</si>
  <si>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</si>
  <si>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</si>
  <si>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</si>
  <si>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</si>
  <si>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</si>
  <si>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</si>
  <si>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</si>
  <si>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</si>
  <si>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</si>
  <si>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</si>
  <si>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</si>
  <si>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</si>
  <si>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</si>
  <si>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</si>
  <si>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</si>
  <si>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</si>
  <si>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</si>
  <si>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</si>
  <si>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</si>
  <si>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</si>
  <si>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</si>
  <si>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</si>
  <si>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</si>
  <si>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</si>
  <si>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</si>
  <si>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</si>
  <si>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</si>
  <si>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</si>
  <si>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</si>
  <si>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</si>
  <si>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</si>
  <si>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</si>
  <si>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</si>
  <si>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</si>
  <si>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</si>
  <si>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</si>
  <si>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</si>
  <si>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</si>
  <si>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</si>
  <si>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</si>
  <si>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</si>
  <si>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</si>
  <si>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</si>
  <si>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</si>
  <si>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</si>
  <si>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</si>
  <si>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</si>
  <si>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</si>
  <si>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</si>
  <si>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</si>
  <si>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</si>
  <si>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</si>
  <si>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</si>
  <si>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</si>
  <si>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</si>
  <si>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</si>
  <si>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</si>
  <si>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</si>
  <si>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</si>
  <si>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</si>
  <si>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</si>
  <si>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</si>
  <si>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</si>
  <si>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</si>
  <si>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</si>
  <si>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</si>
  <si>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</si>
  <si>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</si>
  <si>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</si>
  <si>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</si>
  <si>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</si>
  <si>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</si>
  <si>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</si>
  <si>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</si>
  <si>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</si>
  <si>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</si>
  <si>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</si>
  <si>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</si>
  <si>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</si>
  <si>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</si>
  <si>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</si>
  <si>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</si>
  <si>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</si>
  <si>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</si>
  <si>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</si>
  <si>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</si>
  <si>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</si>
  <si>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</si>
  <si>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</si>
  <si>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</si>
  <si>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</si>
  <si>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</si>
  <si>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</si>
  <si>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</si>
  <si>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</si>
  <si>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</si>
  <si>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</si>
  <si>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</si>
  <si>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</si>
  <si>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</si>
  <si>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</si>
  <si>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</si>
  <si>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</si>
  <si>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</si>
  <si>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</si>
  <si>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</si>
  <si>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</si>
  <si>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</si>
  <si>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</si>
  <si>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</si>
  <si>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</si>
  <si>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</si>
  <si>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</si>
  <si>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</si>
  <si>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</si>
  <si>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</si>
  <si>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</si>
  <si>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</si>
  <si>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</si>
  <si>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</si>
  <si>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</si>
  <si>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</si>
  <si>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</si>
  <si>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</si>
  <si>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</si>
  <si>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</si>
  <si>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</si>
  <si>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</si>
  <si>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</si>
  <si>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</si>
  <si>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</si>
  <si>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</si>
  <si>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</si>
  <si>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</si>
  <si>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</si>
  <si>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</si>
  <si>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</si>
  <si>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</si>
  <si>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</si>
  <si>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</si>
  <si>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</si>
  <si>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</si>
  <si>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</si>
  <si>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</si>
  <si>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</si>
  <si>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</si>
  <si>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</si>
  <si>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</si>
  <si>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</si>
  <si>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</si>
  <si>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</si>
  <si>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</si>
  <si>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</si>
  <si>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</si>
  <si>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</si>
  <si>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</si>
  <si>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</si>
  <si>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</si>
  <si>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</si>
  <si>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</si>
  <si>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</si>
  <si>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</si>
  <si>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</si>
  <si>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</si>
  <si>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</si>
  <si>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</si>
  <si>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</si>
  <si>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</si>
  <si>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</si>
  <si>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</si>
  <si>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</si>
  <si>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</si>
  <si>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</si>
  <si>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</si>
  <si>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</si>
  <si>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</si>
  <si>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</si>
  <si>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</si>
  <si>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</si>
  <si>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</si>
  <si>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</si>
  <si>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</si>
  <si>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</si>
  <si>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</si>
  <si>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</si>
  <si>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</si>
  <si>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</si>
  <si>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</si>
  <si>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</si>
  <si>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</si>
  <si>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</si>
  <si>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</si>
  <si>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</si>
  <si>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</si>
  <si>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</si>
  <si>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</si>
  <si>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</si>
  <si>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</si>
  <si>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</si>
  <si>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</si>
  <si>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</si>
  <si>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</si>
  <si>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</si>
  <si>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</si>
  <si>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</si>
  <si>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</si>
  <si>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</si>
  <si>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</si>
  <si>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</si>
  <si>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</si>
  <si>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</si>
  <si>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</si>
  <si>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</si>
  <si>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</si>
  <si>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</si>
  <si>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</si>
  <si>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</si>
  <si>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</si>
  <si>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</si>
  <si>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</si>
  <si>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</si>
  <si>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</si>
  <si>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</si>
  <si>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</si>
  <si>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</si>
  <si>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</si>
  <si>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</si>
  <si>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</si>
  <si>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</si>
  <si>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</si>
  <si>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</si>
  <si>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</si>
  <si>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</si>
  <si>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</si>
  <si>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</si>
  <si>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</si>
  <si>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</si>
  <si>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</si>
  <si>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</si>
  <si>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</si>
  <si>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</si>
  <si>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</si>
  <si>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</si>
  <si>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</si>
  <si>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</si>
  <si>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</si>
  <si>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</si>
  <si>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</si>
  <si>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</si>
  <si>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</si>
  <si>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</si>
  <si>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</si>
  <si>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</si>
  <si>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</si>
  <si>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</si>
  <si>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</si>
  <si>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</si>
  <si>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</si>
  <si>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</si>
  <si>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</si>
  <si>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</si>
  <si>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</si>
  <si>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</si>
  <si>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</si>
  <si>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</si>
  <si>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</si>
  <si>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</si>
  <si>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</si>
  <si>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</si>
  <si>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</si>
  <si>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</si>
  <si>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</si>
  <si>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</si>
  <si>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</si>
  <si>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</si>
  <si>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</si>
  <si>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</si>
  <si>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</si>
  <si>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</si>
  <si>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</si>
  <si>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</si>
  <si>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</si>
  <si>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</si>
  <si>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</si>
  <si>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</si>
  <si>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</si>
  <si>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</si>
  <si>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</si>
  <si>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</si>
  <si>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</si>
  <si>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</si>
  <si>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</si>
  <si>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</si>
  <si>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</si>
  <si>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</si>
  <si>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</si>
  <si>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</si>
  <si>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</si>
  <si>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</si>
  <si>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</si>
  <si>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</si>
  <si>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</si>
  <si>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</si>
  <si>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</si>
  <si>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</si>
  <si>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</si>
  <si>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</si>
  <si>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</si>
  <si>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</si>
  <si>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</si>
  <si>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</si>
  <si>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</si>
  <si>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</si>
  <si>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</si>
  <si>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</si>
  <si>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</si>
  <si>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</si>
  <si>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</si>
  <si>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</si>
  <si>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</si>
  <si>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</si>
  <si>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</si>
  <si>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</si>
  <si>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</si>
  <si>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</si>
  <si>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</si>
  <si>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</si>
  <si>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</si>
  <si>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</si>
  <si>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</si>
  <si>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</si>
  <si>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</si>
  <si>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</si>
  <si>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</si>
  <si>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</si>
  <si>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</si>
  <si>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</si>
  <si>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</si>
  <si>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</si>
  <si>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</si>
  <si>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</si>
  <si>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</si>
  <si>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</si>
  <si>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</si>
  <si>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</si>
  <si>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</si>
  <si>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</si>
  <si>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</si>
  <si>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</si>
  <si>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</si>
  <si>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</si>
  <si>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</si>
  <si>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</si>
  <si>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</si>
  <si>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</si>
  <si>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</si>
  <si>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</si>
  <si>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</si>
  <si>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</si>
  <si>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</si>
  <si>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</si>
  <si>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</si>
  <si>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</si>
  <si>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</si>
  <si>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</si>
  <si>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</si>
  <si>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</si>
  <si>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</si>
  <si>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</si>
  <si>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</si>
  <si>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</si>
  <si>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</si>
  <si>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</si>
  <si>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</si>
  <si>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</si>
  <si>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</si>
  <si>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</si>
  <si>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</si>
  <si>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</si>
  <si>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</si>
  <si>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</si>
  <si>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</si>
  <si>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</si>
  <si>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</si>
  <si>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</si>
  <si>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</si>
  <si>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</si>
  <si>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</si>
  <si>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</si>
  <si>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</si>
  <si>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</si>
  <si>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</si>
  <si>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</si>
  <si>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</si>
  <si>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</si>
  <si>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</si>
  <si>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</si>
  <si>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</si>
  <si>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</si>
  <si>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</si>
  <si>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</si>
  <si>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</si>
  <si>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</si>
  <si>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</si>
  <si>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</si>
  <si>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</si>
  <si>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</si>
  <si>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</si>
  <si>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</si>
  <si>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</si>
  <si>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</si>
  <si>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</si>
  <si>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</si>
  <si>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</si>
  <si>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</si>
  <si>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</si>
  <si>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</si>
  <si>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</si>
  <si>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</si>
  <si>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</si>
  <si>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</si>
  <si>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</si>
  <si>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</si>
  <si>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</si>
  <si>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</si>
  <si>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</si>
  <si>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</si>
  <si>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</si>
  <si>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</si>
  <si>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</si>
  <si>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</si>
  <si>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</si>
  <si>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</si>
  <si>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</si>
  <si>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</si>
  <si>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</si>
  <si>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</si>
  <si>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</si>
  <si>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</si>
  <si>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</si>
  <si>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</si>
  <si>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</si>
  <si>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</si>
  <si>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</si>
  <si>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</si>
  <si>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</si>
  <si>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</si>
  <si>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</si>
  <si>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</si>
  <si>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</si>
  <si>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</si>
  <si>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</si>
  <si>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</si>
  <si>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</si>
  <si>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</si>
  <si>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</si>
  <si>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</si>
  <si>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</si>
  <si>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</si>
  <si>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</si>
  <si>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</si>
  <si>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</si>
  <si>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</si>
  <si>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</si>
  <si>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</si>
  <si>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</si>
  <si>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</si>
  <si>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</si>
  <si>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</si>
  <si>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</si>
  <si>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</si>
  <si>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</si>
  <si>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</si>
  <si>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</si>
  <si>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</si>
  <si>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</si>
  <si>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</si>
  <si>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</si>
  <si>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</si>
  <si>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</si>
  <si>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</si>
  <si>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</si>
  <si>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</si>
  <si>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</si>
  <si>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</si>
  <si>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</si>
  <si>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</si>
  <si>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</si>
  <si>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</si>
  <si>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</si>
  <si>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</si>
  <si>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</si>
  <si>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</si>
  <si>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</si>
  <si>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</si>
  <si>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</si>
  <si>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</si>
  <si>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</si>
  <si>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</si>
  <si>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</si>
  <si>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</si>
  <si>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</si>
  <si>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</si>
  <si>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</si>
  <si>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</si>
  <si>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</si>
  <si>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</si>
  <si>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</si>
  <si>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</si>
  <si>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</si>
  <si>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</si>
  <si>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</si>
  <si>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</si>
  <si>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</si>
  <si>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</si>
  <si>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</si>
  <si>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</si>
  <si>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</si>
  <si>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</si>
  <si>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</si>
  <si>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</si>
  <si>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</si>
  <si>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</si>
  <si>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</si>
  <si>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</si>
  <si>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</si>
  <si>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</si>
  <si>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</si>
  <si>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</si>
  <si>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</si>
  <si>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</si>
  <si>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</si>
  <si>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</si>
  <si>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</si>
  <si>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</si>
  <si>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</si>
  <si>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</si>
  <si>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</si>
  <si>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</si>
  <si>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</si>
  <si>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</si>
  <si>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</si>
  <si>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</si>
  <si>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</si>
  <si>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</si>
  <si>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</si>
  <si>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</si>
  <si>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</si>
  <si>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</si>
  <si>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</si>
  <si>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</si>
  <si>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</si>
  <si>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</si>
  <si>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</si>
  <si>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</si>
  <si>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</si>
  <si>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</si>
  <si>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</si>
  <si>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</si>
  <si>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</si>
  <si>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</si>
  <si>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</si>
  <si>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</si>
  <si>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</si>
  <si>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</si>
  <si>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</si>
  <si>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</si>
  <si>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</si>
  <si>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</si>
  <si>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</si>
  <si>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</si>
  <si>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</si>
  <si>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</si>
  <si>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</si>
  <si>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</si>
  <si>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</si>
  <si>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</si>
  <si>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</si>
  <si>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</si>
  <si>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</si>
  <si>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</si>
  <si>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</si>
  <si>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</si>
  <si>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</si>
  <si>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</si>
  <si>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</si>
  <si>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</si>
  <si>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</si>
  <si>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</si>
  <si>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</si>
  <si>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</si>
  <si>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</si>
  <si>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</si>
  <si>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</si>
  <si>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</si>
  <si>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</si>
  <si>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</si>
  <si>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</si>
  <si>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</si>
  <si>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</si>
  <si>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</si>
  <si>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</si>
  <si>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</si>
  <si>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</si>
  <si>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</si>
  <si>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</si>
  <si>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</si>
  <si>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</si>
  <si>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</si>
  <si>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</si>
  <si>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</si>
  <si>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</si>
  <si>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</si>
  <si>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</si>
  <si>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</si>
  <si>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</si>
  <si>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</si>
  <si>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</si>
  <si>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</si>
  <si>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</si>
  <si>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</si>
  <si>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</si>
  <si>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</si>
  <si>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</si>
  <si>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</si>
  <si>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</si>
  <si>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</si>
  <si>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</si>
  <si>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</si>
  <si>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</si>
  <si>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</si>
  <si>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</si>
  <si>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</si>
  <si>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</si>
  <si>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</si>
  <si>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</si>
  <si>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</si>
  <si>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</si>
  <si>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</si>
  <si>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</si>
  <si>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</si>
  <si>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</si>
  <si>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</si>
  <si>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</si>
  <si>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</si>
  <si>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</si>
  <si>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</si>
  <si>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</si>
  <si>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</si>
  <si>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</si>
  <si>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</si>
  <si>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</si>
  <si>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</si>
  <si>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</si>
  <si>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</si>
  <si>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</si>
  <si>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</si>
  <si>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</si>
  <si>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</si>
  <si>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</si>
  <si>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</si>
  <si>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</si>
  <si>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</si>
  <si>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</si>
  <si>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</si>
  <si>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</si>
  <si>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</si>
  <si>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</si>
  <si>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</si>
  <si>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</si>
  <si>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</si>
  <si>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</si>
  <si>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</si>
  <si>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</si>
  <si>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</si>
  <si>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</si>
  <si>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</si>
  <si>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</si>
  <si>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</si>
  <si>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</si>
  <si>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</si>
  <si>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</si>
  <si>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</si>
  <si>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</si>
  <si>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</si>
  <si>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</si>
  <si>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</si>
  <si>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</si>
  <si>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</si>
  <si>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</si>
  <si>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</si>
  <si>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</si>
  <si>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</si>
  <si>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</si>
  <si>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</si>
  <si>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</si>
  <si>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</si>
  <si>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</si>
  <si>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</si>
  <si>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</si>
  <si>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</si>
  <si>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</si>
  <si>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</si>
  <si>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</si>
  <si>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</si>
  <si>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</si>
  <si>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</si>
  <si>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</si>
  <si>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</si>
  <si>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</si>
  <si>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</si>
  <si>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</si>
  <si>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</si>
  <si>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</si>
  <si>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</si>
  <si>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</si>
  <si>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</si>
  <si>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</si>
  <si>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</si>
  <si>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</si>
  <si>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</si>
  <si>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</si>
  <si>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</si>
  <si>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</si>
  <si>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</si>
  <si>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</si>
  <si>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</si>
  <si>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</si>
  <si>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</si>
  <si>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</si>
  <si>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</si>
  <si>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</si>
  <si>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</si>
  <si>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</si>
  <si>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</si>
  <si>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</si>
  <si>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</si>
  <si>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</si>
  <si>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</si>
  <si>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</si>
  <si>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</si>
  <si>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</si>
  <si>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</si>
  <si>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</si>
  <si>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</si>
  <si>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</si>
  <si>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</si>
  <si>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</si>
  <si>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</si>
  <si>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</si>
  <si>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</si>
  <si>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</si>
  <si>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</si>
  <si>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</si>
  <si>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</si>
  <si>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</si>
  <si>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</si>
  <si>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</si>
  <si>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</si>
  <si>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</si>
  <si>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</si>
  <si>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</si>
  <si>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</si>
  <si>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</si>
  <si>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</si>
  <si>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</si>
  <si>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</si>
  <si>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</si>
  <si>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</si>
  <si>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</si>
  <si>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</si>
  <si>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</si>
  <si>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</si>
  <si>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</si>
  <si>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</si>
  <si>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</si>
  <si>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</si>
  <si>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</si>
  <si>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</si>
  <si>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</si>
  <si>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</si>
  <si>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</si>
  <si>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</si>
  <si>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</si>
  <si>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</si>
  <si>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</si>
  <si>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</si>
  <si>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</si>
  <si>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</si>
  <si>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</si>
  <si>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</si>
  <si>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</si>
  <si>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</si>
  <si>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</si>
  <si>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</si>
  <si>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</si>
  <si>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</si>
  <si>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</si>
  <si>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</si>
  <si>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</si>
  <si>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</si>
  <si>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</si>
  <si>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</si>
  <si>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</si>
  <si>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</si>
  <si>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</si>
  <si>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</si>
  <si>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</si>
  <si>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</si>
  <si>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</si>
  <si>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</si>
  <si>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</si>
  <si>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</si>
  <si>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</si>
  <si>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</si>
  <si>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</si>
  <si>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</si>
  <si>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</si>
  <si>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</si>
  <si>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</si>
  <si>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</si>
  <si>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</si>
  <si>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</si>
  <si>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</si>
  <si>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</si>
  <si>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</si>
  <si>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</si>
  <si>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</si>
  <si>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</si>
  <si>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</si>
  <si>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</si>
  <si>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</si>
  <si>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</si>
  <si>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</si>
  <si>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</si>
  <si>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</si>
  <si>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</si>
  <si>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</si>
  <si>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</si>
  <si>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</si>
  <si>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</si>
  <si>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</si>
  <si>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</si>
  <si>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</si>
  <si>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</si>
  <si>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</si>
  <si>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</si>
  <si>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</si>
  <si>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</si>
  <si>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</si>
  <si>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</si>
  <si>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</si>
  <si>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</si>
  <si>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</si>
  <si>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</si>
  <si>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</si>
  <si>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</si>
  <si>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</si>
  <si>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</si>
  <si>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</si>
  <si>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</si>
  <si>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</si>
  <si>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</si>
  <si>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</si>
  <si>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</si>
  <si>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</si>
  <si>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</si>
  <si>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</si>
  <si>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</si>
  <si>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</si>
  <si>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</si>
  <si>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</si>
  <si>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</si>
  <si>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</si>
  <si>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</si>
  <si>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</si>
  <si>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</si>
  <si>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</si>
  <si>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</si>
  <si>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</si>
  <si>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</si>
  <si>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</si>
  <si>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</si>
  <si>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</si>
  <si>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</si>
  <si>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</si>
  <si>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</si>
  <si>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</si>
  <si>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</si>
  <si>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</si>
  <si>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</si>
  <si>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</si>
  <si>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</si>
  <si>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</si>
  <si>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</si>
  <si>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</si>
  <si>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</si>
  <si>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</si>
  <si>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</si>
  <si>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</si>
  <si>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</si>
  <si>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</si>
  <si>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</si>
  <si>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</si>
  <si>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</si>
  <si>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</si>
  <si>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</si>
  <si>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</si>
  <si>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</si>
  <si>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</si>
  <si>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</si>
  <si>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</si>
  <si>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</si>
  <si>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</si>
  <si>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</si>
  <si>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</si>
  <si>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</si>
  <si>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</si>
  <si>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</si>
  <si>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</si>
  <si>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</si>
  <si>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</si>
  <si>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</si>
  <si>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</si>
  <si>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</si>
  <si>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</si>
  <si>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</si>
  <si>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</si>
  <si>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</si>
  <si>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</si>
  <si>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</si>
  <si>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</si>
  <si>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</si>
  <si>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</si>
  <si>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</si>
  <si>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</si>
  <si>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</si>
  <si>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</si>
  <si>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</si>
  <si>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</si>
  <si>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</si>
  <si>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</si>
  <si>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</si>
  <si>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</si>
  <si>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</si>
  <si>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</si>
  <si>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</si>
  <si>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</si>
  <si>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</si>
  <si>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</si>
  <si>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</si>
  <si>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</si>
  <si>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</si>
  <si>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</si>
  <si>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</si>
  <si>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</si>
  <si>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</si>
  <si>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</si>
  <si>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</si>
  <si>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</si>
  <si>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</si>
  <si>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</si>
  <si>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</si>
  <si>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</si>
  <si>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</si>
  <si>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</si>
  <si>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</si>
  <si>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</si>
  <si>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</si>
  <si>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</si>
  <si>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</si>
  <si>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</si>
  <si>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</si>
  <si>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</si>
  <si>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</si>
  <si>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</si>
  <si>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</si>
  <si>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</si>
  <si>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</si>
  <si>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</si>
  <si>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</si>
  <si>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</si>
  <si>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</si>
  <si>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</si>
  <si>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</si>
  <si>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</si>
  <si>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</si>
  <si>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</si>
  <si>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</si>
  <si>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</si>
  <si>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</si>
  <si>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</si>
  <si>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</si>
  <si>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</si>
  <si>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</si>
  <si>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</si>
  <si>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</si>
  <si>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</si>
  <si>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</si>
  <si>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</si>
  <si>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</si>
  <si>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</si>
  <si>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</si>
  <si>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</si>
  <si>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</si>
  <si>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</si>
  <si>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</si>
  <si>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</si>
  <si>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</si>
  <si>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</si>
  <si>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</si>
  <si>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</si>
  <si>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</si>
  <si>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</si>
  <si>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</si>
  <si>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</si>
  <si>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</si>
  <si>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</si>
  <si>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</si>
  <si>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</si>
  <si>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</si>
  <si>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</si>
  <si>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</si>
  <si>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</si>
  <si>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</si>
  <si>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</si>
  <si>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</si>
  <si>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</si>
  <si>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</si>
  <si>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</si>
  <si>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</si>
  <si>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</si>
  <si>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</si>
  <si>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</si>
  <si>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</si>
  <si>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</si>
  <si>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</si>
  <si>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</si>
  <si>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</si>
  <si>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</si>
  <si>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</si>
  <si>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</si>
  <si>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</si>
  <si>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</si>
  <si>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</si>
  <si>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</si>
  <si>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</si>
  <si>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</si>
  <si>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</si>
  <si>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</si>
  <si>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</si>
  <si>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</si>
  <si>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</si>
  <si>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</si>
  <si>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</si>
  <si>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</si>
  <si>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</si>
  <si>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</si>
  <si>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</si>
  <si>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</si>
  <si>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</si>
  <si>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</si>
  <si>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</si>
  <si>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</si>
  <si>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</si>
  <si>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</si>
  <si>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</si>
  <si>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</si>
  <si>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</si>
  <si>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</si>
  <si>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</si>
  <si>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</si>
  <si>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</si>
  <si>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</si>
  <si>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</si>
  <si>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</si>
  <si>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</si>
  <si>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</si>
  <si>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</si>
  <si>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</si>
  <si>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</si>
  <si>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</si>
  <si>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</si>
  <si>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</si>
  <si>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</si>
  <si>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</si>
  <si>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</si>
  <si>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</si>
  <si>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</si>
  <si>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</si>
  <si>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</si>
  <si>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</si>
  <si>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</si>
  <si>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</si>
  <si>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</si>
  <si>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</si>
  <si>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</si>
  <si>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</si>
  <si>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</si>
  <si>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</si>
  <si>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</si>
  <si>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</si>
  <si>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</si>
  <si>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</si>
  <si>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</si>
  <si>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</si>
  <si>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</si>
  <si>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</si>
  <si>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</si>
  <si>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</si>
  <si>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</si>
  <si>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</si>
  <si>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</si>
  <si>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</si>
  <si>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</si>
  <si>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</si>
  <si>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</si>
  <si>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</si>
  <si>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</si>
  <si>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</si>
  <si>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</si>
  <si>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</si>
  <si>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</si>
  <si>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</si>
  <si>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</si>
  <si>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</si>
  <si>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</si>
  <si>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</si>
  <si>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</si>
  <si>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</si>
  <si>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</si>
  <si>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</si>
  <si>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</si>
  <si>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</si>
  <si>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</si>
  <si>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</si>
  <si>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</si>
  <si>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</si>
  <si>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</si>
  <si>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</si>
  <si>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</si>
  <si>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</si>
  <si>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</si>
  <si>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</si>
  <si>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</si>
  <si>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</si>
  <si>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</si>
  <si>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</si>
  <si>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</si>
  <si>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</si>
  <si>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</si>
  <si>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</si>
  <si>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</si>
  <si>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</si>
  <si>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</si>
  <si>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</si>
  <si>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</si>
  <si>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</si>
  <si>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</si>
  <si>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</si>
  <si>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</si>
  <si>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</si>
  <si>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</si>
  <si>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</si>
  <si>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</si>
  <si>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</si>
  <si>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</si>
  <si>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</si>
  <si>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</si>
  <si>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</si>
  <si>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</si>
  <si>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</si>
  <si>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</si>
  <si>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</si>
  <si>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</si>
  <si>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</si>
  <si>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</si>
  <si>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</si>
  <si>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</si>
  <si>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</si>
  <si>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</si>
  <si>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</si>
  <si>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</si>
  <si>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</si>
  <si>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</si>
  <si>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</si>
  <si>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</si>
  <si>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</si>
  <si>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</si>
  <si>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</si>
  <si>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</si>
  <si>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</si>
  <si>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</si>
  <si>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</si>
  <si>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</si>
  <si>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</si>
  <si>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</si>
  <si>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</si>
  <si>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</si>
  <si>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</si>
  <si>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</si>
  <si>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</si>
  <si>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</si>
  <si>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</si>
  <si>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</si>
  <si>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</si>
  <si>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</si>
  <si>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</si>
  <si>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</si>
  <si>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</si>
  <si>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</si>
  <si>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</si>
  <si>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</si>
  <si>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</si>
  <si>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</si>
  <si>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</si>
  <si>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</si>
  <si>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</si>
  <si>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</si>
  <si>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</si>
  <si>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</si>
  <si>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</si>
  <si>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</si>
  <si>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</si>
  <si>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</si>
  <si>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</si>
  <si>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</si>
  <si>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</si>
  <si>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</si>
  <si>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</si>
  <si>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</si>
  <si>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</si>
  <si>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</si>
  <si>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</si>
  <si>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</si>
  <si>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</si>
  <si>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</si>
  <si>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</si>
  <si>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</si>
  <si>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</si>
  <si>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</si>
  <si>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</si>
  <si>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</si>
  <si>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</si>
  <si>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</si>
  <si>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</si>
  <si>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</si>
  <si>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</si>
  <si>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</si>
  <si>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</si>
  <si>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</si>
  <si>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</si>
  <si>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</si>
  <si>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</si>
  <si>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</si>
  <si>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</si>
  <si>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</si>
  <si>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</si>
  <si>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</si>
  <si>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</si>
  <si>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</si>
  <si>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</si>
  <si>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</si>
  <si>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</si>
  <si>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</si>
  <si>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</si>
  <si>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</si>
  <si>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</si>
  <si>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</si>
  <si>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</si>
  <si>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</si>
  <si>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</si>
  <si>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</si>
  <si>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</si>
  <si>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</si>
  <si>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</si>
  <si>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</si>
  <si>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</si>
  <si>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</si>
  <si>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</si>
  <si>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</si>
  <si>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</si>
  <si>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</si>
  <si>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</si>
  <si>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</si>
  <si>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</si>
  <si>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</si>
  <si>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</si>
  <si>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</si>
  <si>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</si>
  <si>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</si>
  <si>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</si>
  <si>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</si>
  <si>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</si>
  <si>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</si>
  <si>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</si>
  <si>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</si>
  <si>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</si>
  <si>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</si>
  <si>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</si>
  <si>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</si>
  <si>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</si>
  <si>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</si>
  <si>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</si>
  <si>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</si>
  <si>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</si>
  <si>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</si>
  <si>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</si>
  <si>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</si>
  <si>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</si>
  <si>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</si>
  <si>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</si>
  <si>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</si>
  <si>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</si>
  <si>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</si>
  <si>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</si>
  <si>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</si>
  <si>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</si>
  <si>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</si>
  <si>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</si>
  <si>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</si>
  <si>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</si>
  <si>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</si>
  <si>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</si>
  <si>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</si>
  <si>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</si>
  <si>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</si>
  <si>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</si>
  <si>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</si>
  <si>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</si>
  <si>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</si>
  <si>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</si>
  <si>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</si>
  <si>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</si>
  <si>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</si>
  <si>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</si>
  <si>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</si>
  <si>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</si>
  <si>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</si>
  <si>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</si>
  <si>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</si>
  <si>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</si>
  <si>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</si>
  <si>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</si>
  <si>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</si>
  <si>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</si>
  <si>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</si>
  <si>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</si>
  <si>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</si>
  <si>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</si>
  <si>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</si>
  <si>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</si>
  <si>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</si>
  <si>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</si>
  <si>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</si>
  <si>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</si>
  <si>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</si>
  <si>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</si>
  <si>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</si>
  <si>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</si>
  <si>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</si>
  <si>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</si>
  <si>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</si>
  <si>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</si>
  <si>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</si>
  <si>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</si>
  <si>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</si>
  <si>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</si>
  <si>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</si>
  <si>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</si>
  <si>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</si>
  <si>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</si>
  <si>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</si>
  <si>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</si>
  <si>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</si>
  <si>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</si>
  <si>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</si>
  <si>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</si>
  <si>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</si>
  <si>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</si>
  <si>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</si>
  <si>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</si>
  <si>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</si>
  <si>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</si>
  <si>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</si>
  <si>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</si>
  <si>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</si>
  <si>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</si>
  <si>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</si>
  <si>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</si>
  <si>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</si>
  <si>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</si>
  <si>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</si>
  <si>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</si>
  <si>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</si>
  <si>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</si>
  <si>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</si>
  <si>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</si>
  <si>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</si>
  <si>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</si>
  <si>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</si>
  <si>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</si>
  <si>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</si>
  <si>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</si>
  <si>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</si>
  <si>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</si>
  <si>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</si>
  <si>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</si>
  <si>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</si>
  <si>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</si>
  <si>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</si>
  <si>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</si>
  <si>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</si>
  <si>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</si>
  <si>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</si>
  <si>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</si>
  <si>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</si>
  <si>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</si>
  <si>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</si>
  <si>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</si>
  <si>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</si>
  <si>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</si>
  <si>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</si>
  <si>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</si>
  <si>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</si>
  <si>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</si>
  <si>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</si>
  <si>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</si>
  <si>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</si>
  <si>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</si>
  <si>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</si>
  <si>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</si>
  <si>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</si>
  <si>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</si>
  <si>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</si>
  <si>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</si>
  <si>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</si>
  <si>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</si>
  <si>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</si>
  <si>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</si>
  <si>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</si>
  <si>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</si>
  <si>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</si>
  <si>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</si>
  <si>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</si>
  <si>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</si>
  <si>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</si>
  <si>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</si>
  <si>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</si>
  <si>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</si>
  <si>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</si>
  <si>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</si>
  <si>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</si>
  <si>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</si>
  <si>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</si>
  <si>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</si>
  <si>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</si>
  <si>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</si>
  <si>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</si>
  <si>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</si>
  <si>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</si>
  <si>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</si>
  <si>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</si>
  <si>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</si>
  <si>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</si>
  <si>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</si>
  <si>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</si>
  <si>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</si>
  <si>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</si>
  <si>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</si>
  <si>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</si>
  <si>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</si>
  <si>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</si>
  <si>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</si>
  <si>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</si>
  <si>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</si>
  <si>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</si>
  <si>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</si>
  <si>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</si>
  <si>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</si>
  <si>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</si>
  <si>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</si>
  <si>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</si>
  <si>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</si>
  <si>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</si>
  <si>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</si>
  <si>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</si>
  <si>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</si>
  <si>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</si>
  <si>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</si>
  <si>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</si>
  <si>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</si>
  <si>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</si>
  <si>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</si>
  <si>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</si>
  <si>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</si>
  <si>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</si>
  <si>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</si>
  <si>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</si>
  <si>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</si>
  <si>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</si>
  <si>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</si>
  <si>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</si>
  <si>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</si>
  <si>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</si>
  <si>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</si>
  <si>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</si>
  <si>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</si>
  <si>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</si>
  <si>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</si>
  <si>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</si>
  <si>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</si>
  <si>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</si>
  <si>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</si>
  <si>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</si>
  <si>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</si>
  <si>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</si>
  <si>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</si>
  <si>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</si>
  <si>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</si>
  <si>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</si>
  <si>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</si>
  <si>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</si>
  <si>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</si>
  <si>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</si>
  <si>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</si>
  <si>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</si>
  <si>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</si>
  <si>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</si>
  <si>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</si>
  <si>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</si>
  <si>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</si>
  <si>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</si>
  <si>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</si>
  <si>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</si>
  <si>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</si>
  <si>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</si>
  <si>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</si>
  <si>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</si>
  <si>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</si>
  <si>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</si>
  <si>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</si>
  <si>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</si>
  <si>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</si>
  <si>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</si>
  <si>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</si>
  <si>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</si>
  <si>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</si>
  <si>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</si>
  <si>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</si>
  <si>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</si>
  <si>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</si>
  <si>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</si>
  <si>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</si>
  <si>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</si>
  <si>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</si>
  <si>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</si>
  <si>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</si>
  <si>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</si>
  <si>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</si>
  <si>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</si>
  <si>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</si>
  <si>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</si>
  <si>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</si>
  <si>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</si>
  <si>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</si>
  <si>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</si>
  <si>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</si>
  <si>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</si>
  <si>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</si>
  <si>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</si>
  <si>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</si>
  <si>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</si>
  <si>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</si>
  <si>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</si>
  <si>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</si>
  <si>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</si>
  <si>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</si>
  <si>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</si>
  <si>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</si>
  <si>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</si>
  <si>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</si>
  <si>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</si>
  <si>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</si>
  <si>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</si>
  <si>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</si>
  <si>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</si>
  <si>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</si>
  <si>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</si>
  <si>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</si>
  <si>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</si>
  <si>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</si>
  <si>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</si>
  <si>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</si>
  <si>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</si>
  <si>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</si>
  <si>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</si>
  <si>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</si>
  <si>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</si>
  <si>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</si>
  <si>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</si>
  <si>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</si>
  <si>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</si>
  <si>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</si>
  <si>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</si>
  <si>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</si>
  <si>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</si>
  <si>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</si>
  <si>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</si>
  <si>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</si>
  <si>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</si>
  <si>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</si>
  <si>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</si>
  <si>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</si>
  <si>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</si>
  <si>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</si>
  <si>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</si>
  <si>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</si>
  <si>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</si>
  <si>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</si>
  <si>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</si>
  <si>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</si>
  <si>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</si>
  <si>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</si>
  <si>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</si>
  <si>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</si>
  <si>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</si>
  <si>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</si>
  <si>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</si>
  <si>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</si>
  <si>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</si>
  <si>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</si>
  <si>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</si>
  <si>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</si>
  <si>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</si>
  <si>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</si>
  <si>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</si>
  <si>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</si>
  <si>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</si>
  <si>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</si>
  <si>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</si>
  <si>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</si>
  <si>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</si>
  <si>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</si>
  <si>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</si>
  <si>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</si>
  <si>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</si>
  <si>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</si>
  <si>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</si>
  <si>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</si>
  <si>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</si>
  <si>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</si>
  <si>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</si>
  <si>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</si>
  <si>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</si>
  <si>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</si>
  <si>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</si>
  <si>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</si>
  <si>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</si>
  <si>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</si>
  <si>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</si>
  <si>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</si>
  <si>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</si>
  <si>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</si>
  <si>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</si>
  <si>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</si>
  <si>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</si>
  <si>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</si>
  <si>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</si>
  <si>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</si>
  <si>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</si>
  <si>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</si>
  <si>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</si>
  <si>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</si>
  <si>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</si>
  <si>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</si>
  <si>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</si>
  <si>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</si>
  <si>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</si>
  <si>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</si>
  <si>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</si>
  <si>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</si>
  <si>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</si>
  <si>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</si>
  <si>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</si>
  <si>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</si>
  <si>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</si>
  <si>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</si>
  <si>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</si>
  <si>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</si>
  <si>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</si>
  <si>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</si>
  <si>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</si>
  <si>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</si>
  <si>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</si>
  <si>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</si>
  <si>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</si>
  <si>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</si>
  <si>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</si>
  <si>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</si>
  <si>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</si>
  <si>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</si>
  <si>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</si>
  <si>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</si>
  <si>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</si>
  <si>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</si>
  <si>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</si>
  <si>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</si>
  <si>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</si>
  <si>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</si>
  <si>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</si>
  <si>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</si>
  <si>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</si>
  <si>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</si>
  <si>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</si>
  <si>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</si>
  <si>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</si>
  <si>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</si>
  <si>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</si>
  <si>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</si>
  <si>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</si>
  <si>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</si>
  <si>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</si>
  <si>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</si>
  <si>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</si>
  <si>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</si>
  <si>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</si>
  <si>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</si>
  <si>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</si>
  <si>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</si>
  <si>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</si>
  <si>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</si>
  <si>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</si>
  <si>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</si>
  <si>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</si>
  <si>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</si>
  <si>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</si>
  <si>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</si>
  <si>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</si>
  <si>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</si>
  <si>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</si>
  <si>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</si>
  <si>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</si>
  <si>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</si>
  <si>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</si>
  <si>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</si>
  <si>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</si>
  <si>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</si>
  <si>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</si>
  <si>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</si>
  <si>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</si>
  <si>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</si>
  <si>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</si>
  <si>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</si>
  <si>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</si>
  <si>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</si>
  <si>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</si>
  <si>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</si>
  <si>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</si>
  <si>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</si>
  <si>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</si>
  <si>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</si>
  <si>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</si>
  <si>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</si>
  <si>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</si>
  <si>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</si>
  <si>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</si>
  <si>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</si>
  <si>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</si>
  <si>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</si>
  <si>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</si>
  <si>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</si>
  <si>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</si>
  <si>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</si>
  <si>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</si>
  <si>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</si>
  <si>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</si>
  <si>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</si>
  <si>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</si>
  <si>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</si>
  <si>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</si>
  <si>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</si>
  <si>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</si>
  <si>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</si>
  <si>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</si>
  <si>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</si>
  <si>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</si>
  <si>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</si>
  <si>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</si>
  <si>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</si>
  <si>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</si>
  <si>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</si>
  <si>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</si>
  <si>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</si>
  <si>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</si>
  <si>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</si>
  <si>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</si>
  <si>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</si>
  <si>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</si>
  <si>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</si>
  <si>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</si>
  <si>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</si>
  <si>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</si>
  <si>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</si>
  <si>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</si>
  <si>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</si>
  <si>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</si>
  <si>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</si>
  <si>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</si>
  <si>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</si>
  <si>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</si>
  <si>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</si>
  <si>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</si>
  <si>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</si>
  <si>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</si>
  <si>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</si>
  <si>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</si>
  <si>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</si>
  <si>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</si>
  <si>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</si>
  <si>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</si>
  <si>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</si>
  <si>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</si>
  <si>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</si>
  <si>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</si>
  <si>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</si>
  <si>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</si>
  <si>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</si>
  <si>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</si>
  <si>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</si>
  <si>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</si>
  <si>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</si>
  <si>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</si>
  <si>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</si>
  <si>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</si>
  <si>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</si>
  <si>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</si>
  <si>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</si>
  <si>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</si>
  <si>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</si>
  <si>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</si>
  <si>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</si>
  <si>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</si>
  <si>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</si>
  <si>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</si>
  <si>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</si>
  <si>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</si>
  <si>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</si>
  <si>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</si>
  <si>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</si>
  <si>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</si>
  <si>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</si>
  <si>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</si>
  <si>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</si>
  <si>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</si>
  <si>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</si>
  <si>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</si>
  <si>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</si>
  <si>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</si>
  <si>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</si>
  <si>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</si>
  <si>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</si>
  <si>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</si>
  <si>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</si>
  <si>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</si>
  <si>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</si>
  <si>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</si>
  <si>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</si>
  <si>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</si>
  <si>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</si>
  <si>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</si>
  <si>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</si>
  <si>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</si>
  <si>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</si>
  <si>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</si>
  <si>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</si>
  <si>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</si>
  <si>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</si>
  <si>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</si>
  <si>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</si>
  <si>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</si>
  <si>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</si>
  <si>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</si>
  <si>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</si>
  <si>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</si>
  <si>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</si>
  <si>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</si>
  <si>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</si>
  <si>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</si>
  <si>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</si>
  <si>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</si>
  <si>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</si>
  <si>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</si>
  <si>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</si>
  <si>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</si>
  <si>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</si>
  <si>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</si>
  <si>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</si>
  <si>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</si>
  <si>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</si>
  <si>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</si>
  <si>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</si>
  <si>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</si>
  <si>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</si>
  <si>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</si>
  <si>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</si>
  <si>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</si>
  <si>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</si>
  <si>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</si>
  <si>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</si>
  <si>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</si>
  <si>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</si>
  <si>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</si>
  <si>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</si>
  <si>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</si>
  <si>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</si>
  <si>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</si>
  <si>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</si>
  <si>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</si>
  <si>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</si>
  <si>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</si>
  <si>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</si>
  <si>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</si>
  <si>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</si>
  <si>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</si>
  <si>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</si>
  <si>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</si>
  <si>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</si>
  <si>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</si>
  <si>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</si>
  <si>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</si>
  <si>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</si>
  <si>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</si>
  <si>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</si>
  <si>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</si>
  <si>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</si>
  <si>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</si>
  <si>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</si>
  <si>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</si>
  <si>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</si>
  <si>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</si>
  <si>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</si>
  <si>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</si>
  <si>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</si>
  <si>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</si>
  <si>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</si>
  <si>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</si>
  <si>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</si>
  <si>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</si>
  <si>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</si>
  <si>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</si>
  <si>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</si>
  <si>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</si>
  <si>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</si>
  <si>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</si>
  <si>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</si>
  <si>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</si>
  <si>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</si>
  <si>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</si>
  <si>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</si>
  <si>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</si>
  <si>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</si>
  <si>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</si>
  <si>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</si>
  <si>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</si>
  <si>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</si>
  <si>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</si>
  <si>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</si>
  <si>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</si>
  <si>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</si>
  <si>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</si>
  <si>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</si>
  <si>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</si>
  <si>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</si>
  <si>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</si>
  <si>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</si>
  <si>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</si>
  <si>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</si>
  <si>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</si>
  <si>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</si>
  <si>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</si>
  <si>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</si>
  <si>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</si>
  <si>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</si>
  <si>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</si>
  <si>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</si>
  <si>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</si>
  <si>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</si>
  <si>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</si>
  <si>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</si>
  <si>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</si>
  <si>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</si>
  <si>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</si>
  <si>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</si>
  <si>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</si>
  <si>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</si>
  <si>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</si>
  <si>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</si>
  <si>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</si>
  <si>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</si>
  <si>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</si>
  <si>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</si>
  <si>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</si>
  <si>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</si>
  <si>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</si>
  <si>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</si>
  <si>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</si>
  <si>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</si>
  <si>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</si>
  <si>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</si>
  <si>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</si>
  <si>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</si>
  <si>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</si>
  <si>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</si>
  <si>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</si>
  <si>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</si>
  <si>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</si>
  <si>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</si>
  <si>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</si>
  <si>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</si>
  <si>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</si>
  <si>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</si>
  <si>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</si>
  <si>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</si>
  <si>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</si>
  <si>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</si>
  <si>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</si>
  <si>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</si>
  <si>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</si>
  <si>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</si>
  <si>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</si>
  <si>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</si>
  <si>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</si>
  <si>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</si>
  <si>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</si>
  <si>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</si>
  <si>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</si>
  <si>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</si>
  <si>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</si>
  <si>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</si>
  <si>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</si>
  <si>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</si>
  <si>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</si>
  <si>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</si>
  <si>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</si>
  <si>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</si>
  <si>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</si>
  <si>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</si>
  <si>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</si>
  <si>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</si>
  <si>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</si>
  <si>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</si>
  <si>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</si>
  <si>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</si>
  <si>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</si>
  <si>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</si>
  <si>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</si>
  <si>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</si>
  <si>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</si>
  <si>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</si>
  <si>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</si>
  <si>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</si>
  <si>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</si>
  <si>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</si>
  <si>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</si>
  <si>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</si>
  <si>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</si>
  <si>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</si>
  <si>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</si>
  <si>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</si>
  <si>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</si>
  <si>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</si>
  <si>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</si>
  <si>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</si>
  <si>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</si>
  <si>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</si>
  <si>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</si>
  <si>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</si>
  <si>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</si>
  <si>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</si>
  <si>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</si>
  <si>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</si>
  <si>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</si>
  <si>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</si>
  <si>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</si>
  <si>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</si>
  <si>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</si>
  <si>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</si>
  <si>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</si>
  <si>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</si>
  <si>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</si>
  <si>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</si>
  <si>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</si>
  <si>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</si>
  <si>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</si>
  <si>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</si>
  <si>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</si>
  <si>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</si>
  <si>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</si>
  <si>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</si>
  <si>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</si>
  <si>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</si>
  <si>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</si>
  <si>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</si>
  <si>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</si>
  <si>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</si>
  <si>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</si>
  <si>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</si>
  <si>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</si>
  <si>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</si>
  <si>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</si>
  <si>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</si>
  <si>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</si>
  <si>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</si>
  <si>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</si>
  <si>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</si>
  <si>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</si>
  <si>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</si>
  <si>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</si>
  <si>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</si>
  <si>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</si>
  <si>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</si>
  <si>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</si>
  <si>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</si>
  <si>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</si>
  <si>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</si>
  <si>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</si>
  <si>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</si>
  <si>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</si>
  <si>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</si>
  <si>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</si>
  <si>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</si>
  <si>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</si>
  <si>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</si>
  <si>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</si>
  <si>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</si>
  <si>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</si>
  <si>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</si>
  <si>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</si>
  <si>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</si>
  <si>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</si>
  <si>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</si>
  <si>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</si>
  <si>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</si>
  <si>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</si>
  <si>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</si>
  <si>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</si>
  <si>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</si>
  <si>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</si>
  <si>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</si>
  <si>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</si>
  <si>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</si>
  <si>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</si>
  <si>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</si>
  <si>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</si>
  <si>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</si>
  <si>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</si>
  <si>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</si>
  <si>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</si>
  <si>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</si>
  <si>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</si>
  <si>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</si>
  <si>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</si>
  <si>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</si>
  <si>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</si>
  <si>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</si>
  <si>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</si>
  <si>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</si>
  <si>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</si>
  <si>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</si>
  <si>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</si>
  <si>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</si>
  <si>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</si>
  <si>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</si>
  <si>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</si>
  <si>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</si>
  <si>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</si>
  <si>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</si>
  <si>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</si>
  <si>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</si>
  <si>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</si>
  <si>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</si>
  <si>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</si>
  <si>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</si>
  <si>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</si>
  <si>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</si>
  <si>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</si>
  <si>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</si>
  <si>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</si>
  <si>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</si>
  <si>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</si>
  <si>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</si>
  <si>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</si>
  <si>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</si>
  <si>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</si>
  <si>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</si>
  <si>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</si>
  <si>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</si>
  <si>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</si>
  <si>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</si>
  <si>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</si>
  <si>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</si>
  <si>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</si>
  <si>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</si>
  <si>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</si>
  <si>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</si>
  <si>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</si>
  <si>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</si>
  <si>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</si>
  <si>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</si>
  <si>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</si>
  <si>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</si>
  <si>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</si>
  <si>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</si>
  <si>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</si>
  <si>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</si>
  <si>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</si>
  <si>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</si>
  <si>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</si>
  <si>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</si>
  <si>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</si>
  <si>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</si>
  <si>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</si>
  <si>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</si>
  <si>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</si>
  <si>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</si>
  <si>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</si>
  <si>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</si>
  <si>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</si>
  <si>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</si>
  <si>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</si>
  <si>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</si>
  <si>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</si>
  <si>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</si>
  <si>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</si>
  <si>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</si>
  <si>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</si>
  <si>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</si>
  <si>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</si>
  <si>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</si>
  <si>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</si>
  <si>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</si>
  <si>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</si>
  <si>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</si>
  <si>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</si>
  <si>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</si>
  <si>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</si>
  <si>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</si>
  <si>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</si>
  <si>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</si>
  <si>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</si>
  <si>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</si>
  <si>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</si>
  <si>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</si>
  <si>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</si>
  <si>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</si>
  <si>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</si>
  <si>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</si>
  <si>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</si>
  <si>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</si>
  <si>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</si>
  <si>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</si>
  <si>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</si>
  <si>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</si>
  <si>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</si>
  <si>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</si>
  <si>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</si>
  <si>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</si>
  <si>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</si>
  <si>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</si>
  <si>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</si>
  <si>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</si>
  <si>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</si>
  <si>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</si>
  <si>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</si>
  <si>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</si>
  <si>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</si>
  <si>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</si>
  <si>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</si>
  <si>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</si>
  <si>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</si>
  <si>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</si>
  <si>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</si>
  <si>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</si>
  <si>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</si>
  <si>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</si>
  <si>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</si>
  <si>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</si>
  <si>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</si>
  <si>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</si>
  <si>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</si>
  <si>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</si>
  <si>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</si>
  <si>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</si>
  <si>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</si>
  <si>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</si>
  <si>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</si>
  <si>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</si>
  <si>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</si>
  <si>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</si>
  <si>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</si>
  <si>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</si>
  <si>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</si>
  <si>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</si>
  <si>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</si>
  <si>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</si>
  <si>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</si>
  <si>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</si>
  <si>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</si>
  <si>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</si>
  <si>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</si>
  <si>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</si>
  <si>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</si>
  <si>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</si>
  <si>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</si>
  <si>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</si>
  <si>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</si>
  <si>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</si>
  <si>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</si>
  <si>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</si>
  <si>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</si>
  <si>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</si>
  <si>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</si>
  <si>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</si>
  <si>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</si>
  <si>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</si>
  <si>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</si>
  <si>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</si>
  <si>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</si>
  <si>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</si>
  <si>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</si>
  <si>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</si>
  <si>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</si>
  <si>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</si>
  <si>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</si>
  <si>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</si>
  <si>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</si>
  <si>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</si>
  <si>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</si>
  <si>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</si>
  <si>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</si>
  <si>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</si>
  <si>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</si>
  <si>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</si>
  <si>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</si>
  <si>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</si>
  <si>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</si>
  <si>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</si>
  <si>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</si>
  <si>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</si>
  <si>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</si>
  <si>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</si>
  <si>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</si>
  <si>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</si>
  <si>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</si>
  <si>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</si>
  <si>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</si>
  <si>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</si>
  <si>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</si>
  <si>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</si>
  <si>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</si>
  <si>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</si>
  <si>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</si>
  <si>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</si>
  <si>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</si>
  <si>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</si>
  <si>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</si>
  <si>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</si>
  <si>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</si>
  <si>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</si>
  <si>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</si>
  <si>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</si>
  <si>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</si>
  <si>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</si>
  <si>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</si>
  <si>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</si>
  <si>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</si>
  <si>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</si>
  <si>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</si>
  <si>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</si>
  <si>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</si>
  <si>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</si>
  <si>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</si>
  <si>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</si>
  <si>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</si>
  <si>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</si>
  <si>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</si>
  <si>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</si>
  <si>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</si>
  <si>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</si>
  <si>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</si>
  <si>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</si>
  <si>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</si>
  <si>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</si>
  <si>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</si>
  <si>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</si>
  <si>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</si>
  <si>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</si>
  <si>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</si>
  <si>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</si>
  <si>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</si>
  <si>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</si>
  <si>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</si>
  <si>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</si>
  <si>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</si>
  <si>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</si>
  <si>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</si>
  <si>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</si>
  <si>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</si>
  <si>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</si>
  <si>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</si>
  <si>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</si>
  <si>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</si>
  <si>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</si>
  <si>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</si>
  <si>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</si>
  <si>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</si>
  <si>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</si>
  <si>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</si>
  <si>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</si>
  <si>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</si>
  <si>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</si>
  <si>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</si>
  <si>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</si>
  <si>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</si>
  <si>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</si>
  <si>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</si>
  <si>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</si>
  <si>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</si>
  <si>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</si>
  <si>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</si>
  <si>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</si>
  <si>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</si>
  <si>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</si>
  <si>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</si>
  <si>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</si>
  <si>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</si>
  <si>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</si>
  <si>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</si>
  <si>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</si>
  <si>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</si>
  <si>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</si>
  <si>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</si>
  <si>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</si>
  <si>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</si>
  <si>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</si>
  <si>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</si>
  <si>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</si>
  <si>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</si>
  <si>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</si>
  <si>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</si>
  <si>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</si>
  <si>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</si>
  <si>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</si>
  <si>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</si>
  <si>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</si>
  <si>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</si>
  <si>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</si>
  <si>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</si>
  <si>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</si>
  <si>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</si>
  <si>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</si>
  <si>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</si>
  <si>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</si>
  <si>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</si>
  <si>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</si>
  <si>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</si>
  <si>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</si>
  <si>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</si>
  <si>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</si>
  <si>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</si>
  <si>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</si>
  <si>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</si>
  <si>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</si>
  <si>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</si>
  <si>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</si>
  <si>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</si>
  <si>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</si>
  <si>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</si>
  <si>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</si>
  <si>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</si>
  <si>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</si>
  <si>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</si>
  <si>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</si>
  <si>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</si>
  <si>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</si>
  <si>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</si>
  <si>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</si>
  <si>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</si>
  <si>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</si>
  <si>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</si>
  <si>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</si>
  <si>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</si>
  <si>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</si>
  <si>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</si>
  <si>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</si>
  <si>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</si>
  <si>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</si>
  <si>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</si>
  <si>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</si>
  <si>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</si>
  <si>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</si>
  <si>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</si>
  <si>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</si>
  <si>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</si>
  <si>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</si>
  <si>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</si>
  <si>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</si>
  <si>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</si>
  <si>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</si>
  <si>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</si>
  <si>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</si>
  <si>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</si>
  <si>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</si>
  <si>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</si>
  <si>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</si>
  <si>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</si>
  <si>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</si>
  <si>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</si>
  <si>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</si>
  <si>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</si>
  <si>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</si>
  <si>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</si>
  <si>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</si>
  <si>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</si>
  <si>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</si>
  <si>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</si>
  <si>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</si>
  <si>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</si>
  <si>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</si>
  <si>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</si>
  <si>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</si>
  <si>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</si>
  <si>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</si>
  <si>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</si>
  <si>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</si>
  <si>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</si>
  <si>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</si>
  <si>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</si>
  <si>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</si>
  <si>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</si>
  <si>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</si>
  <si>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</si>
  <si>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</si>
  <si>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</si>
  <si>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</si>
  <si>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</si>
  <si>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</si>
  <si>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</si>
  <si>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</si>
  <si>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</si>
  <si>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</si>
  <si>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</si>
  <si>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</si>
  <si>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</si>
  <si>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</si>
  <si>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</si>
  <si>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</si>
  <si>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</si>
  <si>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</si>
  <si>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</si>
  <si>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</si>
  <si>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</si>
  <si>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</si>
  <si>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</si>
  <si>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</si>
  <si>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</si>
  <si>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</si>
  <si>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</si>
  <si>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</si>
  <si>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</si>
  <si>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</si>
  <si>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</si>
  <si>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</si>
  <si>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</si>
  <si>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</si>
  <si>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</si>
  <si>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</si>
  <si>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</si>
  <si>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</si>
  <si>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</si>
  <si>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</si>
  <si>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</si>
  <si>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</si>
  <si>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</si>
  <si>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</si>
  <si>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</si>
  <si>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</si>
  <si>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</si>
  <si>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</si>
  <si>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</si>
  <si>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</si>
  <si>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</si>
  <si>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</si>
  <si>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</si>
  <si>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</si>
  <si>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</si>
  <si>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</si>
  <si>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</si>
  <si>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</si>
  <si>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</si>
  <si>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</si>
  <si>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</si>
  <si>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</si>
  <si>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</si>
  <si>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</si>
  <si>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</si>
  <si>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</si>
  <si>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</si>
  <si>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</si>
  <si>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</si>
  <si>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</si>
  <si>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</si>
  <si>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</si>
  <si>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</si>
  <si>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</si>
  <si>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</si>
  <si>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</si>
  <si>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</si>
  <si>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</si>
  <si>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</si>
  <si>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</si>
  <si>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</si>
  <si>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</si>
  <si>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</si>
  <si>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</si>
  <si>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</si>
  <si>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</si>
  <si>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</si>
  <si>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</si>
  <si>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</si>
  <si>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</si>
  <si>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</si>
  <si>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</si>
  <si>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</si>
  <si>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</si>
  <si>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</si>
  <si>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</si>
  <si>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</si>
  <si>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</si>
  <si>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</si>
  <si>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</si>
  <si>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</si>
  <si>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</si>
  <si>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</si>
  <si>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</si>
  <si>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</si>
  <si>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</si>
  <si>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</si>
  <si>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</si>
  <si>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</si>
  <si>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</si>
  <si>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</si>
  <si>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</si>
  <si>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</si>
  <si>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</si>
  <si>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</si>
  <si>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</si>
  <si>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</si>
  <si>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</si>
  <si>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</si>
  <si>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</si>
  <si>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</si>
  <si>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</si>
  <si>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</si>
  <si>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</si>
  <si>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</si>
  <si>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</si>
  <si>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</si>
  <si>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</si>
  <si>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</si>
  <si>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</si>
  <si>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</si>
  <si>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</si>
  <si>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</si>
  <si>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</si>
  <si>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</si>
  <si>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</si>
  <si>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</si>
  <si>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</si>
  <si>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</si>
  <si>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</si>
  <si>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</si>
  <si>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</si>
  <si>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</si>
  <si>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</si>
  <si>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</si>
  <si>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</si>
  <si>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</si>
  <si>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</si>
  <si>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</si>
  <si>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</si>
  <si>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</si>
  <si>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</si>
  <si>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</si>
  <si>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</si>
  <si>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</si>
  <si>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</si>
  <si>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</si>
  <si>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</si>
  <si>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</si>
  <si>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</si>
  <si>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</si>
  <si>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</si>
  <si>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</si>
  <si>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</si>
  <si>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</si>
  <si>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</si>
  <si>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</si>
  <si>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</si>
  <si>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</si>
  <si>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</si>
  <si>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</si>
  <si>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</si>
  <si>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</si>
  <si>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</si>
  <si>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</si>
  <si>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</si>
  <si>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</si>
  <si>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</si>
  <si>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</si>
  <si>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</si>
  <si>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</si>
  <si>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</si>
  <si>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</si>
  <si>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</si>
  <si>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</si>
  <si>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</si>
  <si>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</si>
  <si>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</si>
  <si>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</si>
  <si>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</si>
  <si>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</si>
  <si>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</si>
  <si>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</si>
  <si>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</si>
  <si>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</si>
  <si>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</si>
  <si>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</si>
  <si>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</si>
  <si>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</si>
  <si>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</si>
  <si>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</si>
  <si>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</si>
  <si>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</si>
  <si>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</si>
  <si>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</si>
  <si>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</si>
  <si>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</si>
  <si>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</si>
  <si>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</si>
  <si>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</si>
  <si>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</si>
  <si>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</si>
  <si>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</si>
  <si>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</si>
  <si>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</si>
  <si>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</si>
  <si>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</si>
  <si>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</si>
  <si>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</si>
  <si>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</si>
  <si>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</si>
  <si>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</si>
  <si>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</si>
  <si>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</si>
  <si>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</si>
  <si>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</si>
  <si>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</si>
  <si>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</si>
  <si>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</si>
  <si>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</si>
  <si>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</si>
  <si>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</si>
  <si>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</si>
  <si>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</si>
  <si>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</si>
  <si>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</si>
  <si>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</si>
  <si>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</si>
  <si>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</si>
  <si>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</si>
  <si>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</si>
  <si>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</si>
  <si>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</si>
  <si>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</si>
  <si>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</si>
  <si>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</si>
  <si>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</si>
  <si>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</si>
  <si>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</si>
  <si>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</si>
  <si>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</si>
  <si>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</si>
  <si>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</si>
  <si>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</si>
  <si>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</si>
  <si>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</si>
  <si>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</si>
  <si>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</si>
  <si>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</si>
  <si>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</si>
  <si>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</si>
  <si>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</si>
  <si>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</si>
  <si>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</si>
  <si>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</si>
  <si>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</si>
  <si>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</si>
  <si>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</si>
  <si>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</si>
  <si>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</si>
  <si>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</si>
  <si>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</si>
  <si>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</si>
  <si>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</si>
  <si>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</si>
  <si>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</si>
  <si>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</si>
  <si>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</si>
  <si>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</si>
  <si>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</si>
  <si>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</si>
  <si>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</si>
  <si>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</si>
  <si>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</si>
  <si>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</si>
  <si>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</si>
  <si>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</si>
  <si>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</si>
  <si>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</si>
  <si>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</si>
  <si>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</si>
  <si>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</si>
  <si>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</si>
  <si>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</si>
  <si>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</si>
  <si>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</si>
  <si>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</si>
  <si>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</si>
  <si>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</si>
  <si>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</si>
  <si>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</si>
  <si>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</si>
  <si>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</si>
  <si>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</si>
  <si>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</si>
  <si>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</si>
  <si>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</si>
  <si>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</si>
  <si>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</si>
  <si>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</si>
  <si>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</si>
  <si>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</si>
  <si>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</si>
  <si>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</si>
  <si>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</si>
  <si>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</si>
  <si>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</si>
  <si>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</si>
  <si>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</si>
  <si>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</si>
  <si>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</si>
  <si>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</si>
  <si>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</si>
  <si>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</si>
  <si>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</si>
  <si>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</si>
  <si>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</si>
  <si>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</si>
  <si>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</si>
  <si>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</si>
  <si>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</si>
  <si>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</si>
  <si>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</si>
  <si>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</si>
  <si>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</si>
  <si>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</si>
  <si>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</si>
  <si>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</si>
  <si>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</si>
  <si>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</si>
  <si>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</si>
  <si>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</si>
  <si>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</si>
  <si>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</si>
  <si>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</si>
  <si>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</si>
  <si>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</si>
  <si>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</si>
  <si>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</si>
  <si>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</si>
  <si>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</si>
  <si>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</si>
  <si>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</si>
  <si>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</si>
  <si>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</si>
  <si>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</si>
  <si>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</si>
  <si>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</si>
  <si>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</si>
  <si>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</si>
  <si>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</si>
  <si>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</si>
  <si>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</si>
  <si>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</si>
  <si>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</si>
  <si>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</si>
  <si>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</si>
  <si>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</si>
  <si>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</si>
  <si>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</si>
  <si>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</si>
  <si>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</si>
  <si>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</si>
  <si>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</si>
  <si>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</si>
  <si>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</si>
  <si>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</si>
  <si>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</si>
  <si>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</si>
  <si>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</si>
  <si>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</si>
  <si>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</si>
  <si>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</si>
  <si>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</si>
  <si>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</si>
  <si>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</si>
  <si>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</si>
  <si>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</si>
  <si>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</si>
  <si>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</si>
  <si>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</si>
  <si>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</si>
  <si>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</si>
  <si>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</si>
  <si>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</si>
  <si>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</si>
  <si>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</si>
  <si>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</si>
  <si>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</si>
  <si>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</si>
  <si>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</si>
  <si>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</si>
  <si>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</si>
  <si>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</si>
  <si>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</si>
  <si>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</si>
  <si>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</si>
  <si>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</si>
  <si>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</si>
  <si>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</si>
  <si>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</si>
  <si>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</si>
  <si>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</si>
  <si>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</si>
  <si>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</si>
  <si>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</si>
  <si>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</si>
  <si>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</si>
  <si>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</si>
  <si>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</si>
  <si>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</si>
  <si>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</si>
  <si>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</si>
  <si>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</si>
  <si>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</si>
  <si>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</si>
  <si>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</si>
  <si>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</si>
  <si>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</si>
  <si>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</si>
  <si>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</si>
  <si>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</si>
  <si>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</si>
  <si>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</si>
  <si>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</si>
  <si>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</si>
  <si>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</si>
  <si>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</si>
  <si>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</si>
  <si>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</si>
  <si>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</si>
  <si>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</si>
  <si>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</si>
  <si>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</si>
  <si>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</si>
  <si>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</si>
  <si>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</si>
  <si>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</si>
  <si>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</si>
  <si>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</si>
  <si>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</si>
  <si>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</si>
  <si>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</si>
  <si>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</si>
  <si>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</si>
  <si>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</si>
  <si>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</si>
  <si>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</si>
  <si>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</si>
  <si>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</si>
  <si>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</si>
  <si>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</si>
  <si>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</si>
  <si>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</si>
  <si>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</si>
  <si>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</si>
  <si>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</si>
  <si>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</si>
  <si>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</si>
  <si>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</si>
  <si>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</si>
  <si>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</si>
  <si>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</si>
  <si>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</si>
  <si>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</si>
  <si>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</si>
  <si>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</si>
  <si>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</si>
  <si>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</si>
  <si>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</si>
  <si>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</si>
  <si>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</si>
  <si>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</si>
  <si>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</si>
  <si>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</si>
  <si>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</si>
  <si>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</si>
  <si>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</si>
  <si>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</si>
  <si>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</si>
  <si>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</si>
  <si>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</si>
  <si>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</si>
  <si>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</si>
  <si>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</si>
  <si>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</si>
  <si>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</si>
  <si>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</si>
  <si>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</si>
  <si>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</si>
  <si>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</si>
  <si>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</si>
  <si>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</si>
  <si>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</si>
  <si>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</si>
  <si>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</si>
  <si>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</si>
  <si>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</si>
  <si>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</si>
  <si>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</si>
  <si>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</si>
  <si>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</si>
  <si>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</si>
  <si>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</si>
  <si>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</si>
  <si>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</si>
  <si>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</si>
  <si>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</si>
  <si>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</si>
  <si>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</si>
  <si>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</si>
  <si>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</si>
  <si>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</si>
  <si>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</si>
  <si>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</si>
  <si>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</si>
  <si>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</si>
  <si>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</si>
  <si>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</si>
  <si>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</si>
  <si>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</si>
  <si>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</si>
  <si>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</si>
  <si>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</si>
  <si>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</si>
  <si>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</si>
  <si>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</si>
  <si>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</si>
  <si>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</si>
  <si>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</si>
  <si>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</si>
  <si>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</si>
  <si>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</si>
  <si>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</si>
  <si>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</si>
  <si>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</si>
  <si>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</si>
  <si>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</si>
  <si>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</si>
  <si>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</si>
  <si>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</si>
  <si>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</si>
  <si>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</si>
  <si>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</si>
  <si>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</si>
  <si>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</si>
  <si>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</si>
  <si>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</si>
  <si>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</si>
  <si>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</si>
  <si>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</si>
  <si>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</si>
  <si>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</si>
  <si>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</si>
  <si>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</si>
  <si>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</si>
  <si>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</si>
  <si>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</si>
  <si>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</si>
  <si>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</si>
  <si>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</si>
  <si>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</si>
  <si>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</si>
  <si>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</si>
  <si>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</si>
  <si>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</si>
  <si>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</si>
  <si>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</si>
  <si>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</si>
  <si>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</si>
  <si>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</si>
  <si>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</si>
  <si>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</si>
  <si>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</si>
  <si>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</si>
  <si>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</si>
  <si>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</si>
  <si>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</si>
  <si>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</si>
  <si>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</si>
  <si>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</si>
  <si>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</si>
  <si>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</si>
  <si>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</si>
  <si>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</si>
  <si>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</si>
  <si>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</si>
  <si>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</si>
  <si>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</si>
  <si>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</si>
  <si>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</si>
  <si>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</si>
  <si>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</si>
  <si>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</si>
  <si>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</si>
  <si>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</si>
  <si>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</si>
  <si>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</si>
  <si>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</si>
  <si>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</si>
  <si>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</si>
  <si>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</si>
  <si>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</si>
  <si>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</si>
  <si>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</si>
  <si>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</si>
  <si>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</si>
  <si>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</si>
  <si>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</si>
  <si>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</si>
  <si>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</si>
  <si>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</si>
  <si>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</si>
  <si>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</si>
  <si>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</si>
  <si>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</si>
  <si>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</si>
  <si>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</si>
  <si>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</si>
  <si>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</si>
  <si>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</si>
  <si>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</si>
  <si>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</si>
  <si>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</si>
  <si>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</si>
  <si>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</si>
  <si>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</si>
  <si>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</si>
  <si>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</si>
  <si>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</si>
  <si>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</si>
  <si>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</si>
  <si>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</si>
  <si>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</si>
  <si>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</si>
  <si>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</si>
  <si>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</si>
  <si>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</si>
  <si>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</si>
  <si>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</si>
  <si>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</si>
  <si>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</si>
  <si>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</si>
  <si>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</si>
  <si>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</si>
  <si>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</si>
  <si>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</si>
  <si>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</si>
  <si>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</si>
  <si>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</si>
  <si>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</si>
  <si>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</si>
  <si>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</si>
  <si>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</si>
  <si>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</si>
  <si>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</si>
  <si>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</si>
  <si>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</si>
  <si>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</si>
  <si>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</si>
  <si>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</si>
  <si>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</si>
  <si>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</si>
  <si>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</si>
  <si>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</si>
  <si>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</si>
  <si>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</si>
  <si>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</si>
  <si>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</si>
  <si>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</si>
  <si>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</si>
  <si>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</si>
  <si>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</si>
  <si>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</si>
  <si>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</si>
  <si>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</si>
  <si>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</si>
  <si>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</si>
  <si>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</si>
  <si>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</si>
  <si>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</si>
  <si>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</si>
  <si>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</si>
  <si>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</si>
  <si>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</si>
  <si>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</si>
  <si>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</si>
  <si>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</si>
  <si>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</si>
  <si>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</si>
  <si>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</si>
  <si>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</si>
  <si>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</si>
  <si>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</si>
  <si>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</si>
  <si>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</si>
  <si>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</si>
  <si>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</si>
  <si>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</si>
  <si>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</si>
  <si>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</si>
  <si>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</si>
  <si>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</si>
  <si>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</si>
  <si>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</si>
  <si>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</si>
  <si>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</si>
  <si>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</si>
  <si>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</si>
  <si>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</si>
  <si>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</si>
  <si>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</si>
  <si>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</si>
  <si>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</si>
  <si>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</si>
  <si>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</si>
  <si>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</si>
  <si>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</si>
  <si>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</si>
  <si>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</si>
  <si>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</si>
  <si>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</si>
  <si>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</si>
  <si>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</si>
  <si>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</si>
  <si>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</si>
  <si>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</si>
  <si>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</si>
  <si>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</si>
  <si>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</si>
  <si>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</si>
  <si>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</si>
  <si>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</si>
  <si>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</si>
  <si>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</si>
  <si>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</si>
  <si>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</si>
  <si>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</si>
  <si>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</si>
  <si>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</si>
  <si>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</si>
  <si>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</si>
  <si>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</si>
  <si>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</si>
  <si>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</si>
  <si>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</si>
  <si>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</si>
  <si>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</si>
  <si>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</si>
  <si>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</si>
  <si>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</si>
  <si>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</si>
  <si>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</si>
  <si>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</si>
  <si>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</si>
  <si>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</si>
  <si>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</si>
  <si>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</si>
  <si>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</si>
  <si>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</si>
  <si>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</si>
  <si>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</si>
  <si>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</si>
  <si>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</si>
  <si>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</si>
  <si>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</si>
  <si>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</si>
  <si>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</si>
  <si>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</si>
  <si>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</si>
  <si>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</si>
  <si>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</si>
  <si>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</si>
  <si>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</si>
  <si>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</si>
  <si>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</si>
  <si>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</si>
  <si>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</si>
  <si>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</si>
  <si>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</si>
  <si>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</si>
  <si>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</si>
  <si>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</si>
  <si>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</si>
  <si>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</si>
  <si>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</si>
  <si>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</si>
  <si>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</si>
  <si>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</si>
  <si>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</si>
  <si>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</si>
  <si>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</si>
  <si>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</si>
  <si>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</si>
  <si>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</si>
  <si>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</si>
  <si>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</si>
  <si>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</si>
  <si>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</si>
  <si>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</si>
  <si>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</si>
  <si>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</si>
  <si>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</si>
  <si>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</si>
  <si>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</si>
  <si>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</si>
  <si>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</si>
  <si>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</si>
  <si>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</si>
  <si>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</si>
  <si>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</si>
  <si>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</si>
  <si>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</si>
  <si>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</si>
  <si>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</si>
  <si>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</si>
  <si>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</si>
  <si>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</si>
  <si>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</si>
  <si>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</si>
  <si>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</si>
  <si>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</si>
  <si>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</si>
  <si>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</si>
  <si>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</si>
  <si>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</si>
  <si>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</si>
  <si>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</si>
  <si>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</si>
  <si>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</si>
  <si>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</si>
  <si>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</si>
  <si>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</si>
  <si>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</si>
  <si>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</si>
  <si>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</si>
  <si>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</si>
  <si>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</si>
  <si>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</si>
  <si>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</si>
  <si>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</si>
  <si>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</si>
  <si>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</si>
  <si>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</si>
  <si>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</si>
  <si>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</si>
  <si>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</si>
  <si>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</si>
  <si>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</si>
  <si>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</si>
  <si>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</si>
  <si>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</si>
  <si>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</si>
  <si>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</si>
  <si>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</si>
  <si>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</si>
  <si>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</si>
  <si>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</si>
  <si>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</si>
  <si>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</si>
  <si>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</si>
  <si>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</si>
  <si>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</si>
  <si>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</si>
  <si>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</si>
  <si>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</si>
  <si>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</si>
  <si>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</si>
  <si>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</si>
  <si>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</si>
  <si>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</si>
  <si>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</si>
  <si>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</si>
  <si>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</si>
  <si>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</si>
  <si>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</si>
  <si>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</si>
  <si>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</si>
  <si>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</si>
  <si>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</si>
  <si>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</si>
  <si>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FRONHA 2 ABAS 5cm - 230F MISTO - CLASSIC - 0,50 X 0,70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</si>
  <si>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</si>
  <si>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</si>
  <si>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</si>
  <si>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</si>
  <si>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</si>
  <si>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</si>
  <si>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</si>
  <si>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</si>
  <si>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</si>
  <si>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</si>
  <si>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</si>
  <si>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</si>
  <si>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</si>
  <si>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</si>
  <si>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</si>
  <si>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</si>
  <si>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</si>
  <si>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</si>
  <si>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</si>
  <si>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</si>
  <si>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</si>
  <si>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</si>
  <si>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</si>
  <si>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</si>
  <si>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</si>
  <si>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</si>
  <si>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2202019552</t>
  </si>
  <si>
    <t>TOALHA MESA 100% LINHO BRANCO COSTURA SIMPLES 2,50 DIAMETRO</t>
  </si>
  <si>
    <t>2202019543</t>
  </si>
  <si>
    <t>TOALHA MESA 100% LINHO BRANCO PONTO AJOUR 2,50 DIAMETRO</t>
  </si>
  <si>
    <t>2202018578</t>
  </si>
  <si>
    <t>TOALHA MESA 100% LINHO BRANCO PONTO AJOUR 2,20 DIAMETRO</t>
  </si>
  <si>
    <t>2203029546</t>
  </si>
  <si>
    <t>COBRE MANCHA 100% LINHO BRANCO ACAB PONTO AJOUR 2,20 DIAMETRO</t>
  </si>
  <si>
    <t>2202018577</t>
  </si>
  <si>
    <t>TOALHA MESA 100% LINHO BRANCO COSTURA SIMPLES 2,20 DIAMETRO</t>
  </si>
  <si>
    <t>2203029554</t>
  </si>
  <si>
    <t>COBRE MANCHA 100% LINHO BRANCO COSTURA SIMPLES 2,20 DIAMETRO</t>
  </si>
  <si>
    <t>2203029553</t>
  </si>
  <si>
    <t>COBRE MANCHA 100% LINHO BRANCO COSTURA SIMPLES 1,70 DIAMETRO</t>
  </si>
  <si>
    <t>2203029545</t>
  </si>
  <si>
    <t>COBRE MANCHA 100% LINHO BRANCO PONTO AJOUR 1,70 DIAMETRO</t>
  </si>
  <si>
    <t>2203029547</t>
  </si>
  <si>
    <t>COBRE MANCHA 100% LINHO BRANCO PONTO AJOUR 1,70 X 1,10</t>
  </si>
  <si>
    <t>2203029556</t>
  </si>
  <si>
    <t>COBRE MANCHA 100% LINHO BRANCO COSTURA SIMPLES 1,10 X 1,10</t>
  </si>
  <si>
    <t>2203029548</t>
  </si>
  <si>
    <t>COBRE MANCHA 100% LINHO BRANCO PONTO AJOUR 1,10 X1,10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</si>
  <si>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</si>
  <si>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</si>
  <si>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</si>
  <si>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</si>
  <si>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</si>
  <si>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</si>
  <si>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</si>
  <si>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</si>
  <si>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</si>
  <si>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</si>
  <si>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</si>
  <si>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</si>
  <si>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</si>
  <si>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</si>
  <si>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</si>
  <si>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</si>
  <si>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</si>
  <si>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</si>
  <si>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</si>
  <si>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</si>
  <si>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</si>
  <si>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</si>
  <si>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</si>
  <si>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</si>
  <si>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</si>
  <si>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</si>
  <si>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</si>
  <si>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</si>
  <si>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</si>
  <si>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</si>
  <si>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</si>
  <si>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</si>
  <si>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</si>
  <si>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</si>
  <si>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</si>
  <si>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</si>
  <si>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</si>
  <si>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</si>
  <si>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</si>
  <si>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</si>
  <si>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</si>
  <si>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</si>
  <si>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</si>
  <si>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</si>
  <si>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</si>
  <si>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</si>
  <si>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</si>
  <si>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</si>
  <si>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</si>
  <si>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</si>
  <si>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</si>
  <si>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</si>
  <si>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</si>
  <si>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</si>
  <si>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</si>
  <si>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</si>
  <si>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</si>
  <si>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</si>
  <si>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</si>
  <si>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</si>
  <si>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</si>
  <si>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</si>
  <si>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</si>
  <si>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</si>
  <si>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</si>
  <si>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</si>
  <si>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</si>
  <si>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</si>
  <si>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</si>
  <si>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</si>
  <si>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</si>
  <si>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</si>
  <si>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</si>
  <si>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</si>
  <si>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</si>
  <si>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</si>
  <si>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</si>
  <si>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</si>
  <si>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</si>
  <si>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</si>
  <si>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</si>
  <si>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</si>
  <si>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</si>
  <si>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</si>
  <si>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</si>
  <si>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</si>
  <si>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</si>
  <si>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</si>
  <si>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</si>
  <si>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</si>
  <si>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</si>
  <si>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</si>
  <si>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</si>
  <si>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</si>
  <si>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</si>
  <si>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</si>
  <si>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</si>
  <si>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</si>
  <si>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</si>
  <si>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</si>
  <si>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</si>
  <si>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</si>
  <si>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</si>
  <si>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</si>
  <si>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</si>
  <si>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</si>
  <si>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</si>
  <si>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</si>
  <si>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</si>
  <si>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</si>
  <si>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</si>
  <si>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</si>
  <si>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</si>
  <si>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</si>
  <si>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</si>
  <si>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</si>
  <si>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</si>
  <si>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</si>
  <si>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</si>
  <si>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</si>
  <si>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</si>
  <si>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</si>
  <si>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</si>
  <si>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</si>
  <si>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</si>
  <si>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</si>
  <si>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</si>
  <si>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</si>
  <si>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</si>
  <si>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</si>
  <si>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</si>
  <si>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</si>
  <si>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</si>
  <si>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</si>
  <si>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</si>
  <si>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</si>
  <si>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</si>
  <si>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</si>
  <si>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</si>
  <si>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</si>
  <si>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</si>
  <si>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</si>
  <si>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</si>
  <si>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</si>
  <si>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</si>
  <si>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</si>
  <si>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</si>
  <si>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</si>
  <si>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</si>
  <si>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</si>
  <si>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</si>
  <si>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</si>
  <si>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</si>
  <si>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</si>
  <si>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</si>
  <si>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</si>
  <si>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</si>
  <si>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</si>
  <si>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</si>
  <si>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</si>
  <si>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</si>
  <si>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</si>
  <si>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</si>
  <si>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</si>
  <si>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</si>
  <si>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</si>
  <si>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</si>
  <si>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</si>
  <si>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</si>
  <si>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</si>
  <si>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</si>
  <si>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</si>
  <si>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</si>
  <si>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</si>
  <si>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</si>
  <si>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</si>
  <si>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</si>
  <si>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</si>
  <si>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</si>
  <si>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</si>
  <si>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</si>
  <si>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</si>
  <si>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</si>
  <si>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</si>
  <si>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</si>
  <si>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</si>
  <si>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</si>
  <si>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</si>
  <si>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</si>
  <si>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</si>
  <si>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</si>
  <si>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</si>
  <si>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</si>
  <si>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</si>
  <si>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</si>
  <si>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</si>
  <si>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</si>
  <si>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</si>
  <si>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</si>
  <si>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</si>
  <si>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</si>
  <si>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</si>
  <si>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</si>
  <si>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</si>
  <si>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</si>
  <si>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</si>
  <si>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</si>
  <si>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</si>
  <si>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</si>
  <si>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</si>
  <si>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</si>
  <si>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</si>
  <si>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</si>
  <si>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</si>
  <si>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</si>
  <si>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</si>
  <si>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</si>
  <si>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</si>
  <si>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</si>
  <si>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</si>
  <si>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</si>
  <si>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</si>
  <si>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</si>
  <si>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</si>
  <si>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</si>
  <si>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</si>
  <si>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</si>
  <si>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</si>
  <si>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</si>
  <si>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</si>
  <si>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</si>
  <si>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</si>
  <si>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</si>
  <si>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</si>
  <si>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</si>
  <si>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</si>
  <si>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</si>
  <si>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</si>
  <si>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</si>
  <si>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</si>
  <si>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</si>
  <si>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</si>
  <si>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</si>
  <si>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</si>
  <si>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</si>
  <si>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</si>
  <si>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</si>
  <si>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</si>
  <si>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</si>
  <si>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</si>
  <si>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</si>
  <si>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</si>
  <si>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</si>
  <si>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</si>
  <si>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92111062460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</si>
  <si>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</si>
  <si>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</si>
  <si>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</si>
  <si>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</si>
  <si>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</si>
  <si>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</si>
  <si>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</si>
  <si>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</si>
  <si>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</si>
  <si>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</si>
  <si>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</si>
  <si>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</si>
  <si>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</si>
  <si>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</si>
  <si>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</si>
  <si>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3301098614</t>
  </si>
  <si>
    <t>ROUPÃO FELPA VELUX BRANCO MODELO KIMONO</t>
  </si>
  <si>
    <t>3301098613</t>
  </si>
  <si>
    <t>3301098612</t>
  </si>
  <si>
    <t>3301098568</t>
  </si>
  <si>
    <t>2101048565</t>
  </si>
  <si>
    <t>LENÇOL BAIXO COM ELÁSTICO - 250F MISTO COM FURO PARA COLOCAR O ROSTO</t>
  </si>
  <si>
    <t>2102188564</t>
  </si>
  <si>
    <t>2105158566</t>
  </si>
  <si>
    <t>FRONHA 4 ABAS 5cm - 250F MISTO - FESTONÊ RIVIERA 7144 E BORDADO 'MASSAGEM' CENTRALIZADO ACIMA DA ABA INFERIOR - 0,30 X 0,40</t>
  </si>
  <si>
    <t>3301075790</t>
  </si>
  <si>
    <t>SERVIÇOS</t>
  </si>
  <si>
    <t>3301078508</t>
  </si>
  <si>
    <t>ROUPÃO PIQUET SERRANO G C/ LOGO</t>
  </si>
  <si>
    <t>2101018582</t>
  </si>
  <si>
    <t>LENÇOL BARRA ESTREITA 4 LADOS C/ LOGO "SPA" 180F MISTO - 1,75 X 2,70</t>
  </si>
  <si>
    <t>3401041976</t>
  </si>
  <si>
    <t>92102156030</t>
  </si>
  <si>
    <t>LENÇOL CIMA - 230F MISTO C/ FESTONÊ " T " COR PERSA 07064 - C/ LINHA DE IDENTIFICAÇÃO COR PRATA - 2,00 X 2,75</t>
  </si>
  <si>
    <t>92102769767</t>
  </si>
  <si>
    <t>LENÇOL CMA - 230F 100% ALGODÃO LISO - BELLAGIO BRANCO - 1,60 X 2,50</t>
  </si>
  <si>
    <t>92101047359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</si>
  <si>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</si>
  <si>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</si>
  <si>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</si>
  <si>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</si>
  <si>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</si>
  <si>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92115105048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</si>
  <si>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</si>
  <si>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</si>
  <si>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</si>
  <si>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</si>
  <si>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</si>
  <si>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</si>
  <si>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</si>
  <si>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</si>
  <si>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</si>
  <si>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</si>
  <si>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</si>
  <si>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</si>
  <si>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</si>
  <si>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</si>
  <si>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</si>
  <si>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</si>
  <si>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</si>
  <si>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2201022431</t>
  </si>
  <si>
    <t>GUARDANAPO LINHO MISTO - 80% ALGODÃO E 20%% LINHO BRANCO - CLASSIC BARRA 2cm - 0,45 X 0,45</t>
  </si>
  <si>
    <t>2201024349</t>
  </si>
  <si>
    <t>GUARDANAPO 100% LINHO BRANCO AJOUR BARRA 2cm - 0,50 X 0,50</t>
  </si>
  <si>
    <t>2201028649</t>
  </si>
  <si>
    <t>2203015182</t>
  </si>
  <si>
    <t>2201056028</t>
  </si>
  <si>
    <t>GUARDANAPO OXFORD 100% POLIESTER BRANCO - BARRA SIMPLES - 0,50 X 0,50</t>
  </si>
  <si>
    <t>2201024352</t>
  </si>
  <si>
    <t>GUARDANAPO TRICOLINE 100% ALGODÃO BRANCO - BARRA SIMPLES - 0,45 X 0,45</t>
  </si>
  <si>
    <t>3201014356</t>
  </si>
  <si>
    <t>JOGO AMERICANO AQUATEC FESTONÊ BRANCO</t>
  </si>
  <si>
    <t>3201014355</t>
  </si>
  <si>
    <t>JOGO AMERICANO ECOTEC FESTONÊ BRANCO</t>
  </si>
  <si>
    <t>2202013799</t>
  </si>
  <si>
    <t>CAPA DE MESA MOLETOM 50% ALGODÃO E 50% POLIESTER C/ ELÁSTICO BRANCO - COSTURA SIMPLES COM ELÁSTICO - 1,00 X 1,00</t>
  </si>
  <si>
    <t>3301098940</t>
  </si>
  <si>
    <t>ROUPÃO VELUX CINZA - M</t>
  </si>
  <si>
    <t>3301093990</t>
  </si>
  <si>
    <t>ROUPÃO PITTI GOLA XALE TAM. M</t>
  </si>
  <si>
    <t>3301083988</t>
  </si>
  <si>
    <t>3301083986</t>
  </si>
  <si>
    <t>ROUPÃO PIQUET DREAM MISTO TAM. M</t>
  </si>
  <si>
    <t>3301078561</t>
  </si>
  <si>
    <t>ROUPÃO PIQUET SERRANO - TAM M.</t>
  </si>
  <si>
    <t>3301073317</t>
  </si>
  <si>
    <t>ROUPÃO PIQUET QUADRAT MISTO - TAM. M - BCO</t>
  </si>
  <si>
    <t>3301072218</t>
  </si>
  <si>
    <t>2105030439</t>
  </si>
  <si>
    <t>210385012</t>
  </si>
  <si>
    <t>FRONHA MODELO ENVELOPE - 180F MISTO PREMIUM - 0,50 X 0,70</t>
  </si>
  <si>
    <t>2103020249</t>
  </si>
  <si>
    <t>FRONHA MODELO ENVELOPE - 200F 100% ALGODÃO - 0,50 X 0,70</t>
  </si>
  <si>
    <t>2101046444</t>
  </si>
  <si>
    <t>FRONHA 2 ABAS 5cm - CLASSIC - STRIPE ESTREITO - 300F MISTO LISTRA HORIZONTAL - CLASSIC - 0,50 X 0,70</t>
  </si>
  <si>
    <t>2101043460</t>
  </si>
  <si>
    <t>FRONHA 2 ABAS - CLASSIC STRIPE - 1cm LARGE - 300F MISTO - 0,50 X 0,70</t>
  </si>
  <si>
    <t>2115013767</t>
  </si>
  <si>
    <t>DUVET ( CAPA ) - 230F MISTO - ACABAMENTO CLASSIC - 2,70 X 2,45</t>
  </si>
  <si>
    <t>2115108588</t>
  </si>
  <si>
    <t>DUVET ( CPA ) - 230F MISTO - CLASSIC - 2,50 X 2,45</t>
  </si>
  <si>
    <t>2101068594</t>
  </si>
  <si>
    <t>LENÇOL DE CIMA PARA MACA - 250F MISTO C/ LOGO - 1,60 X 2,50</t>
  </si>
  <si>
    <t>3301098591</t>
  </si>
  <si>
    <t>ROUPÃO FELPA VELUX BRANCO - GG - COM LOGO</t>
  </si>
  <si>
    <t>3301098590</t>
  </si>
  <si>
    <t>ROUPÃO FELPA VELUX BRANCO - G - COM LOGO</t>
  </si>
  <si>
    <t>3301097869</t>
  </si>
  <si>
    <t>ROUPÃO FELPA VELUX BRANCO - M - COM LOGO</t>
  </si>
  <si>
    <t>3759318593</t>
  </si>
  <si>
    <t>TOALHA DE BANHO FELPA VELUX BRANCO COM LOGO - 0,80 X 1,60</t>
  </si>
  <si>
    <t>3302125536</t>
  </si>
  <si>
    <t>TOALHA DE ROSTO FELPA AVELUDADE BRANCA - 0,48 X 0,90 - COM LOGO</t>
  </si>
  <si>
    <t>3302127895</t>
  </si>
  <si>
    <t>TOALHA PISO SIMPLES FELPA VELUX BRANCO COM LOGO - 0,48 X 0,80</t>
  </si>
  <si>
    <t>3302038592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</si>
  <si>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</si>
  <si>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</si>
  <si>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</si>
  <si>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</si>
  <si>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</si>
  <si>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</si>
  <si>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</si>
  <si>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</si>
  <si>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</si>
  <si>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</si>
  <si>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</si>
  <si>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</si>
  <si>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</si>
  <si>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</si>
  <si>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</si>
  <si>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</si>
  <si>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</si>
  <si>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</si>
  <si>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</si>
  <si>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</si>
  <si>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</si>
  <si>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</si>
  <si>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</si>
  <si>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</si>
  <si>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</si>
  <si>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</si>
  <si>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</si>
  <si>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</si>
  <si>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</si>
  <si>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</si>
  <si>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</si>
  <si>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</si>
  <si>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</si>
  <si>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</si>
  <si>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</si>
  <si>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</si>
  <si>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</si>
  <si>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</si>
  <si>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</si>
  <si>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</si>
  <si>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</si>
  <si>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</si>
  <si>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</si>
  <si>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</si>
  <si>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</si>
  <si>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</si>
  <si>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</si>
  <si>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</si>
  <si>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</si>
  <si>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</si>
  <si>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</si>
  <si>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</si>
  <si>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</si>
  <si>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</si>
  <si>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</si>
  <si>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</si>
  <si>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</si>
  <si>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</si>
  <si>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</si>
  <si>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</si>
  <si>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</si>
  <si>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</si>
  <si>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</si>
  <si>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</si>
  <si>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</si>
  <si>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</si>
  <si>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</si>
  <si>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</si>
  <si>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</si>
  <si>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</si>
  <si>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</si>
  <si>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</si>
  <si>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</si>
  <si>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</si>
  <si>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</si>
  <si>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</si>
  <si>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</si>
  <si>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</si>
  <si>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</si>
  <si>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</si>
  <si>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</si>
  <si>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</si>
  <si>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</si>
  <si>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</si>
  <si>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</si>
  <si>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</si>
  <si>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</si>
  <si>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</si>
  <si>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</si>
  <si>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</si>
  <si>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</si>
  <si>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</si>
  <si>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</si>
  <si>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</si>
  <si>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</si>
  <si>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</si>
  <si>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</si>
  <si>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</si>
  <si>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</si>
  <si>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</si>
  <si>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</si>
  <si>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</si>
  <si>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</si>
  <si>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</si>
  <si>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</si>
  <si>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</si>
  <si>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</si>
  <si>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</si>
  <si>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</si>
  <si>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</si>
  <si>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</si>
  <si>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</si>
  <si>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</si>
  <si>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</si>
  <si>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</si>
  <si>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</si>
  <si>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</si>
  <si>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</si>
  <si>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</si>
  <si>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</si>
  <si>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</si>
  <si>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</si>
  <si>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</si>
  <si>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</si>
  <si>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</si>
  <si>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</si>
  <si>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</si>
  <si>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</si>
  <si>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</si>
  <si>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</si>
  <si>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</si>
  <si>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</si>
  <si>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</si>
  <si>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</si>
  <si>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</si>
  <si>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</si>
  <si>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</si>
  <si>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</si>
  <si>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</si>
  <si>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</si>
  <si>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</si>
  <si>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</si>
  <si>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</si>
  <si>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</si>
  <si>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</si>
  <si>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</si>
  <si>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</si>
  <si>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</si>
  <si>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</si>
  <si>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</si>
  <si>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</si>
  <si>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</si>
  <si>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</si>
  <si>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</si>
  <si>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</si>
  <si>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</si>
  <si>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</si>
  <si>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</si>
  <si>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</si>
  <si>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</si>
  <si>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</si>
  <si>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</si>
  <si>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</si>
  <si>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</si>
  <si>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</si>
  <si>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</si>
  <si>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</si>
  <si>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</si>
  <si>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</si>
  <si>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</si>
  <si>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</si>
  <si>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</si>
  <si>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</si>
  <si>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</si>
  <si>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</si>
  <si>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</si>
  <si>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</si>
  <si>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</si>
  <si>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</si>
  <si>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</si>
  <si>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</si>
  <si>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</si>
  <si>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</si>
  <si>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</si>
  <si>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</si>
  <si>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</si>
  <si>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</si>
  <si>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</si>
  <si>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</si>
  <si>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</si>
  <si>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</si>
  <si>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</si>
  <si>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</si>
  <si>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</si>
  <si>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</si>
  <si>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</si>
  <si>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</si>
  <si>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</si>
  <si>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</si>
  <si>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</si>
  <si>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</si>
  <si>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</si>
  <si>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</si>
  <si>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</si>
  <si>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</si>
  <si>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</si>
  <si>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</si>
  <si>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</si>
  <si>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</si>
  <si>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</si>
  <si>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</si>
  <si>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</si>
  <si>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</si>
  <si>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</si>
  <si>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</si>
  <si>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</si>
  <si>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</si>
  <si>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</si>
  <si>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</si>
  <si>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</si>
  <si>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</si>
  <si>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</si>
  <si>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</si>
  <si>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</si>
  <si>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</si>
  <si>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</si>
  <si>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</si>
  <si>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</si>
  <si>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</si>
  <si>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</si>
  <si>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</si>
  <si>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</si>
  <si>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</si>
  <si>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</si>
  <si>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</si>
  <si>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</si>
  <si>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</si>
  <si>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</si>
  <si>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</si>
  <si>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</si>
  <si>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</si>
  <si>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</si>
  <si>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</si>
  <si>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</si>
  <si>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</si>
  <si>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</si>
  <si>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</si>
  <si>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</si>
  <si>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</si>
  <si>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</si>
  <si>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</si>
  <si>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</si>
  <si>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</si>
  <si>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</si>
  <si>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</si>
  <si>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</si>
  <si>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</si>
  <si>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</si>
  <si>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</si>
  <si>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</si>
  <si>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</si>
  <si>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</si>
  <si>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</si>
  <si>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</si>
  <si>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</si>
  <si>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</si>
  <si>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</si>
  <si>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</si>
  <si>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</si>
  <si>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</si>
  <si>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</si>
  <si>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</si>
  <si>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</si>
  <si>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</si>
  <si>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</si>
  <si>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</si>
  <si>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</si>
  <si>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</si>
  <si>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</si>
  <si>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</si>
  <si>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</si>
  <si>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</si>
  <si>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</si>
  <si>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</si>
  <si>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</si>
  <si>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</si>
  <si>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</si>
  <si>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</si>
  <si>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</si>
  <si>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</si>
  <si>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</si>
  <si>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</si>
  <si>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</si>
  <si>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</si>
  <si>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</si>
  <si>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</si>
  <si>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</si>
  <si>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</si>
  <si>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</si>
  <si>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</si>
  <si>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</si>
  <si>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</si>
  <si>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</si>
  <si>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</si>
  <si>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</si>
  <si>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</si>
  <si>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</si>
  <si>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</si>
  <si>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</si>
  <si>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</si>
  <si>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</si>
  <si>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</si>
  <si>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</si>
  <si>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</si>
  <si>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</si>
  <si>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</si>
  <si>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</si>
  <si>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</si>
  <si>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</si>
  <si>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</si>
  <si>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</si>
  <si>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</si>
  <si>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</si>
  <si>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</si>
  <si>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</si>
  <si>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</si>
  <si>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</si>
  <si>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</si>
  <si>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</si>
  <si>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</si>
  <si>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</si>
  <si>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</si>
  <si>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</si>
  <si>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</si>
  <si>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</si>
  <si>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</si>
  <si>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</si>
  <si>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</si>
  <si>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</si>
  <si>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</si>
  <si>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</si>
  <si>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</si>
  <si>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</si>
  <si>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</si>
  <si>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</si>
  <si>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</si>
  <si>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</si>
  <si>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</si>
  <si>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</si>
  <si>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</si>
  <si>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</si>
  <si>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</si>
  <si>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</si>
  <si>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</si>
  <si>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</si>
  <si>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</si>
  <si>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</si>
  <si>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</si>
  <si>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</si>
  <si>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</si>
  <si>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</si>
  <si>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</si>
  <si>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</si>
  <si>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</si>
  <si>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</si>
  <si>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</si>
  <si>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</si>
  <si>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</si>
  <si>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</si>
  <si>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</si>
  <si>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</si>
  <si>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</si>
  <si>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</si>
  <si>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</si>
  <si>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</si>
  <si>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</si>
  <si>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</si>
  <si>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</si>
  <si>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</si>
  <si>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</si>
  <si>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</si>
  <si>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</si>
  <si>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</si>
  <si>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</si>
  <si>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</si>
  <si>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</si>
  <si>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</si>
  <si>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</si>
  <si>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</si>
  <si>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</si>
  <si>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</si>
  <si>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</si>
  <si>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</si>
  <si>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</si>
  <si>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</si>
  <si>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</si>
  <si>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</si>
  <si>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</si>
  <si>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</si>
  <si>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</si>
  <si>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</si>
  <si>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</si>
  <si>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</si>
  <si>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</si>
  <si>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</si>
  <si>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</si>
  <si>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</si>
  <si>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</si>
  <si>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</si>
  <si>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</si>
  <si>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</si>
  <si>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</si>
  <si>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</si>
  <si>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</si>
  <si>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</si>
  <si>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</si>
  <si>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</si>
  <si>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</si>
  <si>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</si>
  <si>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</si>
  <si>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</si>
  <si>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</si>
  <si>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</si>
  <si>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</si>
  <si>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</si>
  <si>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</si>
  <si>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</si>
  <si>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</si>
  <si>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</si>
  <si>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</si>
  <si>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</si>
  <si>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</si>
  <si>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</si>
  <si>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</si>
  <si>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</si>
  <si>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</si>
  <si>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</si>
  <si>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</si>
  <si>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</si>
  <si>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</si>
  <si>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</si>
  <si>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</si>
  <si>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</si>
  <si>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</si>
  <si>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</si>
  <si>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</si>
  <si>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</si>
  <si>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</si>
  <si>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</si>
  <si>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</si>
  <si>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</si>
  <si>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</si>
  <si>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</si>
  <si>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</si>
  <si>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</si>
  <si>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</si>
  <si>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</si>
  <si>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</si>
  <si>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</si>
  <si>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</si>
  <si>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</si>
  <si>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</si>
  <si>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</si>
  <si>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</si>
  <si>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</si>
  <si>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</si>
  <si>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</si>
  <si>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</si>
  <si>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</si>
  <si>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</si>
  <si>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</si>
  <si>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</si>
  <si>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</si>
  <si>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</si>
  <si>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</si>
  <si>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</si>
  <si>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</si>
  <si>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</si>
  <si>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</si>
  <si>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</si>
  <si>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</si>
  <si>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</si>
  <si>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</si>
  <si>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</si>
  <si>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</si>
  <si>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</si>
  <si>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</si>
  <si>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</si>
  <si>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</si>
  <si>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</si>
  <si>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</si>
  <si>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</si>
  <si>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</si>
  <si>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</si>
  <si>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</si>
  <si>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</si>
  <si>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</si>
  <si>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</si>
  <si>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</si>
  <si>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</si>
  <si>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</si>
  <si>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</si>
  <si>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</si>
  <si>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</si>
  <si>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</si>
  <si>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</si>
  <si>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</si>
  <si>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</si>
  <si>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</si>
  <si>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</si>
  <si>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</si>
  <si>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</si>
  <si>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</si>
  <si>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</si>
  <si>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</si>
  <si>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</si>
  <si>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</si>
  <si>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</si>
  <si>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</si>
  <si>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</si>
  <si>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</si>
  <si>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</si>
  <si>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</si>
  <si>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</si>
  <si>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</si>
  <si>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</si>
  <si>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</si>
  <si>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</si>
  <si>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</si>
  <si>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</si>
  <si>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</si>
  <si>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</si>
  <si>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</si>
  <si>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</si>
  <si>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</si>
  <si>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</si>
  <si>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</si>
  <si>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</si>
  <si>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</si>
  <si>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</si>
  <si>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</si>
  <si>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</si>
  <si>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</si>
  <si>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</si>
  <si>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</si>
  <si>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</si>
  <si>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</si>
  <si>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</si>
  <si>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</si>
  <si>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</si>
  <si>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</si>
  <si>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</si>
  <si>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</si>
  <si>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</si>
  <si>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</si>
  <si>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</si>
  <si>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</si>
  <si>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</si>
  <si>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</si>
  <si>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</si>
  <si>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</si>
  <si>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</si>
  <si>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</si>
  <si>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</si>
  <si>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</si>
  <si>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</si>
  <si>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</si>
  <si>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</si>
  <si>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</si>
  <si>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</si>
  <si>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</si>
  <si>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</si>
  <si>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</si>
  <si>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</si>
  <si>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</si>
  <si>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</si>
  <si>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</si>
  <si>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</si>
  <si>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</si>
  <si>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</si>
  <si>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</si>
  <si>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</si>
  <si>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FRONHA 4 ABAS 5cm - 400F 100% ALGODÃO - ACAB. DUPLO FESTONÊ COR CINZA FOG 7316 - 0,50 X 0,70</t>
  </si>
  <si>
    <t>2101059572</t>
  </si>
  <si>
    <t>FRONHA 4 ABAS 5cm - 400F 100% ALGODÃO - ACAB. DODICCI COR AREIA CAVA 07191 - 0,50 X 0,70</t>
  </si>
  <si>
    <t>2101059573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</si>
  <si>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</si>
  <si>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</si>
  <si>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</si>
  <si>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</si>
  <si>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</si>
  <si>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</si>
  <si>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</si>
  <si>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</si>
  <si>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</si>
  <si>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</si>
  <si>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</si>
  <si>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</si>
  <si>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JOGO DE LENÇOL QUEEN - 400F 100% ALG - ACABAMENTO FESTONÊ CASTOR 07308 - (LB C/ ELÁSTICO  1,60 X 2,00 X 0,40 - LC 2,50 X 2,60  - FR 4 ABAS 50 X 70 )</t>
  </si>
  <si>
    <t>2101069574</t>
  </si>
  <si>
    <t>JOGO DE LENÇOL QUEEN - 400F 100% ALG - ACABAMENTO CORDONÊ OFF WHITE - (LB C/ ELÁSTICO - 1,60 X 2,00 X 0,40 - LC 2,50 X 2,60 - FR 4 ABAS 0,50 X 0,70)</t>
  </si>
  <si>
    <t>2101069575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</si>
  <si>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</si>
  <si>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</si>
  <si>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</si>
  <si>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</si>
  <si>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</si>
  <si>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</si>
  <si>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</si>
  <si>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</si>
  <si>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</si>
  <si>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</si>
  <si>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</si>
  <si>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</si>
  <si>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</si>
  <si>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</si>
  <si>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</si>
  <si>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</si>
  <si>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</si>
  <si>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</si>
  <si>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</si>
  <si>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</si>
  <si>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</si>
  <si>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</si>
  <si>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</si>
  <si>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</si>
  <si>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</si>
  <si>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</si>
  <si>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</si>
  <si>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</si>
  <si>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</si>
  <si>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</si>
  <si>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</si>
  <si>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</si>
  <si>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</si>
  <si>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</si>
  <si>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</si>
  <si>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</si>
  <si>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</si>
  <si>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</si>
  <si>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</si>
  <si>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</si>
  <si>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</si>
  <si>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</si>
  <si>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</si>
  <si>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</si>
  <si>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</si>
  <si>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</si>
  <si>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</si>
  <si>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</si>
  <si>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</si>
  <si>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</si>
  <si>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</si>
  <si>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</si>
  <si>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</si>
  <si>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</si>
  <si>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</si>
  <si>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</si>
  <si>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</si>
  <si>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</si>
  <si>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4 ABAS 5cm - 400F 100% ALGODÃO - ACAB. TREZZO - 0,50 X 0,70</t>
  </si>
  <si>
    <t>2105029108</t>
  </si>
  <si>
    <t>CAPA DE DUVET - 400F 100% ALGODÃO - ACABAMENTO LINHO CAQUI COR 64 - C/ ZIPER - 2,45 X 2,45</t>
  </si>
  <si>
    <t>2105029576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</si>
  <si>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</si>
  <si>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</si>
  <si>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</si>
  <si>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</si>
  <si>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</si>
  <si>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</si>
  <si>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</si>
  <si>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</si>
  <si>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</si>
  <si>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</si>
  <si>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</si>
  <si>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</si>
  <si>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</si>
  <si>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</si>
  <si>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</si>
  <si>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</si>
  <si>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</si>
  <si>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</si>
  <si>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</si>
  <si>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</si>
  <si>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</si>
  <si>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</si>
  <si>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</si>
  <si>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</si>
  <si>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</si>
  <si>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</si>
  <si>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</si>
  <si>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</si>
  <si>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</si>
  <si>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</si>
  <si>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</si>
  <si>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</si>
  <si>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</si>
  <si>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</si>
  <si>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PORTA TRAVESSEIRO EM LINHO HAVANA E CORDONÊ NO MESMO TECIDO</t>
  </si>
  <si>
    <t>2121029577</t>
  </si>
  <si>
    <t>COLCHA PIQUET PALLONCINO - 2,60 X 2,40</t>
  </si>
  <si>
    <t>2121049747</t>
  </si>
  <si>
    <t>COLCHA PIQUET PALLONCINO - 2,30 X 2,35</t>
  </si>
  <si>
    <t>2121049750</t>
  </si>
  <si>
    <t>tecido 400fios  organico</t>
  </si>
  <si>
    <t>2150821055</t>
  </si>
  <si>
    <t>malha branca  penteada  liso</t>
  </si>
  <si>
    <t>2150821062</t>
  </si>
  <si>
    <t>malha off   penteada  liso</t>
  </si>
  <si>
    <t>2150821064</t>
  </si>
  <si>
    <t>malha branca alice</t>
  </si>
  <si>
    <t>2150822773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</si>
  <si>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</si>
  <si>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</si>
  <si>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</si>
  <si>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</si>
  <si>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</si>
  <si>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</si>
  <si>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</si>
  <si>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</si>
  <si>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</si>
  <si>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</si>
  <si>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</si>
  <si>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</si>
  <si>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</si>
  <si>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</si>
  <si>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</si>
  <si>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</si>
  <si>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</si>
  <si>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</si>
  <si>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</si>
  <si>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</si>
  <si>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</si>
  <si>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</si>
  <si>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</si>
  <si>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</si>
  <si>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</si>
  <si>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</si>
  <si>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</si>
  <si>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</si>
  <si>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</si>
  <si>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</si>
  <si>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</si>
  <si>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</si>
  <si>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</si>
  <si>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</si>
  <si>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</si>
  <si>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</si>
  <si>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</si>
  <si>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</si>
  <si>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</si>
  <si>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</si>
  <si>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</si>
  <si>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</si>
  <si>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</si>
  <si>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</si>
  <si>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</si>
  <si>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</si>
  <si>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</si>
  <si>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</si>
  <si>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</si>
  <si>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</si>
  <si>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</si>
  <si>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</si>
  <si>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ROUPÃO MODELO GOLA XALE TAM. M FELPA VELOUR CINZA ( GOLA CETIM CINZA )</t>
  </si>
  <si>
    <t>3105019638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</si>
  <si>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</si>
  <si>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</si>
  <si>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</si>
  <si>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</si>
  <si>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</si>
  <si>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</si>
  <si>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</si>
  <si>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</si>
  <si>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</si>
  <si>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</si>
  <si>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</si>
  <si>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</si>
  <si>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</si>
  <si>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</si>
  <si>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</si>
  <si>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</si>
  <si>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</si>
  <si>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</si>
  <si>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</si>
  <si>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</si>
  <si>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</si>
  <si>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</si>
  <si>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</si>
  <si>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</si>
  <si>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</si>
  <si>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</si>
  <si>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</si>
  <si>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</si>
  <si>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</si>
  <si>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</si>
  <si>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</si>
  <si>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</si>
  <si>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</si>
  <si>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</si>
  <si>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</si>
  <si>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</si>
  <si>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</si>
  <si>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JOGO LENÇOL BABY 400F  ACAB/ CORDONÊ BEGE</t>
  </si>
  <si>
    <t>3161077859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</si>
  <si>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</si>
  <si>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</si>
  <si>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</si>
  <si>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</si>
  <si>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</si>
  <si>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</si>
  <si>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</si>
  <si>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</si>
  <si>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</si>
  <si>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</si>
  <si>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</si>
  <si>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</si>
  <si>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</si>
  <si>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</si>
  <si>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</si>
  <si>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</si>
  <si>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</si>
  <si>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</si>
  <si>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</si>
  <si>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</si>
  <si>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</si>
  <si>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</si>
  <si>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</si>
  <si>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</si>
  <si>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</si>
  <si>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</si>
  <si>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</si>
  <si>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</si>
  <si>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</si>
  <si>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ROUPÃO C/ CAPUZ BABY   ACAB /CORDONÊ STONÊ</t>
  </si>
  <si>
    <t>3161091759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</si>
  <si>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</si>
  <si>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</si>
  <si>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</si>
  <si>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</si>
  <si>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</si>
  <si>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</si>
  <si>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</si>
  <si>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</si>
  <si>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</si>
  <si>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</si>
  <si>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</si>
  <si>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</si>
  <si>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</si>
  <si>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</si>
  <si>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</si>
  <si>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</si>
  <si>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</si>
  <si>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</si>
  <si>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</si>
  <si>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</si>
  <si>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</si>
  <si>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</si>
  <si>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</si>
  <si>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</si>
  <si>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</si>
  <si>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</si>
  <si>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</si>
  <si>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</si>
  <si>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</si>
  <si>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</si>
  <si>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</si>
  <si>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</si>
  <si>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</si>
  <si>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</si>
  <si>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</si>
  <si>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</si>
  <si>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</si>
  <si>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</si>
  <si>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</si>
  <si>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</si>
  <si>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</si>
  <si>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</si>
  <si>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</si>
  <si>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</si>
  <si>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</si>
  <si>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</si>
  <si>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</si>
  <si>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</si>
  <si>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</si>
  <si>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</si>
  <si>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</si>
  <si>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</si>
  <si>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</si>
  <si>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</si>
  <si>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</si>
  <si>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</si>
  <si>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</si>
  <si>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</si>
  <si>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</si>
  <si>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</si>
  <si>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</si>
  <si>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</si>
  <si>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</si>
  <si>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</si>
  <si>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</si>
  <si>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</si>
  <si>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</si>
  <si>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</si>
  <si>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</si>
  <si>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</si>
  <si>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</si>
  <si>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</si>
  <si>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</si>
  <si>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</si>
  <si>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</si>
  <si>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</si>
  <si>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</si>
  <si>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</si>
  <si>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</si>
  <si>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</si>
  <si>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</si>
  <si>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</si>
  <si>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</si>
  <si>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</si>
  <si>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</si>
  <si>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</si>
  <si>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</si>
  <si>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</si>
  <si>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</si>
  <si>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</si>
  <si>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</si>
  <si>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</si>
  <si>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</si>
  <si>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</si>
  <si>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</si>
  <si>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</si>
  <si>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</si>
  <si>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</si>
  <si>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</si>
  <si>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</si>
  <si>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</si>
  <si>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</si>
  <si>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</si>
  <si>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</si>
  <si>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</si>
  <si>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</si>
  <si>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</si>
  <si>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</si>
  <si>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</si>
  <si>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</si>
  <si>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</si>
  <si>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</si>
  <si>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</si>
  <si>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</si>
  <si>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</si>
  <si>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</si>
  <si>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</si>
  <si>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</si>
  <si>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</si>
  <si>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</si>
  <si>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</si>
  <si>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</si>
  <si>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</si>
  <si>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</si>
  <si>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</si>
  <si>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</si>
  <si>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</si>
  <si>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</si>
  <si>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</si>
  <si>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</si>
  <si>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</si>
  <si>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</si>
  <si>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</si>
  <si>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</si>
  <si>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</si>
  <si>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</si>
  <si>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</si>
  <si>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</si>
  <si>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</si>
  <si>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</si>
  <si>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</si>
  <si>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</si>
  <si>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</si>
  <si>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</si>
  <si>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</si>
  <si>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</si>
  <si>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</si>
  <si>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</si>
  <si>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</si>
  <si>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</si>
  <si>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</si>
  <si>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</si>
  <si>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JOGO DE LENÇOL MINI BERÇO 400F - ACAB/ CORDONÊ BCO  0,60 X 0,70 X 0,05</t>
  </si>
  <si>
    <t>3161099566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</si>
  <si>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</si>
  <si>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</si>
  <si>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</si>
  <si>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</si>
  <si>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</si>
  <si>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</si>
  <si>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</si>
  <si>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</si>
  <si>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</si>
  <si>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</si>
  <si>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TROCADOR 1/2 MALHA JABUTI + 1/2 OFF WHITE C/ PVC</t>
  </si>
  <si>
    <t>3168452392</t>
  </si>
  <si>
    <t>TROCADOR STAR  C/ CAPA DE PVC</t>
  </si>
  <si>
    <t>3168452439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</si>
  <si>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</si>
  <si>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</si>
  <si>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</si>
  <si>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</si>
  <si>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</si>
  <si>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</si>
  <si>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</si>
  <si>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</si>
  <si>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</si>
  <si>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</si>
  <si>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</si>
  <si>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</si>
  <si>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</si>
  <si>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</si>
  <si>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</si>
  <si>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</si>
  <si>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</si>
  <si>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</si>
  <si>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</si>
  <si>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</si>
  <si>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</si>
  <si>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</si>
  <si>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</si>
  <si>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</si>
  <si>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</si>
  <si>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</si>
  <si>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</si>
  <si>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</si>
  <si>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</si>
  <si>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</si>
  <si>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</si>
  <si>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</si>
  <si>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</si>
  <si>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</si>
  <si>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</si>
  <si>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</si>
  <si>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</si>
  <si>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</si>
  <si>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</si>
  <si>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</si>
  <si>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</si>
  <si>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</si>
  <si>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</si>
  <si>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</si>
  <si>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</si>
  <si>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</si>
  <si>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</si>
  <si>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</si>
  <si>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</si>
  <si>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</si>
  <si>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</si>
  <si>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</si>
  <si>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</si>
  <si>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</si>
  <si>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</si>
  <si>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</si>
  <si>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</si>
  <si>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</si>
  <si>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</si>
  <si>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</si>
  <si>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</si>
  <si>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</si>
  <si>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</si>
  <si>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</si>
  <si>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</si>
  <si>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</si>
  <si>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</si>
  <si>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</si>
  <si>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</si>
  <si>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</si>
  <si>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</si>
  <si>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</si>
  <si>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</si>
  <si>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</si>
  <si>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</si>
  <si>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</si>
  <si>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</si>
  <si>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</si>
  <si>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</si>
  <si>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</si>
  <si>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</si>
  <si>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</si>
  <si>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</si>
  <si>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</si>
  <si>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</si>
  <si>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</si>
  <si>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</si>
  <si>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</si>
  <si>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</si>
  <si>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</si>
  <si>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</si>
  <si>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</si>
  <si>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</si>
  <si>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</si>
  <si>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</si>
  <si>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</si>
  <si>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</si>
  <si>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</si>
  <si>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</si>
  <si>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</si>
  <si>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</si>
  <si>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PIQUET MOSAICO - MODELO KIMONO - TAM. M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</si>
  <si>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</si>
  <si>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</si>
  <si>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</si>
  <si>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</si>
  <si>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</si>
  <si>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</si>
  <si>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</si>
  <si>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</si>
  <si>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</si>
  <si>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</si>
  <si>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</si>
  <si>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</si>
  <si>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</si>
  <si>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</si>
  <si>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</si>
  <si>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</si>
  <si>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</si>
  <si>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</si>
  <si>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</si>
  <si>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</si>
  <si>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</si>
  <si>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</si>
  <si>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</si>
  <si>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</si>
  <si>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</si>
  <si>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</si>
  <si>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</si>
  <si>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</si>
  <si>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</si>
  <si>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</si>
  <si>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</si>
  <si>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</si>
  <si>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</si>
  <si>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</si>
  <si>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</si>
  <si>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</si>
  <si>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</si>
  <si>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</si>
  <si>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</si>
  <si>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</si>
  <si>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</si>
  <si>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</si>
  <si>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</si>
  <si>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</si>
  <si>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</si>
  <si>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</si>
  <si>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</si>
  <si>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</si>
  <si>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</si>
  <si>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</si>
  <si>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</si>
  <si>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</si>
  <si>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</si>
  <si>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</si>
  <si>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</si>
  <si>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</si>
  <si>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</si>
  <si>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</si>
  <si>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</si>
  <si>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</si>
  <si>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</si>
  <si>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</si>
  <si>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</si>
  <si>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</si>
  <si>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</si>
  <si>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</si>
  <si>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</si>
  <si>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</si>
  <si>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</si>
  <si>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</si>
  <si>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</si>
  <si>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</si>
  <si>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</si>
  <si>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</si>
  <si>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</si>
  <si>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</si>
  <si>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</si>
  <si>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</si>
  <si>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</si>
  <si>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</si>
  <si>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</si>
  <si>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</si>
  <si>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</si>
  <si>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</si>
  <si>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</si>
  <si>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</si>
  <si>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</si>
  <si>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</si>
  <si>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</si>
  <si>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</si>
  <si>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</si>
  <si>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</si>
  <si>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</si>
  <si>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</si>
  <si>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</si>
  <si>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</si>
  <si>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</si>
  <si>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</si>
  <si>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</si>
  <si>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</si>
  <si>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</si>
  <si>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</si>
  <si>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</si>
  <si>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</si>
  <si>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</si>
  <si>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</si>
  <si>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</si>
  <si>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</si>
  <si>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</si>
  <si>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</si>
  <si>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</si>
  <si>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</si>
  <si>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</si>
  <si>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</si>
  <si>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</si>
  <si>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</si>
  <si>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</si>
  <si>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</si>
  <si>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</si>
  <si>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</si>
  <si>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</si>
  <si>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</si>
  <si>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</si>
  <si>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</si>
  <si>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</si>
  <si>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</si>
  <si>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</si>
  <si>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</si>
  <si>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</si>
  <si>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</si>
  <si>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</si>
  <si>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</si>
  <si>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</si>
  <si>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</si>
  <si>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</si>
  <si>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</si>
  <si>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</si>
  <si>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</si>
  <si>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</si>
  <si>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</si>
  <si>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</si>
  <si>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</si>
  <si>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</si>
  <si>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</si>
  <si>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</si>
  <si>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</si>
  <si>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</si>
  <si>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</si>
  <si>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</si>
  <si>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</si>
  <si>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</si>
  <si>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</si>
  <si>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</si>
  <si>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</si>
  <si>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</si>
  <si>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</si>
  <si>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</si>
  <si>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</si>
  <si>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</si>
  <si>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</si>
  <si>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</si>
  <si>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</si>
  <si>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</si>
  <si>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</si>
  <si>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</si>
  <si>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</si>
  <si>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</si>
  <si>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</si>
  <si>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</si>
  <si>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</si>
  <si>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</si>
  <si>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</si>
  <si>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</si>
  <si>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</si>
  <si>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</si>
  <si>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</si>
  <si>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</si>
  <si>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</si>
  <si>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</si>
  <si>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</si>
  <si>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</si>
  <si>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</si>
  <si>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</si>
  <si>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</si>
  <si>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</si>
  <si>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</si>
  <si>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</si>
  <si>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</si>
  <si>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</si>
  <si>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</si>
  <si>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</si>
  <si>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</si>
  <si>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</si>
  <si>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</si>
  <si>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</si>
  <si>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</si>
  <si>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</si>
  <si>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</si>
  <si>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</si>
  <si>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</si>
  <si>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</si>
  <si>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</si>
  <si>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</si>
  <si>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</si>
  <si>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</si>
  <si>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</si>
  <si>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</si>
  <si>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</si>
  <si>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</si>
  <si>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</si>
  <si>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</si>
  <si>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</si>
  <si>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</si>
  <si>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</si>
  <si>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</si>
  <si>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</si>
  <si>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</si>
  <si>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</si>
  <si>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</si>
  <si>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</si>
  <si>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</si>
  <si>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</si>
  <si>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</si>
  <si>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</si>
  <si>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</si>
  <si>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</si>
  <si>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</si>
  <si>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</si>
  <si>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</si>
  <si>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</si>
  <si>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</si>
  <si>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</si>
  <si>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</si>
  <si>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</si>
  <si>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</si>
  <si>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</si>
  <si>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</si>
  <si>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</si>
  <si>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</si>
  <si>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</si>
  <si>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</si>
  <si>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</si>
  <si>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</si>
  <si>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</si>
  <si>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</si>
  <si>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</si>
  <si>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</si>
  <si>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</si>
  <si>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</si>
  <si>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</si>
  <si>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</si>
  <si>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</si>
  <si>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</si>
  <si>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</si>
  <si>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</si>
  <si>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</si>
  <si>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</si>
  <si>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</si>
  <si>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</si>
  <si>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</si>
  <si>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</si>
  <si>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</si>
  <si>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</si>
  <si>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</si>
  <si>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</si>
  <si>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</si>
  <si>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</si>
  <si>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</si>
  <si>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</si>
  <si>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</si>
  <si>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</si>
  <si>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</si>
  <si>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</si>
  <si>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</si>
  <si>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</si>
  <si>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</si>
  <si>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</si>
  <si>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</si>
  <si>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</si>
  <si>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</si>
  <si>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</si>
  <si>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</si>
  <si>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</si>
  <si>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</si>
  <si>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</si>
  <si>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</si>
  <si>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</si>
  <si>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</si>
  <si>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</si>
  <si>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</si>
  <si>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</si>
  <si>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</si>
  <si>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</si>
  <si>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</si>
  <si>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</si>
  <si>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</si>
  <si>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</si>
  <si>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</si>
  <si>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</si>
  <si>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</si>
  <si>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</si>
  <si>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</si>
  <si>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</si>
  <si>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</si>
  <si>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</si>
  <si>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</si>
  <si>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</si>
  <si>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</si>
  <si>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</si>
  <si>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</si>
  <si>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</si>
  <si>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</si>
  <si>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</si>
  <si>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</si>
  <si>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</si>
  <si>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</si>
  <si>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</si>
  <si>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</si>
  <si>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</si>
  <si>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</si>
  <si>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</si>
  <si>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</si>
  <si>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</si>
  <si>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</si>
  <si>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</si>
  <si>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</si>
  <si>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</si>
  <si>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</si>
  <si>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</si>
  <si>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</si>
  <si>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</si>
  <si>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</si>
  <si>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</si>
  <si>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</si>
  <si>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</si>
  <si>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</si>
  <si>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</si>
  <si>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</si>
  <si>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</si>
  <si>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</si>
  <si>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</si>
  <si>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</si>
  <si>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</si>
  <si>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</si>
  <si>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</si>
  <si>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</si>
  <si>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</si>
  <si>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</si>
  <si>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</si>
  <si>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</si>
  <si>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</si>
  <si>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</si>
  <si>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</si>
  <si>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</si>
  <si>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</si>
  <si>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</si>
  <si>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</si>
  <si>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</si>
  <si>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</si>
  <si>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</si>
  <si>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</si>
  <si>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</si>
  <si>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</si>
  <si>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</si>
  <si>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</si>
  <si>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</si>
  <si>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</si>
  <si>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</si>
  <si>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</si>
  <si>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</si>
  <si>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</si>
  <si>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</si>
  <si>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</si>
  <si>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</si>
  <si>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</si>
  <si>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</si>
  <si>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</si>
  <si>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</si>
  <si>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</si>
  <si>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</si>
  <si>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</si>
  <si>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</si>
  <si>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</si>
  <si>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</si>
  <si>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</si>
  <si>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</si>
  <si>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</si>
  <si>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</si>
  <si>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</si>
  <si>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</si>
  <si>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</si>
  <si>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</si>
  <si>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</si>
  <si>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</si>
  <si>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</si>
  <si>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</si>
  <si>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</si>
  <si>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</si>
  <si>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</si>
  <si>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</si>
  <si>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</si>
  <si>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</si>
  <si>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</si>
  <si>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</si>
  <si>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</si>
  <si>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</si>
  <si>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</si>
  <si>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</si>
  <si>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</si>
  <si>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</si>
  <si>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</si>
  <si>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2101069841</t>
  </si>
  <si>
    <t>2101069842</t>
  </si>
  <si>
    <t>2101069843</t>
  </si>
  <si>
    <t>2101069846</t>
  </si>
  <si>
    <t>2101099844</t>
  </si>
  <si>
    <t>2110349845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</si>
  <si>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</si>
  <si>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</si>
  <si>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</si>
  <si>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</si>
  <si>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</si>
  <si>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</si>
  <si>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</si>
  <si>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</si>
  <si>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</si>
  <si>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</si>
  <si>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</si>
  <si>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</si>
  <si>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</si>
  <si>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</si>
  <si>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</si>
  <si>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</si>
  <si>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</si>
  <si>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</si>
  <si>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</si>
  <si>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</si>
  <si>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</si>
  <si>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</si>
  <si>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</si>
  <si>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</si>
  <si>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</si>
  <si>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</si>
  <si>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</si>
  <si>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</si>
  <si>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</si>
  <si>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</si>
  <si>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</si>
  <si>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</si>
  <si>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</si>
  <si>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</si>
  <si>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</si>
  <si>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</si>
  <si>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</si>
  <si>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</si>
  <si>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</si>
  <si>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</si>
  <si>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</si>
  <si>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</si>
  <si>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</si>
  <si>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</si>
  <si>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</si>
  <si>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</si>
  <si>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</si>
  <si>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</si>
  <si>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</si>
  <si>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</si>
  <si>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</si>
  <si>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</si>
  <si>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</si>
  <si>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</si>
  <si>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</si>
  <si>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</si>
  <si>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</si>
  <si>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</si>
  <si>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</si>
  <si>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</si>
  <si>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</si>
  <si>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</si>
  <si>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</si>
  <si>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</si>
  <si>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</si>
  <si>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</si>
  <si>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</si>
  <si>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</si>
  <si>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</si>
  <si>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</si>
  <si>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</si>
  <si>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</si>
  <si>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</si>
  <si>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</si>
  <si>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</si>
  <si>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</si>
  <si>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</si>
  <si>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</si>
  <si>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</si>
  <si>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</si>
  <si>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</si>
  <si>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</si>
  <si>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</si>
  <si>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</si>
  <si>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</si>
  <si>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</si>
  <si>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</si>
  <si>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</si>
  <si>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</si>
  <si>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</si>
  <si>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</si>
  <si>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</si>
  <si>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</si>
  <si>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</si>
  <si>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</si>
  <si>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</si>
  <si>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</si>
  <si>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</si>
  <si>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</si>
  <si>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</si>
  <si>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</si>
  <si>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</si>
  <si>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</si>
  <si>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</si>
  <si>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</si>
  <si>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</si>
  <si>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</si>
  <si>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</si>
  <si>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</si>
  <si>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</si>
  <si>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</si>
  <si>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</si>
  <si>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</si>
  <si>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</si>
  <si>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</si>
  <si>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</si>
  <si>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</si>
  <si>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</si>
  <si>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</si>
  <si>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</si>
  <si>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</si>
  <si>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</si>
  <si>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</si>
  <si>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</si>
  <si>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</si>
  <si>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</si>
  <si>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</si>
  <si>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</si>
  <si>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</si>
  <si>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</si>
  <si>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</si>
  <si>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</si>
  <si>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</si>
  <si>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</si>
  <si>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</si>
  <si>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</si>
  <si>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</si>
  <si>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</si>
  <si>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</si>
  <si>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</si>
  <si>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</si>
  <si>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</si>
  <si>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</si>
  <si>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</si>
  <si>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</si>
  <si>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</si>
  <si>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</si>
  <si>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</si>
  <si>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</si>
  <si>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</si>
  <si>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</si>
  <si>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</si>
  <si>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</si>
  <si>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</si>
  <si>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</si>
  <si>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</si>
  <si>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</si>
  <si>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</si>
  <si>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</si>
  <si>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</si>
  <si>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</si>
  <si>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</si>
  <si>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</si>
  <si>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</si>
  <si>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</si>
  <si>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</si>
  <si>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</si>
  <si>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</si>
  <si>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</si>
  <si>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</si>
  <si>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</si>
  <si>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</si>
  <si>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</si>
  <si>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</si>
  <si>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</si>
  <si>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</si>
  <si>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</si>
  <si>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</si>
  <si>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</si>
  <si>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</si>
  <si>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</si>
  <si>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</si>
  <si>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</si>
  <si>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</si>
  <si>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</si>
  <si>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</si>
  <si>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</si>
  <si>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</si>
  <si>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</si>
  <si>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</si>
  <si>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</si>
  <si>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</si>
  <si>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</si>
  <si>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</si>
  <si>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</si>
  <si>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</si>
  <si>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</si>
  <si>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</si>
  <si>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</si>
  <si>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</si>
  <si>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</si>
  <si>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</si>
  <si>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</si>
  <si>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</si>
  <si>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</si>
  <si>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</si>
  <si>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</si>
  <si>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</si>
  <si>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</si>
  <si>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</si>
  <si>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</si>
  <si>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</si>
  <si>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</si>
  <si>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</si>
  <si>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</si>
  <si>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</si>
  <si>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</si>
  <si>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</si>
  <si>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</si>
  <si>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</si>
  <si>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</si>
  <si>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</si>
  <si>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</si>
  <si>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</si>
  <si>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</si>
  <si>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</si>
  <si>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</si>
  <si>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</si>
  <si>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</si>
  <si>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</si>
  <si>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</si>
  <si>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</si>
  <si>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</si>
  <si>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</si>
  <si>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</si>
  <si>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</si>
  <si>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</si>
  <si>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</si>
  <si>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</si>
  <si>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</si>
  <si>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</si>
  <si>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</si>
  <si>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</si>
  <si>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</si>
  <si>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</si>
  <si>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</si>
  <si>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</si>
  <si>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</si>
  <si>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</si>
  <si>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</si>
  <si>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</si>
  <si>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</si>
  <si>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</si>
  <si>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</si>
  <si>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</si>
  <si>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</si>
  <si>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</si>
  <si>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</si>
  <si>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</si>
  <si>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</si>
  <si>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</si>
  <si>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</si>
  <si>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</si>
  <si>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</si>
  <si>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</si>
  <si>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</si>
  <si>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</si>
  <si>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</si>
  <si>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</si>
  <si>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</si>
  <si>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</si>
  <si>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</si>
  <si>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</si>
  <si>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</si>
  <si>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</si>
  <si>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</si>
  <si>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</si>
  <si>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</si>
  <si>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</si>
  <si>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</si>
  <si>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</si>
  <si>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</si>
  <si>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</si>
  <si>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</si>
  <si>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</si>
  <si>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</si>
  <si>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</si>
  <si>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</si>
  <si>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</si>
  <si>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</si>
  <si>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</si>
  <si>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</si>
  <si>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</si>
  <si>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</si>
  <si>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</si>
  <si>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</si>
  <si>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</si>
  <si>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</si>
  <si>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</si>
  <si>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</si>
  <si>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</si>
  <si>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</si>
  <si>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</si>
  <si>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</si>
  <si>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</si>
  <si>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</si>
  <si>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</si>
  <si>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</si>
  <si>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</si>
  <si>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</si>
  <si>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</si>
  <si>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</si>
  <si>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</si>
  <si>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</si>
  <si>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</si>
  <si>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</si>
  <si>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</si>
  <si>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</si>
  <si>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</si>
  <si>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</si>
  <si>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</si>
  <si>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</si>
  <si>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</si>
  <si>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</si>
  <si>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</si>
  <si>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</si>
  <si>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</si>
  <si>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</si>
  <si>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</si>
  <si>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</si>
  <si>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</si>
  <si>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</si>
  <si>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</si>
  <si>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</si>
  <si>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</si>
  <si>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</si>
  <si>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</si>
  <si>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</si>
  <si>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</si>
  <si>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</si>
  <si>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</si>
  <si>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</si>
  <si>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</si>
  <si>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</si>
  <si>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</si>
  <si>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</si>
  <si>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</si>
  <si>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</si>
  <si>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</si>
  <si>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</si>
  <si>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</si>
  <si>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</si>
  <si>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</si>
  <si>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</si>
  <si>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</si>
  <si>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</si>
  <si>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</si>
  <si>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</si>
  <si>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</si>
  <si>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</si>
  <si>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</si>
  <si>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</si>
  <si>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</si>
  <si>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</si>
  <si>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</si>
  <si>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</si>
  <si>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</si>
  <si>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</si>
  <si>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</si>
  <si>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</si>
  <si>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</si>
  <si>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</si>
  <si>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</si>
  <si>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</si>
  <si>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</si>
  <si>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</si>
  <si>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</si>
  <si>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</si>
  <si>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</si>
  <si>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</si>
  <si>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</si>
  <si>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</si>
  <si>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</si>
  <si>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</si>
  <si>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</si>
  <si>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</si>
  <si>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</si>
  <si>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</si>
  <si>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</si>
  <si>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</si>
  <si>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</si>
  <si>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</si>
  <si>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</si>
  <si>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</si>
  <si>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</si>
  <si>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</si>
  <si>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</si>
  <si>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</si>
  <si>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</si>
  <si>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</si>
  <si>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</si>
  <si>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</si>
  <si>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</si>
  <si>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</si>
  <si>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</si>
  <si>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</si>
  <si>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</si>
  <si>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</si>
  <si>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</si>
  <si>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</si>
  <si>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</si>
  <si>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</si>
  <si>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</si>
  <si>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</si>
  <si>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</si>
  <si>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</si>
  <si>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</si>
  <si>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</si>
  <si>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</si>
  <si>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</si>
  <si>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</si>
  <si>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</si>
  <si>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</si>
  <si>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</si>
  <si>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</si>
  <si>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</si>
  <si>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</si>
  <si>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</si>
  <si>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</si>
  <si>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</si>
  <si>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ROUPÃO FELPA VELUX BRANCA C/ GOLA XALE SEM CETIM, LOGO BORDADA E VIVO BRANCA NA GOLA, NAS MANGAS E NO BOLSO TAM G</t>
  </si>
  <si>
    <t>3301099927</t>
  </si>
  <si>
    <t>ROUPÃO FELPA VELUX BRANCA C/ GOLA XALE SEM CETIM, LOGO BORDADA E VIVO BRANCA NA GOLA, NAS MANGAS E NO BOLSO TAM GG</t>
  </si>
  <si>
    <t>3301099928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</si>
  <si>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</si>
  <si>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</si>
  <si>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</si>
  <si>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</si>
  <si>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</si>
  <si>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</si>
  <si>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</si>
  <si>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</si>
  <si>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</si>
  <si>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</si>
  <si>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</si>
  <si>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</si>
  <si>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</si>
  <si>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</si>
  <si>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</si>
  <si>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</si>
  <si>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</si>
  <si>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</si>
  <si>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</si>
  <si>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</si>
  <si>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</si>
  <si>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</si>
  <si>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</si>
  <si>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</si>
  <si>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</si>
  <si>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</si>
  <si>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</si>
  <si>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</si>
  <si>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</si>
  <si>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</si>
  <si>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</si>
  <si>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</si>
  <si>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</si>
  <si>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</si>
  <si>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</si>
  <si>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</si>
  <si>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</si>
  <si>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</si>
  <si>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</si>
  <si>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</si>
  <si>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</si>
  <si>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</si>
  <si>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</si>
  <si>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</si>
  <si>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</si>
  <si>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</si>
  <si>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</si>
  <si>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</si>
  <si>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</si>
  <si>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</si>
  <si>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</si>
  <si>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</si>
  <si>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</si>
  <si>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</si>
  <si>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</si>
  <si>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</si>
  <si>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</si>
  <si>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</si>
  <si>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</si>
  <si>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</si>
  <si>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</si>
  <si>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</si>
  <si>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</si>
  <si>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</si>
  <si>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</si>
  <si>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</si>
  <si>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</si>
  <si>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</si>
  <si>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</si>
  <si>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</si>
  <si>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</si>
  <si>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</si>
  <si>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</si>
  <si>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</si>
  <si>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</si>
  <si>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</si>
  <si>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</si>
  <si>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</si>
  <si>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</si>
  <si>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</si>
  <si>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</si>
  <si>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</si>
  <si>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</si>
  <si>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</si>
  <si>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</si>
  <si>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</si>
  <si>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</si>
  <si>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</si>
  <si>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</si>
  <si>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</si>
  <si>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</si>
  <si>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</si>
  <si>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</si>
  <si>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</si>
  <si>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</si>
  <si>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</si>
  <si>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</si>
  <si>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</si>
  <si>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</si>
  <si>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</si>
  <si>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</si>
  <si>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</si>
  <si>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</si>
  <si>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</si>
  <si>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</si>
  <si>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</si>
  <si>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</si>
  <si>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</si>
  <si>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</si>
  <si>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</si>
  <si>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</si>
  <si>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</si>
  <si>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</si>
  <si>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</si>
  <si>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</si>
  <si>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</si>
  <si>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</si>
  <si>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</si>
  <si>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</si>
  <si>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</si>
  <si>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</si>
  <si>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</si>
  <si>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</si>
  <si>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</si>
  <si>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</si>
  <si>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</si>
  <si>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</si>
  <si>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</si>
  <si>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</si>
  <si>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</si>
  <si>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</si>
  <si>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</si>
  <si>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</si>
  <si>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</si>
  <si>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</si>
  <si>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</si>
  <si>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</si>
  <si>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</si>
  <si>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</si>
  <si>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</si>
  <si>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</si>
  <si>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</si>
  <si>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</si>
  <si>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</si>
  <si>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</si>
  <si>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</si>
  <si>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</si>
  <si>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</si>
  <si>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</si>
  <si>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</si>
  <si>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</si>
  <si>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</si>
  <si>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</si>
  <si>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</si>
  <si>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</si>
  <si>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</si>
  <si>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</si>
  <si>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</si>
  <si>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</si>
  <si>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</si>
  <si>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</si>
  <si>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</si>
  <si>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</si>
  <si>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</si>
  <si>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</si>
  <si>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</si>
  <si>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</si>
  <si>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</si>
  <si>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</si>
  <si>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</si>
  <si>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</si>
  <si>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</si>
  <si>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</si>
  <si>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</si>
  <si>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</si>
  <si>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</si>
  <si>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</si>
  <si>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</si>
  <si>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</si>
  <si>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</si>
  <si>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</si>
  <si>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</si>
  <si>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</si>
  <si>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</si>
  <si>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</si>
  <si>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</si>
  <si>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</si>
  <si>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</si>
  <si>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</si>
  <si>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</si>
  <si>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</si>
  <si>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</si>
  <si>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</si>
  <si>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</si>
  <si>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</si>
  <si>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</si>
  <si>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</si>
  <si>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</si>
  <si>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</si>
  <si>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</si>
  <si>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</si>
  <si>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</si>
  <si>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</si>
  <si>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</si>
  <si>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</si>
  <si>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</si>
  <si>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</si>
  <si>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</si>
  <si>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</si>
  <si>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</si>
  <si>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</si>
  <si>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</si>
  <si>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</si>
  <si>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</si>
  <si>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</si>
  <si>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</si>
  <si>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BAIXO COM ELÁSTICO FELPA ATOALHADA PITTI 0,85 X 1,96 X 0,10</t>
  </si>
  <si>
    <t>2101021070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</si>
  <si>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</si>
  <si>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</si>
  <si>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</si>
  <si>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</si>
  <si>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</si>
  <si>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</si>
  <si>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</si>
  <si>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</si>
  <si>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</si>
  <si>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</si>
  <si>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</si>
  <si>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</si>
  <si>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</si>
  <si>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</si>
  <si>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</si>
  <si>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</si>
  <si>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</si>
  <si>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</si>
  <si>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</si>
  <si>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</si>
  <si>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</si>
  <si>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</si>
  <si>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</si>
  <si>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</si>
  <si>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</si>
  <si>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</si>
  <si>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</si>
  <si>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</si>
  <si>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</si>
  <si>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</si>
  <si>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</si>
  <si>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</si>
  <si>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</si>
  <si>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</si>
  <si>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</si>
  <si>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</si>
  <si>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</si>
  <si>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</si>
  <si>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</si>
  <si>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</si>
  <si>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</si>
  <si>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</si>
  <si>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</si>
  <si>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</si>
  <si>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</si>
  <si>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</si>
  <si>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</si>
  <si>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</si>
  <si>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</si>
  <si>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</si>
  <si>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</si>
  <si>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</si>
  <si>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</si>
  <si>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</si>
  <si>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</si>
  <si>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</si>
  <si>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</si>
  <si>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</si>
  <si>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</si>
  <si>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</si>
  <si>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</si>
  <si>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</si>
  <si>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</si>
  <si>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</si>
  <si>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</si>
  <si>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</si>
  <si>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</si>
  <si>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</si>
  <si>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</si>
  <si>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</si>
  <si>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</si>
  <si>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</si>
  <si>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</si>
  <si>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</si>
  <si>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</si>
  <si>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</si>
  <si>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</si>
  <si>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</si>
  <si>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</si>
  <si>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</si>
  <si>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</si>
  <si>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</si>
  <si>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</si>
  <si>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</si>
  <si>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</si>
  <si>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</si>
  <si>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</si>
  <si>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</si>
  <si>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</si>
  <si>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</si>
  <si>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</si>
  <si>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</si>
  <si>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</si>
  <si>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</si>
  <si>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</si>
  <si>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</si>
  <si>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</si>
  <si>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</si>
  <si>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</si>
  <si>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</si>
  <si>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</si>
  <si>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</si>
  <si>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</si>
  <si>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</si>
  <si>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</si>
  <si>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</si>
  <si>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</si>
  <si>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</si>
  <si>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</si>
  <si>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</si>
  <si>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</si>
  <si>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</si>
  <si>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</si>
  <si>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</si>
  <si>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</si>
  <si>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</si>
  <si>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</si>
  <si>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</si>
  <si>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</si>
  <si>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</si>
  <si>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</si>
  <si>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</si>
  <si>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</si>
  <si>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</si>
  <si>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</si>
  <si>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</si>
  <si>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</si>
  <si>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</si>
  <si>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</si>
  <si>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</si>
  <si>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</si>
  <si>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</si>
  <si>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</si>
  <si>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</si>
  <si>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</si>
  <si>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</si>
  <si>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</si>
  <si>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</si>
  <si>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</si>
  <si>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</si>
  <si>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</si>
  <si>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</si>
  <si>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</si>
  <si>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</si>
  <si>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</si>
  <si>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</si>
  <si>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</si>
  <si>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</si>
  <si>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</si>
  <si>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</si>
  <si>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</si>
  <si>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</si>
  <si>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</si>
  <si>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</si>
  <si>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</si>
  <si>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</si>
  <si>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</si>
  <si>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</si>
  <si>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</si>
  <si>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</si>
  <si>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</si>
  <si>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</si>
  <si>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</si>
  <si>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</si>
  <si>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</si>
  <si>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</si>
  <si>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</si>
  <si>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</si>
  <si>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</si>
  <si>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</si>
  <si>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</si>
  <si>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</si>
  <si>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</si>
  <si>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</si>
  <si>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</si>
  <si>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</si>
  <si>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</si>
  <si>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</si>
  <si>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</si>
  <si>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</si>
  <si>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</si>
  <si>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</si>
  <si>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</si>
  <si>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</si>
  <si>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</si>
  <si>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</si>
  <si>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</si>
  <si>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</si>
  <si>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</si>
  <si>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</si>
  <si>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</si>
  <si>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2110301161</t>
  </si>
  <si>
    <t>SUPER FRONHA BRANCO 4 ABAS 7CM 400F DUPLO FESTONÊ FINO  FINO - COR AREIA CAVA 7191 0,50 X 0,90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</si>
  <si>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</si>
  <si>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</si>
  <si>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</si>
  <si>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</si>
  <si>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</si>
  <si>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</si>
  <si>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</si>
  <si>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</si>
  <si>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</si>
  <si>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</si>
  <si>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</si>
  <si>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</si>
  <si>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ROUPÃO FELPA VELUX BRANCA C/ GOLA XALE SEM CETIM, LOGO BORDADA E VIVO BRANCA NA GOLA, NAS MANGAS E NO BOLSO TAM M</t>
  </si>
  <si>
    <t>3301091163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</si>
  <si>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</si>
  <si>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</si>
  <si>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</si>
  <si>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</si>
  <si>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</si>
  <si>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</si>
  <si>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</si>
  <si>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</si>
  <si>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</si>
  <si>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</si>
  <si>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</si>
  <si>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</si>
  <si>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</si>
  <si>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</si>
  <si>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</si>
  <si>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</si>
  <si>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</si>
  <si>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</si>
  <si>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</si>
  <si>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</si>
  <si>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</si>
  <si>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</si>
  <si>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</si>
  <si>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</si>
  <si>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</si>
  <si>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</si>
  <si>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</si>
  <si>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</si>
  <si>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</si>
  <si>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</si>
  <si>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</si>
  <si>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</si>
  <si>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</si>
  <si>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</si>
  <si>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</si>
  <si>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</si>
  <si>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</si>
  <si>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</si>
  <si>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</si>
  <si>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</si>
  <si>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</si>
  <si>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</si>
  <si>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</si>
  <si>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</si>
  <si>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</si>
  <si>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</si>
  <si>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</si>
  <si>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</si>
  <si>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</si>
  <si>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</si>
  <si>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</si>
  <si>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</si>
  <si>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</si>
  <si>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</si>
  <si>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</si>
  <si>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</si>
  <si>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</si>
  <si>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</si>
  <si>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</si>
  <si>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</si>
  <si>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</si>
  <si>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</si>
  <si>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</si>
  <si>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</si>
  <si>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</si>
  <si>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</si>
  <si>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</si>
  <si>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</si>
  <si>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</si>
  <si>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</si>
  <si>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</si>
  <si>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</si>
  <si>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</si>
  <si>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</si>
  <si>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</si>
  <si>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</si>
  <si>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</si>
  <si>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</si>
  <si>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</si>
  <si>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</si>
  <si>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</si>
  <si>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</si>
  <si>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</si>
  <si>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</si>
  <si>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</si>
  <si>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</si>
  <si>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</si>
  <si>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</si>
  <si>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</si>
  <si>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</si>
  <si>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</si>
  <si>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</si>
  <si>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</si>
  <si>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</si>
  <si>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</si>
  <si>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</si>
  <si>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</si>
  <si>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</si>
  <si>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</si>
  <si>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</si>
  <si>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</si>
  <si>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</si>
  <si>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</si>
  <si>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</si>
  <si>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</si>
  <si>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</si>
  <si>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</si>
  <si>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</si>
  <si>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</si>
  <si>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</si>
  <si>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</si>
  <si>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</si>
  <si>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</si>
  <si>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</si>
  <si>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</si>
  <si>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</si>
  <si>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</si>
  <si>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</si>
  <si>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</si>
  <si>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</si>
  <si>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</si>
  <si>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</si>
  <si>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</si>
  <si>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</si>
  <si>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</si>
  <si>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</si>
  <si>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</si>
  <si>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</si>
  <si>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</si>
  <si>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</si>
  <si>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</si>
  <si>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</si>
  <si>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</si>
  <si>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</si>
  <si>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</si>
  <si>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</si>
  <si>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</si>
  <si>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</si>
  <si>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</si>
  <si>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</si>
  <si>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</si>
  <si>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</si>
  <si>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</si>
  <si>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</si>
  <si>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</si>
  <si>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</si>
  <si>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</si>
  <si>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</si>
  <si>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</si>
  <si>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</si>
  <si>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</si>
  <si>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</si>
  <si>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</si>
  <si>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</si>
  <si>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</si>
  <si>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</si>
  <si>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</si>
  <si>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</si>
  <si>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</si>
  <si>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</si>
  <si>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</si>
  <si>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</si>
  <si>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</si>
  <si>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</si>
  <si>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</si>
  <si>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</si>
  <si>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</si>
  <si>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</si>
  <si>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</si>
  <si>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</si>
  <si>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</si>
  <si>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</si>
  <si>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</si>
  <si>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</si>
  <si>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</si>
  <si>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</si>
  <si>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</si>
  <si>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</si>
  <si>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</si>
  <si>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</si>
  <si>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</si>
  <si>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</si>
  <si>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</si>
  <si>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</si>
  <si>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</si>
  <si>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</si>
  <si>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</si>
  <si>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</si>
  <si>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</si>
  <si>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</si>
  <si>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</si>
  <si>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</si>
  <si>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</si>
  <si>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</si>
  <si>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</si>
  <si>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</si>
  <si>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</si>
  <si>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</si>
  <si>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</si>
  <si>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</si>
  <si>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</si>
  <si>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</si>
  <si>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</si>
  <si>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</si>
  <si>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</si>
  <si>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</si>
  <si>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</si>
  <si>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</si>
  <si>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</si>
  <si>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</si>
  <si>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</si>
  <si>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</si>
  <si>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</si>
  <si>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</si>
  <si>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</si>
  <si>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</si>
  <si>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</si>
  <si>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</si>
  <si>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</si>
  <si>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</si>
  <si>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</si>
  <si>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</si>
  <si>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</si>
  <si>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</si>
  <si>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</si>
  <si>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</si>
  <si>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</si>
  <si>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</si>
  <si>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</si>
  <si>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</si>
  <si>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</si>
  <si>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</si>
  <si>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</si>
  <si>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</si>
  <si>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</si>
  <si>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</si>
  <si>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</si>
  <si>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</si>
  <si>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</si>
  <si>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</si>
  <si>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</si>
  <si>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</si>
  <si>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</si>
  <si>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</si>
  <si>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</si>
  <si>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</si>
  <si>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</si>
  <si>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</si>
  <si>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</si>
  <si>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</si>
  <si>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</si>
  <si>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</si>
  <si>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</si>
  <si>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</si>
  <si>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</si>
  <si>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</si>
  <si>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</si>
  <si>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</si>
  <si>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</si>
  <si>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</si>
  <si>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</si>
  <si>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</si>
  <si>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</si>
  <si>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</si>
  <si>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</si>
  <si>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</si>
  <si>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</si>
  <si>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</si>
  <si>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</si>
  <si>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</si>
  <si>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</si>
  <si>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</si>
  <si>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</si>
  <si>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</si>
  <si>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</si>
  <si>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</si>
  <si>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</si>
  <si>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</si>
  <si>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</si>
  <si>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</si>
  <si>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</si>
  <si>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</si>
  <si>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</si>
  <si>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</si>
  <si>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</si>
  <si>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</si>
  <si>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</si>
  <si>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</si>
  <si>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</si>
  <si>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</si>
  <si>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</si>
  <si>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</si>
  <si>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</si>
  <si>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</si>
  <si>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</si>
  <si>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</si>
  <si>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</si>
  <si>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</si>
  <si>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</si>
  <si>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</si>
  <si>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</si>
  <si>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</si>
  <si>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</si>
  <si>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</si>
  <si>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</si>
  <si>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</si>
  <si>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</si>
  <si>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</si>
  <si>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</si>
  <si>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</si>
  <si>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</si>
  <si>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</si>
  <si>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</si>
  <si>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</si>
  <si>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</si>
  <si>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</si>
  <si>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</si>
  <si>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</si>
  <si>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</si>
  <si>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</si>
  <si>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</si>
  <si>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</si>
  <si>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</si>
  <si>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</si>
  <si>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</si>
  <si>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</si>
  <si>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</si>
  <si>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</si>
  <si>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</si>
  <si>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</si>
  <si>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</si>
  <si>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</si>
  <si>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</si>
  <si>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</si>
  <si>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</si>
  <si>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</si>
  <si>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</si>
  <si>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</si>
  <si>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</si>
  <si>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</si>
  <si>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</si>
  <si>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</si>
  <si>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</si>
  <si>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</si>
  <si>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</si>
  <si>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</si>
  <si>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</si>
  <si>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</si>
  <si>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</si>
  <si>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</si>
  <si>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</si>
  <si>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</si>
  <si>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</si>
  <si>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</si>
  <si>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</si>
  <si>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</si>
  <si>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</si>
  <si>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</si>
  <si>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</si>
  <si>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</si>
  <si>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</si>
  <si>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</si>
  <si>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</si>
  <si>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</si>
  <si>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</si>
  <si>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</si>
  <si>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</si>
  <si>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</si>
  <si>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BARRA ESTREITA 4 LADOS 180F MISTO  PREMIUM 1,80 X 2,80</t>
  </si>
  <si>
    <t>LENÇOL CIMA - 230F MISTO - FESTONÊ BRANCO - 2,30 X 2,45</t>
  </si>
  <si>
    <t>2102116436</t>
  </si>
  <si>
    <t>LENÇOL BARRA ESTREITA 200F 100% ALGODÃO - C/ LATERAL - 2,90 X 3,00</t>
  </si>
  <si>
    <t>2102851236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</si>
  <si>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</si>
  <si>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</si>
  <si>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</si>
  <si>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</si>
  <si>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</si>
  <si>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2 ABAS 5cm - CLASSIC - 230F MSITO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</si>
  <si>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</si>
  <si>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</si>
  <si>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</si>
  <si>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</si>
  <si>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</si>
  <si>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</si>
  <si>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</si>
  <si>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</si>
  <si>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</si>
  <si>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2 ABAS 5CM CLASSIC 180F MISTO PREMIUM 0,50 X 0,70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</si>
  <si>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</si>
  <si>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</si>
  <si>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</si>
  <si>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</si>
  <si>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</si>
  <si>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</si>
  <si>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</si>
  <si>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</si>
  <si>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</si>
  <si>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</si>
  <si>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</si>
  <si>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</si>
  <si>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</si>
  <si>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</si>
  <si>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</si>
  <si>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</si>
  <si>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</si>
  <si>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</si>
  <si>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</si>
  <si>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</si>
  <si>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</si>
  <si>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</si>
  <si>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</si>
  <si>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</si>
  <si>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</si>
  <si>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</si>
  <si>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</si>
  <si>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</si>
  <si>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</si>
  <si>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</si>
  <si>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</si>
  <si>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</si>
  <si>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</si>
  <si>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</si>
  <si>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</si>
  <si>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</si>
  <si>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</si>
  <si>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</si>
  <si>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</si>
  <si>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</si>
  <si>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</si>
  <si>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</si>
  <si>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</si>
  <si>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</si>
  <si>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</si>
  <si>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</si>
  <si>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</si>
  <si>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</si>
  <si>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</si>
  <si>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</si>
  <si>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</si>
  <si>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</si>
  <si>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</si>
  <si>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</si>
  <si>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</si>
  <si>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</si>
  <si>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</si>
  <si>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</si>
  <si>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</si>
  <si>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</si>
  <si>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</si>
  <si>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</si>
  <si>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</si>
  <si>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</si>
  <si>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</si>
  <si>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</si>
  <si>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</si>
  <si>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</si>
  <si>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</si>
  <si>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</si>
  <si>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</si>
  <si>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</si>
  <si>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</si>
  <si>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</si>
  <si>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</si>
  <si>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</si>
  <si>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</si>
  <si>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</si>
  <si>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</si>
  <si>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</si>
  <si>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</si>
  <si>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</si>
  <si>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</si>
  <si>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</si>
  <si>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</si>
  <si>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</si>
  <si>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</si>
  <si>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</si>
  <si>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</si>
  <si>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</si>
  <si>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</si>
  <si>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</si>
  <si>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</si>
  <si>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</si>
  <si>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</si>
  <si>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</si>
  <si>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</si>
  <si>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</si>
  <si>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</si>
  <si>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</si>
  <si>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</si>
  <si>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</si>
  <si>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</si>
  <si>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</si>
  <si>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</si>
  <si>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</si>
  <si>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</si>
  <si>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</si>
  <si>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</si>
  <si>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</si>
  <si>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</si>
  <si>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</si>
  <si>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</si>
  <si>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</si>
  <si>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</si>
  <si>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</si>
  <si>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</si>
  <si>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</si>
  <si>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</si>
  <si>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</si>
  <si>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</si>
  <si>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</si>
  <si>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</si>
  <si>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</si>
  <si>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</si>
  <si>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</si>
  <si>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</si>
  <si>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</si>
  <si>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</si>
  <si>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</si>
  <si>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</si>
  <si>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</si>
  <si>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</si>
  <si>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</si>
  <si>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</si>
  <si>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</si>
  <si>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</si>
  <si>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</si>
  <si>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</si>
  <si>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</si>
  <si>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</si>
  <si>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</si>
  <si>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</si>
  <si>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</si>
  <si>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</si>
  <si>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</si>
  <si>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</si>
  <si>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</si>
  <si>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</si>
  <si>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</si>
  <si>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</si>
  <si>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</si>
  <si>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</si>
  <si>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</si>
  <si>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</si>
  <si>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</si>
  <si>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</si>
  <si>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</si>
  <si>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</si>
  <si>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</si>
  <si>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</si>
  <si>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</si>
  <si>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</si>
  <si>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</si>
  <si>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</si>
  <si>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</si>
  <si>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</si>
  <si>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</si>
  <si>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</si>
  <si>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</si>
  <si>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</si>
  <si>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</si>
  <si>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</si>
  <si>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</si>
  <si>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</si>
  <si>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</si>
  <si>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</si>
  <si>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</si>
  <si>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</si>
  <si>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</si>
  <si>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</si>
  <si>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</si>
  <si>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</si>
  <si>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</si>
  <si>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</si>
  <si>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</si>
  <si>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</si>
  <si>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</si>
  <si>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</si>
  <si>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</si>
  <si>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</si>
  <si>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</si>
  <si>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</si>
  <si>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</si>
  <si>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</si>
  <si>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</si>
  <si>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</si>
  <si>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</si>
  <si>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</si>
  <si>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</si>
  <si>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</si>
  <si>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</si>
  <si>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</si>
  <si>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</si>
  <si>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</si>
  <si>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</si>
  <si>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</si>
  <si>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</si>
  <si>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</si>
  <si>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</si>
  <si>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</si>
  <si>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</si>
  <si>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</si>
  <si>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</si>
  <si>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</si>
  <si>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</si>
  <si>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</si>
  <si>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</si>
  <si>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</si>
  <si>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</si>
  <si>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</si>
  <si>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</si>
  <si>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</si>
  <si>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</si>
  <si>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</si>
  <si>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</si>
  <si>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</si>
  <si>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</si>
  <si>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</si>
  <si>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</si>
  <si>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</si>
  <si>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</si>
  <si>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</si>
  <si>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</si>
  <si>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</si>
  <si>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</si>
  <si>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</si>
  <si>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</si>
  <si>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</si>
  <si>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</si>
  <si>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</si>
  <si>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</si>
  <si>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</si>
  <si>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</si>
  <si>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</si>
  <si>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</si>
  <si>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</si>
  <si>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</si>
  <si>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</si>
  <si>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</si>
  <si>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</si>
  <si>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</si>
  <si>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</si>
  <si>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</si>
  <si>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</si>
  <si>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</si>
  <si>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</si>
  <si>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</si>
  <si>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</si>
  <si>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</si>
  <si>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</si>
  <si>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</si>
  <si>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</si>
  <si>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</si>
  <si>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</si>
  <si>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</si>
  <si>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</si>
  <si>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</si>
  <si>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</si>
  <si>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</si>
  <si>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</si>
  <si>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</si>
  <si>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</si>
  <si>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</si>
  <si>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</si>
  <si>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</si>
  <si>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</si>
  <si>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</si>
  <si>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</si>
  <si>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</si>
  <si>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</si>
  <si>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</si>
  <si>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</si>
  <si>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</si>
  <si>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</si>
  <si>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</si>
  <si>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</si>
  <si>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</si>
  <si>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</si>
  <si>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</si>
  <si>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</si>
  <si>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</si>
  <si>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</si>
  <si>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2111051250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</si>
  <si>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</si>
  <si>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</si>
  <si>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</si>
  <si>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</si>
  <si>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</si>
  <si>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</si>
  <si>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</si>
  <si>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</si>
  <si>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</si>
  <si>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</si>
  <si>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</si>
  <si>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</si>
  <si>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</si>
  <si>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</si>
  <si>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</si>
  <si>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</si>
  <si>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</si>
  <si>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</si>
  <si>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</si>
  <si>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</si>
  <si>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</si>
  <si>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</si>
  <si>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</si>
  <si>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</si>
  <si>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</si>
  <si>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</si>
  <si>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</si>
  <si>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</si>
  <si>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</si>
  <si>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</si>
  <si>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</si>
  <si>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</si>
  <si>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</si>
  <si>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</si>
  <si>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</si>
  <si>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</si>
  <si>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</si>
  <si>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</si>
  <si>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</si>
  <si>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</si>
  <si>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</si>
  <si>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</si>
  <si>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</si>
  <si>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</si>
  <si>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</si>
  <si>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</si>
  <si>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</si>
  <si>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</si>
  <si>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</si>
  <si>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</si>
  <si>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</si>
  <si>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</si>
  <si>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</si>
  <si>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</si>
  <si>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</si>
  <si>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</si>
  <si>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</si>
  <si>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</si>
  <si>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</si>
  <si>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</si>
  <si>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</si>
  <si>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</si>
  <si>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</si>
  <si>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</si>
  <si>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</si>
  <si>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</si>
  <si>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</si>
  <si>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</si>
  <si>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</si>
  <si>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</si>
  <si>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</si>
  <si>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</si>
  <si>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</si>
  <si>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</si>
  <si>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</si>
  <si>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</si>
  <si>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</si>
  <si>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</si>
  <si>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</si>
  <si>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</si>
  <si>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</si>
  <si>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</si>
  <si>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</si>
  <si>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</si>
  <si>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</si>
  <si>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</si>
  <si>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</si>
  <si>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</si>
  <si>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</si>
  <si>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</si>
  <si>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</si>
  <si>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</si>
  <si>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</si>
  <si>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</si>
  <si>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</si>
  <si>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</si>
  <si>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</si>
  <si>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</si>
  <si>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</si>
  <si>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</si>
  <si>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</si>
  <si>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</si>
  <si>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</si>
  <si>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</si>
  <si>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</si>
  <si>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</si>
  <si>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</si>
  <si>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</si>
  <si>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</si>
  <si>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</si>
  <si>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</si>
  <si>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</si>
  <si>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</si>
  <si>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</si>
  <si>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</si>
  <si>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</si>
  <si>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</si>
  <si>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</si>
  <si>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</si>
  <si>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</si>
  <si>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</si>
  <si>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</si>
  <si>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</si>
  <si>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</si>
  <si>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</si>
  <si>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</si>
  <si>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</si>
  <si>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</si>
  <si>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</si>
  <si>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</si>
  <si>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</si>
  <si>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</si>
  <si>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</si>
  <si>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</si>
  <si>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</si>
  <si>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</si>
  <si>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</si>
  <si>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</si>
  <si>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</si>
  <si>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</si>
  <si>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</si>
  <si>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</si>
  <si>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</si>
  <si>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</si>
  <si>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</si>
  <si>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</si>
  <si>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</si>
  <si>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</si>
  <si>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</si>
  <si>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</si>
  <si>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</si>
  <si>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</si>
  <si>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</si>
  <si>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</si>
  <si>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</si>
  <si>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</si>
  <si>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</si>
  <si>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</si>
  <si>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</si>
  <si>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</si>
  <si>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</si>
  <si>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</si>
  <si>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</si>
  <si>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</si>
  <si>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</si>
  <si>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</si>
  <si>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</si>
  <si>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</si>
  <si>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</si>
  <si>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</si>
  <si>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</si>
  <si>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</si>
  <si>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</si>
  <si>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</si>
  <si>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</si>
  <si>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</si>
  <si>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</si>
  <si>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</si>
  <si>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</si>
  <si>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</si>
  <si>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</si>
  <si>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</si>
  <si>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</si>
  <si>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</si>
  <si>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</si>
  <si>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</si>
  <si>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</si>
  <si>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</si>
  <si>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</si>
  <si>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</si>
  <si>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</si>
  <si>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</si>
  <si>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</si>
  <si>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</si>
  <si>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</si>
  <si>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</si>
  <si>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</si>
  <si>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</si>
  <si>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</si>
  <si>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</si>
  <si>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</si>
  <si>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</si>
  <si>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</si>
  <si>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</si>
  <si>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</si>
  <si>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</si>
  <si>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</si>
  <si>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</si>
  <si>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</si>
  <si>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</si>
  <si>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</si>
  <si>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</si>
  <si>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</si>
  <si>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</si>
  <si>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</si>
  <si>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</si>
  <si>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</si>
  <si>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</si>
  <si>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</si>
  <si>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</si>
  <si>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</si>
  <si>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HOTEL UNNA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</si>
  <si>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</si>
  <si>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</si>
  <si>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</si>
  <si>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</si>
  <si>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</si>
  <si>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</si>
  <si>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</si>
  <si>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</si>
  <si>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</si>
  <si>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</si>
  <si>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</si>
  <si>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</si>
  <si>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</si>
  <si>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</si>
  <si>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</si>
  <si>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</si>
  <si>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</si>
  <si>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</si>
  <si>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</si>
  <si>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</si>
  <si>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</si>
  <si>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</si>
  <si>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</si>
  <si>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</si>
  <si>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</si>
  <si>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</si>
  <si>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</si>
  <si>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</si>
  <si>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</si>
  <si>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</si>
  <si>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</si>
  <si>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</si>
  <si>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</si>
  <si>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</si>
  <si>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</si>
  <si>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</si>
  <si>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</si>
  <si>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</si>
  <si>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</si>
  <si>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</si>
  <si>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</si>
  <si>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</si>
  <si>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</si>
  <si>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</si>
  <si>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</si>
  <si>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</si>
  <si>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</si>
  <si>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</si>
  <si>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</si>
  <si>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</si>
  <si>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</si>
  <si>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</si>
  <si>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</si>
  <si>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</si>
  <si>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</si>
  <si>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</si>
  <si>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</si>
  <si>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</si>
  <si>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</si>
  <si>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</si>
  <si>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</si>
  <si>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</si>
  <si>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</si>
  <si>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</si>
  <si>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</si>
  <si>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</si>
  <si>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</si>
  <si>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</si>
  <si>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</si>
  <si>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</si>
  <si>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</si>
  <si>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</si>
  <si>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</si>
  <si>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</si>
  <si>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</si>
  <si>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</si>
  <si>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</si>
  <si>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</si>
  <si>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</si>
  <si>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</si>
  <si>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</si>
  <si>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</si>
  <si>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</si>
  <si>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</si>
  <si>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</si>
  <si>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</si>
  <si>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</si>
  <si>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</si>
  <si>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</si>
  <si>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</si>
  <si>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</si>
  <si>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</si>
  <si>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</si>
  <si>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</si>
  <si>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</si>
  <si>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</si>
  <si>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</si>
  <si>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</si>
  <si>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</si>
  <si>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</si>
  <si>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</si>
  <si>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</si>
  <si>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</si>
  <si>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</si>
  <si>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</si>
  <si>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</si>
  <si>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</si>
  <si>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</si>
  <si>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</si>
  <si>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</si>
  <si>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</si>
  <si>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</si>
  <si>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</si>
  <si>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</si>
  <si>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</si>
  <si>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</si>
  <si>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</si>
  <si>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</si>
  <si>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</si>
  <si>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</si>
  <si>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</si>
  <si>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</si>
  <si>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</si>
  <si>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</si>
  <si>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</si>
  <si>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</si>
  <si>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</si>
  <si>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</si>
  <si>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</si>
  <si>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</si>
  <si>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</si>
  <si>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</si>
  <si>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</si>
  <si>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</si>
  <si>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</si>
  <si>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</si>
  <si>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</si>
  <si>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</si>
  <si>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</si>
  <si>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</si>
  <si>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</si>
  <si>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</si>
  <si>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</si>
  <si>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</si>
  <si>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</si>
  <si>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</si>
  <si>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</si>
  <si>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</si>
  <si>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</si>
  <si>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</si>
  <si>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</si>
  <si>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</si>
  <si>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</si>
  <si>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</si>
  <si>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</si>
  <si>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</si>
  <si>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</si>
  <si>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</si>
  <si>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</si>
  <si>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</si>
  <si>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</si>
  <si>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</si>
  <si>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</si>
  <si>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</si>
  <si>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</si>
  <si>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</si>
  <si>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</si>
  <si>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</si>
  <si>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</si>
  <si>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</si>
  <si>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</si>
  <si>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</si>
  <si>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</si>
  <si>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</si>
  <si>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</si>
  <si>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</si>
  <si>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</si>
  <si>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</si>
  <si>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</si>
  <si>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</si>
  <si>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</si>
  <si>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</si>
  <si>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</si>
  <si>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</si>
  <si>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</si>
  <si>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</si>
  <si>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</si>
  <si>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</si>
  <si>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</si>
  <si>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</si>
  <si>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</si>
  <si>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</si>
  <si>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</si>
  <si>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</si>
  <si>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</si>
  <si>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</si>
  <si>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</si>
  <si>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</si>
  <si>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</si>
  <si>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</si>
  <si>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</si>
  <si>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</si>
  <si>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</si>
  <si>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</si>
  <si>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</si>
  <si>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</si>
  <si>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</si>
  <si>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</si>
  <si>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</si>
  <si>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</si>
  <si>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</si>
  <si>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</si>
  <si>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</si>
  <si>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</si>
  <si>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</si>
  <si>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</si>
  <si>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</si>
  <si>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</si>
  <si>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</si>
  <si>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</si>
  <si>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</si>
  <si>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</si>
  <si>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</si>
  <si>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</si>
  <si>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</si>
  <si>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</si>
  <si>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</si>
  <si>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</si>
  <si>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</si>
  <si>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</si>
  <si>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</si>
  <si>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</si>
  <si>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</si>
  <si>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</si>
  <si>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</si>
  <si>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</si>
  <si>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</si>
  <si>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</si>
  <si>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</si>
  <si>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</si>
  <si>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</si>
  <si>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</si>
  <si>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</si>
  <si>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</si>
  <si>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</si>
  <si>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</si>
  <si>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</si>
  <si>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</si>
  <si>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</si>
  <si>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</si>
  <si>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</si>
  <si>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</si>
  <si>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</si>
  <si>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</si>
  <si>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</si>
  <si>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</si>
  <si>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</si>
  <si>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</si>
  <si>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</si>
  <si>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</si>
  <si>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</si>
  <si>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</si>
  <si>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</si>
  <si>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</si>
  <si>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</si>
  <si>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</si>
  <si>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</si>
  <si>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</si>
  <si>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</si>
  <si>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</si>
  <si>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</si>
  <si>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</si>
  <si>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</si>
  <si>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</si>
  <si>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</si>
  <si>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</si>
  <si>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</si>
  <si>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</si>
  <si>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</si>
  <si>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</si>
  <si>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</si>
  <si>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</si>
  <si>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</si>
  <si>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</si>
  <si>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</si>
  <si>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</si>
  <si>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</si>
  <si>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</si>
  <si>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</si>
  <si>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</si>
  <si>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</si>
  <si>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</si>
  <si>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</si>
  <si>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</si>
  <si>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</si>
  <si>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</si>
  <si>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</si>
  <si>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</si>
  <si>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</si>
  <si>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</si>
  <si>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</si>
  <si>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</si>
  <si>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330171406</t>
  </si>
  <si>
    <t>TECIDO FELPA SOHO CARAM INDANT90% ALG 10% POL 1,44/MATÉRIA PRIMA</t>
  </si>
  <si>
    <t>1114309657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</si>
  <si>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</si>
  <si>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</si>
  <si>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</si>
  <si>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</si>
  <si>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LENÇOL BAIXO BARRA ESTREITA 4LADOS 300F MISTO 1,60 X 2,60</t>
  </si>
  <si>
    <t>2102861412</t>
  </si>
  <si>
    <t>LENÇOL BAIXO BARRA ESTREITA 4 LADOS 300F MISTO 2,70 X 2,90</t>
  </si>
  <si>
    <t>2102861413</t>
  </si>
  <si>
    <t>FRONHA 3 ABAS 5CM 300F MISTO CLASSIC 50 X 70</t>
  </si>
  <si>
    <t>2105161417</t>
  </si>
  <si>
    <t>CAPA ALMOFADA S/ ABAS - GORGURINHO CINZA - MODELO ENVELOPE - 0,40 X 0,50</t>
  </si>
  <si>
    <t>2111031420</t>
  </si>
  <si>
    <t>CAPA ALMOFADA 4 ABAS - 300F 100% ALG. ACAB. VITORIANO C/ LOGO E FECHAMENTO ENVELOPE - 0,35 X 0,45</t>
  </si>
  <si>
    <t>2111231441</t>
  </si>
  <si>
    <t>CAPA ALMOFADA 4 ABAS - 200F 100% ALG. ACAB. CLASSIC - C/ ZÍPER - 0,30 X 0,40</t>
  </si>
  <si>
    <t>2111238623</t>
  </si>
  <si>
    <t>RECHEIO ALMOFADA FIBRA SILICONIZADA - 180F MISTO - 0,40 X 0,50</t>
  </si>
  <si>
    <t>2114070124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</si>
  <si>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</si>
  <si>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</si>
  <si>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</si>
  <si>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</si>
  <si>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</si>
  <si>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</si>
  <si>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</si>
  <si>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</si>
  <si>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</si>
  <si>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</si>
  <si>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</si>
  <si>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</si>
  <si>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</si>
  <si>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</si>
  <si>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</si>
  <si>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</si>
  <si>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</si>
  <si>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</si>
  <si>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</si>
  <si>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</si>
  <si>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</si>
  <si>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</si>
  <si>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</si>
  <si>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</si>
  <si>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</si>
  <si>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</si>
  <si>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</si>
  <si>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</si>
  <si>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</si>
  <si>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</si>
  <si>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</si>
  <si>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</si>
  <si>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</si>
  <si>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</si>
  <si>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</si>
  <si>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</si>
  <si>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</si>
  <si>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</si>
  <si>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</si>
  <si>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</si>
  <si>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</si>
  <si>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</si>
  <si>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</si>
  <si>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</si>
  <si>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</si>
  <si>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</si>
  <si>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</si>
  <si>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</si>
  <si>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</si>
  <si>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</si>
  <si>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ROUPÃO PIQUET SERRANO TAM G</t>
  </si>
  <si>
    <t>3301071848</t>
  </si>
  <si>
    <t>TOALHA PISO DUPLO CARAMELO 0,45 X 0,90</t>
  </si>
  <si>
    <t>3302045823</t>
  </si>
  <si>
    <t>TOALHA BANHO CARAMELO C/ LOGO 0,98 X 1,50</t>
  </si>
  <si>
    <t>3302119211</t>
  </si>
  <si>
    <t>TOALHA SOHO ROSTO CARAMELO 45 X 1,00 COM LOGO</t>
  </si>
  <si>
    <t>3302128548</t>
  </si>
  <si>
    <t>TOALHA ROSTO BEACH BRANCO/CASTOR - 0,40 X 0,75</t>
  </si>
  <si>
    <t>3302331408</t>
  </si>
  <si>
    <t>LENÇOL BAIXO BARRA ESTREITA 4 LADOS 230F MISTO 2,00 X 3,05</t>
  </si>
  <si>
    <t>92101021443</t>
  </si>
  <si>
    <t>LENÇOL BAIXO BARRA ESTREITA 4 LADOS 230F MISTO 2,60 X 3,00</t>
  </si>
  <si>
    <t>92101021444</t>
  </si>
  <si>
    <t>LENÇOL CIMA 230FMISTO ACAB DODICI PRETO E BEGE 1,87 X 2,60</t>
  </si>
  <si>
    <t>92101024472</t>
  </si>
  <si>
    <t>S.FRONHA 2 ABAS 5 CM 230FIOS MISTO CLASSIC 0,50 X 0,90</t>
  </si>
  <si>
    <t>92101032357</t>
  </si>
  <si>
    <t>LENÇOL BARRA ESTREITA 4 LADOS 230F MISTO 2,95 X 3,05</t>
  </si>
  <si>
    <t>92101065362</t>
  </si>
  <si>
    <t>LENÇOL DE BAIXO BARRA ESTREITA 4 LADOS 300FMISTO STRIPE ESTREITO LISTRA HORIZONTAL 3,10 X3,00</t>
  </si>
  <si>
    <t>92101068053</t>
  </si>
  <si>
    <t>LENÇOL CIMA 230F MISTO CLASSIC 2,00 X 2,55</t>
  </si>
  <si>
    <t>92102030432</t>
  </si>
  <si>
    <t>LENÇOL CIMA 230FIOS MISTO CLASSIC 2,60 X 2,50</t>
  </si>
  <si>
    <t>92102111810</t>
  </si>
  <si>
    <t>FRONHA 2 ABAS 5cm - CLASSIC - 400F 100% ALGODÃO ( NOVO ) - 0,50 X 0,70</t>
  </si>
  <si>
    <t>CAPA ( DUVET ) - 230F MISTO C/ FESTONÊ "T" LINHA PRATA - PONTAS ARREDONDADAS - 2,05 X 2,55</t>
  </si>
  <si>
    <t>92115170167</t>
  </si>
  <si>
    <t>LENÇOL CIMA CLASSIC 230F MISTO CLASSIC 2,95 X 2,55</t>
  </si>
  <si>
    <t>92115864092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</si>
  <si>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</si>
  <si>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</si>
  <si>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</si>
  <si>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</si>
  <si>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</si>
  <si>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</si>
  <si>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</si>
  <si>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</si>
  <si>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</si>
  <si>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</si>
  <si>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</si>
  <si>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</si>
  <si>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</si>
  <si>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</si>
  <si>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</si>
  <si>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</si>
  <si>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</si>
  <si>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</si>
  <si>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</si>
  <si>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</si>
  <si>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</si>
  <si>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</si>
  <si>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</si>
  <si>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</si>
  <si>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</si>
  <si>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</si>
  <si>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</si>
  <si>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</si>
  <si>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</si>
  <si>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</si>
  <si>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</si>
  <si>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.TOALHA BANHO C/ CAPUZ BABY - CORDONE ROSÊ C/ LOGO 70 X 90 "OHANA"</t>
  </si>
  <si>
    <t>.TOALHA BANHO C/ CAPUZ BABY - CORDONE AZUL C/ LOGO 70 X 90  "KAI"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</si>
  <si>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</si>
  <si>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</si>
  <si>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</si>
  <si>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</si>
  <si>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</si>
  <si>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</si>
  <si>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2101061455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</si>
  <si>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</si>
  <si>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</si>
  <si>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</si>
  <si>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</si>
  <si>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CAPA ALMOFADA 4 ABAS 5cm - CLASSIC - 300F 100% ALGODÃO - 0,30 X 0,40 - BORDADO LETRAS</t>
  </si>
  <si>
    <t>2111021228</t>
  </si>
  <si>
    <t>CAPA ALMOFADA - 300F MISTO - S/ ABAS - ACAB. CORDONÊ BRANCO - 0,30 X 0,70</t>
  </si>
  <si>
    <t>2111851481</t>
  </si>
  <si>
    <t>RECHEIO ALMOFADA - 183F MISTO - 0,30 X 0,70</t>
  </si>
  <si>
    <t>2114071446</t>
  </si>
  <si>
    <t>RECHEIO DE ALMOFADA - 180F MISTO - 0,30 X 0,40</t>
  </si>
  <si>
    <t>SAIA DE LYCRA COR PRETO - 1,82 X 2,00 X 0,25</t>
  </si>
  <si>
    <t>2120121467</t>
  </si>
  <si>
    <t>COLCHA PIQUET DREAM BARRA 3CM COM EMENDA 2,70 X 2,45</t>
  </si>
  <si>
    <t>2121061437</t>
  </si>
  <si>
    <t>COLCHA PIQUET DREAM BARRA 3CM COM EMENDA 2,90 X 2,45</t>
  </si>
  <si>
    <t>2121061439</t>
  </si>
  <si>
    <t>PORTA TRAV PIQUET DREAM 4 ABAS 0,50 X 0,70</t>
  </si>
  <si>
    <t>2122101438</t>
  </si>
  <si>
    <t>PORTA TRAV PIQUET DREAM 4 ABAS 0,50 X 0,90</t>
  </si>
  <si>
    <t>2122101440</t>
  </si>
  <si>
    <t>PONCHO FELPA VELUX BRANCO C/ BOLSO EM FELPA BRANCA - 4 ANOS - C/ LOGO</t>
  </si>
  <si>
    <t>PONCHO FELPA VELUX BRANCO C/ BOLSO EM FELPA BRANCA - 2 ANOS - C/ LOGO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</si>
  <si>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</si>
  <si>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</si>
  <si>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</si>
  <si>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</si>
  <si>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</si>
  <si>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JG 2 PÇS GUARDANAPO BELL ACABAMENTO FESTONÊ BORDO 7078 80%ALGODÃO / 20% LINHO COR CRU - 0,30 X 0,30</t>
  </si>
  <si>
    <t>2201021364</t>
  </si>
  <si>
    <t>JG 2 PÇS GUARDANAPO CANDLES ACABAMENTO FESTONÊ BORDO 7078 80%ALGODÃO / 20% LINHO COR CRU - 0,30 X 0,30</t>
  </si>
  <si>
    <t>2201021365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</si>
  <si>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</si>
  <si>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</si>
  <si>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</si>
  <si>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3161091426</t>
  </si>
  <si>
    <t>TOALHA DE BANHO BABY  COM CAPUZ FELPA BRANCA E CORDONÊ ROSE C/ LOGO - 0,70 X 0,90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</si>
  <si>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</si>
  <si>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</si>
  <si>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</si>
  <si>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</si>
  <si>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</si>
  <si>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</si>
  <si>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</si>
  <si>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JOGO LENÇOL BABY - 400F - DUPLO AJOUR - 0,70 X 1,30 X 0,15 - LC 1,10 X 1,60 - FR 0,30 X 0,40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</si>
  <si>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</si>
  <si>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</si>
  <si>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</si>
  <si>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</si>
  <si>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</si>
  <si>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</si>
  <si>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ROUPÃO FELPA VELUX BRANCO M COM LOGO -MODELO KIMONO</t>
  </si>
  <si>
    <t>ROUPÃO FELPA VELUX BRANCO G COM LOGO -MODELO KIMONO</t>
  </si>
  <si>
    <t>ROUPÃO VELUX BRANCO M - MODELO KIMONO</t>
  </si>
  <si>
    <t>3301091442</t>
  </si>
  <si>
    <t>ROUPÃO FELPA CARAMELO - M</t>
  </si>
  <si>
    <t>CAPA ALMOFADA 4 ABAS 400F 100%ALGODÃO 0,30 X 0,40 ACABAMENTO FESTONÊ COR BRANCA C/ LOGO + VOAR COR BRANCA</t>
  </si>
  <si>
    <t>92111016797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</si>
  <si>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</si>
  <si>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</si>
  <si>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</si>
  <si>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</si>
  <si>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</si>
  <si>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</si>
  <si>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</si>
  <si>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</si>
  <si>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</si>
  <si>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</si>
  <si>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</si>
  <si>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</si>
  <si>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</si>
  <si>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</si>
  <si>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</si>
  <si>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</si>
  <si>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</si>
  <si>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</si>
  <si>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</si>
  <si>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</si>
  <si>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</si>
  <si>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</si>
  <si>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</si>
  <si>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</si>
  <si>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</si>
  <si>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</si>
  <si>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</si>
  <si>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</si>
  <si>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</si>
  <si>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</si>
  <si>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</si>
  <si>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</si>
  <si>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</si>
  <si>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</si>
  <si>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</si>
  <si>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</si>
  <si>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</si>
  <si>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</si>
  <si>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</si>
  <si>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</si>
  <si>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</si>
  <si>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</si>
  <si>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</si>
  <si>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</si>
  <si>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</si>
  <si>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</si>
  <si>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</si>
  <si>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</si>
  <si>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</si>
  <si>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</si>
  <si>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</si>
  <si>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</si>
  <si>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</si>
  <si>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</si>
  <si>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</si>
  <si>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</si>
  <si>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</si>
  <si>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</si>
  <si>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</si>
  <si>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</si>
  <si>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</si>
  <si>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</si>
  <si>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</si>
  <si>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</si>
  <si>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</si>
  <si>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</si>
  <si>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</si>
  <si>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</si>
  <si>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</si>
  <si>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</si>
  <si>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</si>
  <si>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</si>
  <si>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</si>
  <si>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</si>
  <si>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</si>
  <si>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</si>
  <si>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</si>
  <si>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</si>
  <si>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</si>
  <si>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</si>
  <si>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</si>
  <si>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</si>
  <si>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</si>
  <si>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</si>
  <si>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 PEÇA C/ DEFEITO</t>
  </si>
  <si>
    <t>101/102</t>
  </si>
  <si>
    <t xml:space="preserve">Peças c/etiq soltando </t>
  </si>
  <si>
    <t>Peças c/ amarrador solto.</t>
  </si>
  <si>
    <t xml:space="preserve">TOALHA DE BANHO BRANCA C/ CAPUZ BABY - CORDONÊ VERDE C/ MONIOGRAMANA COR DO CORDONÊ (VERDE) -  70 X 90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</si>
  <si>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k6363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</si>
</sst>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4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0" fillId="0" borderId="0" xfId="0" applyNumberFormat="1"/>
    <xf numFmtId="0" fontId="19" fillId="0" borderId="0" xfId="0" applyFont="1" applyAlignment="1" applyProtection="1">
      <alignment horizontal="center"/>
      <protection locked="0"/>
    </xf>
    <xf numFmtId="0" fontId="0" fillId="0" borderId="0" xfId="0" applyNumberFormat="1" applyAlignment="1" applyProtection="1">
      <alignment horizontal="left"/>
      <protection locked="0"/>
    </xf>
    <xf numFmtId="0" fontId="0" fillId="0" borderId="0" xfId="0" applyNumberFormat="1" applyProtection="1">
      <protection locked="0"/>
    </xf>
    <xf numFmtId="0" fontId="27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Fill="1" applyAlignment="1" applyProtection="1">
      <protection locked="0"/>
    </xf>
    <xf numFmtId="14" fontId="0" fillId="0" borderId="0" xfId="0" applyNumberFormat="1" applyAlignment="1" applyProtection="1">
      <protection locked="0"/>
    </xf>
    <xf numFmtId="0" fontId="0" fillId="2" borderId="0" xfId="0" applyNumberFormat="1" applyFill="1" applyAlignment="1" applyProtection="1">
      <alignment horizontal="center" wrapText="1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7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489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790" tableType="queryTable" totalsRowShown="0">
  <autoFilter ref="F3:N5790"/>
  <tableColumns count="9">
    <tableColumn id="1" uniqueName="1" name="ID" queryTableFieldId="1" dataDxfId="36"/>
    <tableColumn id="2" uniqueName="2" name="Código" queryTableFieldId="2" dataDxfId="35"/>
    <tableColumn id="3" uniqueName="3" name="Razão Social" queryTableFieldId="3" dataDxfId="34"/>
    <tableColumn id="4" uniqueName="4" name="Nome Fantasia" queryTableFieldId="4" dataDxfId="33"/>
    <tableColumn id="5" uniqueName="5" name="CNPJ/CPF" queryTableFieldId="5" dataDxfId="32"/>
    <tableColumn id="6" uniqueName="6" name="Desativação" queryTableFieldId="6"/>
    <tableColumn id="7" uniqueName="7" name="Cadastro" queryTableFieldId="7" dataDxfId="31"/>
    <tableColumn id="8" uniqueName="8" name="Alteração" queryTableFieldId="8" dataDxfId="30"/>
    <tableColumn id="10" uniqueName="10" name="Alteração2" queryTableFieldId="10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89" tableType="queryTable" totalsRowShown="0">
  <autoFilter ref="A1:C1389"/>
  <tableColumns count="3">
    <tableColumn id="3" uniqueName="3" name="Data.Column2" queryTableFieldId="3"/>
    <tableColumn id="2" uniqueName="2" name="Descrição Produto" queryTableFieldId="2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4" totalsRowShown="0" headerRowDxfId="28" dataDxfId="27">
  <autoFilter ref="C20:Z1594"/>
  <sortState ref="C63:Z820">
    <sortCondition ref="T20:T1600"/>
  </sortState>
  <tableColumns count="24">
    <tableColumn id="1" name="Oficina   " dataDxfId="26"/>
    <tableColumn id="18" name="Cliente" dataDxfId="25"/>
    <tableColumn id="16" name="Pedido" dataDxfId="24"/>
    <tableColumn id="24" name="Nome Fantasia " dataDxfId="23">
      <calculatedColumnFormula>IFERROR(VLOOKUP(TAB_OFICINAS[[#This Row],[Cliente]],LISTA_DE_CLIENTES[[Código]:[Nome Fantasia]],2,FALSE),"")</calculatedColumnFormula>
    </tableColumn>
    <tableColumn id="21" name="Razão Social " dataDxfId="22">
      <calculatedColumnFormula>IFERROR(VLOOKUP(TAB_OFICINAS[[#This Row],[Cliente]],LISTA_DE_CLIENTES[[Código]:[Nome Fantasia]],3,FALSE),"")</calculatedColumnFormula>
    </tableColumn>
    <tableColumn id="3" name="Codigo Produto " dataDxfId="21"/>
    <tableColumn id="2" name="Item" dataDxfId="20"/>
    <tableColumn id="4" name="Qtd pçs Enviadas" dataDxfId="19" dataCellStyle="Vírgula"/>
    <tableColumn id="5" name="Data Envio" dataDxfId="18" dataCellStyle="Moeda"/>
    <tableColumn id="6" name="Qtd pçs Retornadas " dataDxfId="17" dataCellStyle="Vírgula"/>
    <tableColumn id="9" name="Data Prometida  Entrega" dataDxfId="16"/>
    <tableColumn id="7" name="Data Retorno Produção" dataDxfId="15"/>
    <tableColumn id="22" name="Dias Para Entrega" dataDxfId="14" dataCellStyle="Vírgula">
      <calculatedColumnFormula>TAB_OFICINAS[[#This Row],[Data Retorno Produção]]-TAB_OFICINAS[[#This Row],[Data Prometida  Entrega]]</calculatedColumnFormula>
    </tableColumn>
    <tableColumn id="20" name="Status Entrega" dataDxfId="13" dataCellStyle="Vírgula">
      <calculatedColumnFormula>IF(TAB_OFICINAS[[#This Row],[Dias Para Entrega]]&lt;=0,"Em dia","Dia de Atrasado")</calculatedColumnFormula>
    </tableColumn>
    <tableColumn id="8" name="Qtd pçs Pendetente " dataDxfId="12" dataCellStyle="Vírgula">
      <calculatedColumnFormula>IFERROR(TAB_OFICINAS[[#This Row],[Qtd pçs Enviadas]]-TAB_OFICINAS[[#This Row],[Qtd pçs Retornadas ]],"N/D ")</calculatedColumnFormula>
    </tableColumn>
    <tableColumn id="25" name="Peças Com Defeitos" dataDxfId="11" dataCellStyle="Vírgula"/>
    <tableColumn id="10" name="NF FAF/TC" dataDxfId="10"/>
    <tableColumn id="11" name="NF OFICINA" dataDxfId="9"/>
    <tableColumn id="13" name="Valor Unit" dataDxfId="8" dataCellStyle="Moeda"/>
    <tableColumn id="14" name="Valot Total" dataDxfId="7" dataCellStyle="Moeda">
      <calculatedColumnFormula>IFERROR(TAB_OFICINAS[[#This Row],[Valor Unit]]*TAB_OFICINAS[[#This Row],[Qtd pçs Enviadas]]," ")</calculatedColumnFormula>
    </tableColumn>
    <tableColumn id="15" name="Data Vencimento" dataDxfId="6"/>
    <tableColumn id="17" name="Entrada Manual" dataDxfId="5"/>
    <tableColumn id="19" name="Observações" dataDxfId="4"/>
    <tableColumn id="23" name="Status Peças " dataDxfId="3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23744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21273</v>
      </c>
    </row>
    <row r="24" spans="4:4">
      <c r="D24" t="s">
        <v>21683</v>
      </c>
    </row>
    <row r="25" spans="4:4">
      <c r="D25" t="s">
        <v>23743</v>
      </c>
    </row>
    <row r="26" spans="4:4">
      <c r="D26" t="s">
        <v>23029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790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s="136" t="s">
        <v>6260</v>
      </c>
      <c r="G4" s="136">
        <v>1</v>
      </c>
      <c r="H4" s="136" t="s">
        <v>6261</v>
      </c>
      <c r="I4" s="136" t="s">
        <v>6262</v>
      </c>
      <c r="J4" s="136" t="s">
        <v>6263</v>
      </c>
      <c r="L4" s="136"/>
      <c r="M4" s="136"/>
      <c r="N4" s="136"/>
    </row>
    <row r="5" spans="5:14">
      <c r="F5" s="136" t="s">
        <v>6264</v>
      </c>
      <c r="G5" s="136"/>
      <c r="H5" s="136" t="s">
        <v>6265</v>
      </c>
      <c r="I5" s="136" t="s">
        <v>6266</v>
      </c>
      <c r="J5" s="136" t="s">
        <v>6267</v>
      </c>
      <c r="L5" s="136"/>
      <c r="M5" s="136"/>
      <c r="N5" s="136"/>
    </row>
    <row r="6" spans="5:14">
      <c r="F6" s="136" t="s">
        <v>6268</v>
      </c>
      <c r="G6" s="136">
        <v>3</v>
      </c>
      <c r="H6" s="136" t="s">
        <v>6269</v>
      </c>
      <c r="I6" s="136" t="s">
        <v>6269</v>
      </c>
      <c r="J6" s="136" t="s">
        <v>6270</v>
      </c>
      <c r="L6" s="136"/>
      <c r="M6" s="136"/>
      <c r="N6" s="136"/>
    </row>
    <row r="7" spans="5:14">
      <c r="F7" s="136" t="s">
        <v>6271</v>
      </c>
      <c r="G7" s="136">
        <v>4</v>
      </c>
      <c r="H7" s="136" t="s">
        <v>1348</v>
      </c>
      <c r="I7" s="136" t="s">
        <v>1349</v>
      </c>
      <c r="J7" s="136" t="s">
        <v>6272</v>
      </c>
      <c r="L7" s="136"/>
      <c r="M7" s="136"/>
      <c r="N7" s="136"/>
    </row>
    <row r="8" spans="5:14">
      <c r="F8" s="136" t="s">
        <v>6273</v>
      </c>
      <c r="G8" s="136">
        <v>5</v>
      </c>
      <c r="H8" s="136" t="s">
        <v>5906</v>
      </c>
      <c r="I8" s="136" t="s">
        <v>5907</v>
      </c>
      <c r="J8" s="136" t="s">
        <v>6274</v>
      </c>
      <c r="L8" s="136"/>
      <c r="M8" s="136"/>
      <c r="N8" s="136"/>
    </row>
    <row r="9" spans="5:14">
      <c r="F9" s="136" t="s">
        <v>6275</v>
      </c>
      <c r="G9" s="136">
        <v>6</v>
      </c>
      <c r="H9" s="136" t="s">
        <v>4156</v>
      </c>
      <c r="I9" s="136" t="s">
        <v>4157</v>
      </c>
      <c r="J9" s="136" t="s">
        <v>6276</v>
      </c>
      <c r="L9" s="136"/>
      <c r="M9" s="136"/>
      <c r="N9" s="136"/>
    </row>
    <row r="10" spans="5:14">
      <c r="F10" s="136" t="s">
        <v>6277</v>
      </c>
      <c r="G10" s="136">
        <v>7</v>
      </c>
      <c r="H10" s="136" t="s">
        <v>6278</v>
      </c>
      <c r="I10" s="136" t="s">
        <v>6279</v>
      </c>
      <c r="J10" s="136" t="s">
        <v>6280</v>
      </c>
      <c r="L10" s="136"/>
      <c r="M10" s="136"/>
      <c r="N10" s="136"/>
    </row>
    <row r="11" spans="5:14">
      <c r="F11" s="136" t="s">
        <v>6281</v>
      </c>
      <c r="G11" s="136">
        <v>8</v>
      </c>
      <c r="H11" s="136" t="s">
        <v>6282</v>
      </c>
      <c r="I11" s="136" t="s">
        <v>6283</v>
      </c>
      <c r="J11" s="136" t="s">
        <v>6284</v>
      </c>
      <c r="L11" s="136"/>
      <c r="M11" s="136"/>
      <c r="N11" s="136"/>
    </row>
    <row r="12" spans="5:14">
      <c r="F12" s="136" t="s">
        <v>6285</v>
      </c>
      <c r="G12" s="136">
        <v>9</v>
      </c>
      <c r="H12" s="136" t="s">
        <v>1844</v>
      </c>
      <c r="I12" s="136" t="s">
        <v>1845</v>
      </c>
      <c r="J12" s="136" t="s">
        <v>6286</v>
      </c>
      <c r="L12" s="136"/>
      <c r="M12" s="136"/>
      <c r="N12" s="136"/>
    </row>
    <row r="13" spans="5:14">
      <c r="F13" s="136" t="s">
        <v>6287</v>
      </c>
      <c r="G13" s="136">
        <v>10</v>
      </c>
      <c r="H13" s="136" t="s">
        <v>74</v>
      </c>
      <c r="I13" s="136" t="s">
        <v>75</v>
      </c>
      <c r="J13" s="136" t="s">
        <v>6288</v>
      </c>
      <c r="L13" s="136"/>
      <c r="M13" s="136"/>
      <c r="N13" s="136"/>
    </row>
    <row r="14" spans="5:14">
      <c r="F14" s="136" t="s">
        <v>6289</v>
      </c>
      <c r="G14" s="136">
        <v>11</v>
      </c>
      <c r="H14" s="136" t="s">
        <v>80</v>
      </c>
      <c r="I14" s="136" t="s">
        <v>81</v>
      </c>
      <c r="J14" s="136" t="s">
        <v>6290</v>
      </c>
      <c r="L14" s="136"/>
      <c r="M14" s="136"/>
      <c r="N14" s="136"/>
    </row>
    <row r="15" spans="5:14">
      <c r="F15" s="136" t="s">
        <v>6291</v>
      </c>
      <c r="G15" s="136">
        <v>12</v>
      </c>
      <c r="H15" s="136" t="s">
        <v>106</v>
      </c>
      <c r="I15" s="136" t="s">
        <v>107</v>
      </c>
      <c r="J15" s="136" t="s">
        <v>6292</v>
      </c>
      <c r="L15" s="136"/>
      <c r="M15" s="136"/>
      <c r="N15" s="136"/>
    </row>
    <row r="16" spans="5:14">
      <c r="F16" s="136" t="s">
        <v>6293</v>
      </c>
      <c r="G16" s="136">
        <v>13</v>
      </c>
      <c r="H16" s="136" t="s">
        <v>124</v>
      </c>
      <c r="I16" s="136" t="s">
        <v>125</v>
      </c>
      <c r="J16" s="136" t="s">
        <v>6294</v>
      </c>
      <c r="L16" s="136"/>
      <c r="M16" s="136"/>
      <c r="N16" s="136"/>
    </row>
    <row r="17" spans="6:14">
      <c r="F17" s="136" t="s">
        <v>6295</v>
      </c>
      <c r="G17" s="136">
        <v>14</v>
      </c>
      <c r="H17" s="136" t="s">
        <v>126</v>
      </c>
      <c r="I17" s="136" t="s">
        <v>127</v>
      </c>
      <c r="J17" s="136" t="s">
        <v>6296</v>
      </c>
      <c r="L17" s="136"/>
      <c r="M17" s="136"/>
      <c r="N17" s="136"/>
    </row>
    <row r="18" spans="6:14">
      <c r="F18" s="136" t="s">
        <v>6297</v>
      </c>
      <c r="G18" s="136">
        <v>15</v>
      </c>
      <c r="H18" s="136" t="s">
        <v>145</v>
      </c>
      <c r="I18" s="136" t="s">
        <v>146</v>
      </c>
      <c r="J18" s="136" t="s">
        <v>6298</v>
      </c>
      <c r="L18" s="136"/>
      <c r="M18" s="136"/>
      <c r="N18" s="136"/>
    </row>
    <row r="19" spans="6:14">
      <c r="F19" s="136" t="s">
        <v>6299</v>
      </c>
      <c r="G19" s="136">
        <v>16</v>
      </c>
      <c r="H19" s="136" t="s">
        <v>163</v>
      </c>
      <c r="I19" s="136" t="s">
        <v>164</v>
      </c>
      <c r="J19" s="136" t="s">
        <v>6300</v>
      </c>
      <c r="L19" s="136"/>
      <c r="M19" s="136"/>
      <c r="N19" s="136"/>
    </row>
    <row r="20" spans="6:14">
      <c r="F20" s="136" t="s">
        <v>6301</v>
      </c>
      <c r="G20" s="136">
        <v>17</v>
      </c>
      <c r="H20" s="136" t="s">
        <v>6302</v>
      </c>
      <c r="I20" s="136" t="s">
        <v>6303</v>
      </c>
      <c r="J20" s="136" t="s">
        <v>6304</v>
      </c>
      <c r="L20" s="136"/>
      <c r="M20" s="136"/>
      <c r="N20" s="136"/>
    </row>
    <row r="21" spans="6:14">
      <c r="F21" s="136" t="s">
        <v>6305</v>
      </c>
      <c r="G21" s="136">
        <v>18</v>
      </c>
      <c r="H21" s="136" t="s">
        <v>183</v>
      </c>
      <c r="I21" s="136" t="s">
        <v>184</v>
      </c>
      <c r="J21" s="136" t="s">
        <v>6306</v>
      </c>
      <c r="L21" s="136"/>
      <c r="M21" s="136"/>
      <c r="N21" s="136"/>
    </row>
    <row r="22" spans="6:14">
      <c r="F22" s="136" t="s">
        <v>6307</v>
      </c>
      <c r="G22" s="136">
        <v>19</v>
      </c>
      <c r="H22" s="136" t="s">
        <v>259</v>
      </c>
      <c r="I22" s="136" t="s">
        <v>260</v>
      </c>
      <c r="J22" s="136" t="s">
        <v>6308</v>
      </c>
      <c r="L22" s="136"/>
      <c r="M22" s="136"/>
      <c r="N22" s="136"/>
    </row>
    <row r="23" spans="6:14">
      <c r="F23" s="136" t="s">
        <v>6309</v>
      </c>
      <c r="G23" s="136">
        <v>20</v>
      </c>
      <c r="H23" s="136" t="s">
        <v>265</v>
      </c>
      <c r="I23" s="136" t="s">
        <v>266</v>
      </c>
      <c r="J23" s="136" t="s">
        <v>6310</v>
      </c>
      <c r="L23" s="136"/>
      <c r="M23" s="136"/>
      <c r="N23" s="136"/>
    </row>
    <row r="24" spans="6:14">
      <c r="F24" s="136" t="s">
        <v>6311</v>
      </c>
      <c r="G24" s="136">
        <v>21</v>
      </c>
      <c r="H24" s="136" t="s">
        <v>57</v>
      </c>
      <c r="I24" s="136" t="s">
        <v>58</v>
      </c>
      <c r="J24" s="136" t="s">
        <v>6312</v>
      </c>
      <c r="L24" s="136"/>
      <c r="M24" s="136"/>
      <c r="N24" s="136"/>
    </row>
    <row r="25" spans="6:14">
      <c r="F25" s="136" t="s">
        <v>6313</v>
      </c>
      <c r="G25" s="136">
        <v>22</v>
      </c>
      <c r="H25" s="136" t="s">
        <v>57</v>
      </c>
      <c r="I25" s="136" t="s">
        <v>57</v>
      </c>
      <c r="J25" s="136" t="s">
        <v>6314</v>
      </c>
      <c r="L25" s="136"/>
      <c r="M25" s="136"/>
      <c r="N25" s="136"/>
    </row>
    <row r="26" spans="6:14">
      <c r="F26" s="136" t="s">
        <v>6315</v>
      </c>
      <c r="G26" s="136">
        <v>23</v>
      </c>
      <c r="H26" s="136" t="s">
        <v>404</v>
      </c>
      <c r="I26" s="136" t="s">
        <v>405</v>
      </c>
      <c r="J26" s="136" t="s">
        <v>6316</v>
      </c>
      <c r="L26" s="136"/>
      <c r="M26" s="136"/>
      <c r="N26" s="136"/>
    </row>
    <row r="27" spans="6:14">
      <c r="F27" s="136" t="s">
        <v>6317</v>
      </c>
      <c r="G27" s="136">
        <v>24</v>
      </c>
      <c r="H27" s="136" t="s">
        <v>443</v>
      </c>
      <c r="I27" s="136" t="s">
        <v>444</v>
      </c>
      <c r="J27" s="136" t="s">
        <v>6318</v>
      </c>
      <c r="L27" s="136"/>
      <c r="M27" s="136"/>
      <c r="N27" s="136"/>
    </row>
    <row r="28" spans="6:14">
      <c r="F28" s="136" t="s">
        <v>6319</v>
      </c>
      <c r="G28" s="136">
        <v>25</v>
      </c>
      <c r="H28" s="136" t="s">
        <v>484</v>
      </c>
      <c r="I28" s="136" t="s">
        <v>485</v>
      </c>
      <c r="J28" s="136" t="s">
        <v>6320</v>
      </c>
      <c r="L28" s="136"/>
      <c r="M28" s="136"/>
      <c r="N28" s="136"/>
    </row>
    <row r="29" spans="6:14">
      <c r="F29" s="136" t="s">
        <v>6321</v>
      </c>
      <c r="G29" s="136">
        <v>26</v>
      </c>
      <c r="H29" s="136" t="s">
        <v>486</v>
      </c>
      <c r="I29" s="136" t="s">
        <v>487</v>
      </c>
      <c r="J29" s="136" t="s">
        <v>6322</v>
      </c>
      <c r="L29" s="136"/>
      <c r="M29" s="136"/>
      <c r="N29" s="136"/>
    </row>
    <row r="30" spans="6:14">
      <c r="F30" s="136" t="s">
        <v>6323</v>
      </c>
      <c r="G30" s="136">
        <v>27</v>
      </c>
      <c r="H30" s="136" t="s">
        <v>492</v>
      </c>
      <c r="I30" s="136" t="s">
        <v>493</v>
      </c>
      <c r="J30" s="136" t="s">
        <v>6324</v>
      </c>
      <c r="L30" s="136"/>
      <c r="M30" s="136"/>
      <c r="N30" s="136"/>
    </row>
    <row r="31" spans="6:14">
      <c r="F31" s="136" t="s">
        <v>6325</v>
      </c>
      <c r="G31" s="136">
        <v>28</v>
      </c>
      <c r="H31" s="136" t="s">
        <v>514</v>
      </c>
      <c r="I31" s="136" t="s">
        <v>515</v>
      </c>
      <c r="J31" s="136" t="s">
        <v>6326</v>
      </c>
      <c r="L31" s="136"/>
      <c r="M31" s="136"/>
      <c r="N31" s="136"/>
    </row>
    <row r="32" spans="6:14">
      <c r="F32" s="136" t="s">
        <v>6327</v>
      </c>
      <c r="G32" s="136">
        <v>29</v>
      </c>
      <c r="H32" s="136" t="s">
        <v>6328</v>
      </c>
      <c r="I32" s="136" t="s">
        <v>6329</v>
      </c>
      <c r="J32" s="136" t="s">
        <v>6330</v>
      </c>
      <c r="L32" s="136"/>
      <c r="M32" s="136"/>
      <c r="N32" s="136"/>
    </row>
    <row r="33" spans="6:14">
      <c r="F33" s="136" t="s">
        <v>6331</v>
      </c>
      <c r="G33" s="136">
        <v>30</v>
      </c>
      <c r="H33" s="136" t="s">
        <v>548</v>
      </c>
      <c r="I33" s="136" t="s">
        <v>549</v>
      </c>
      <c r="J33" s="136" t="s">
        <v>6332</v>
      </c>
      <c r="L33" s="136"/>
      <c r="M33" s="136"/>
      <c r="N33" s="136"/>
    </row>
    <row r="34" spans="6:14">
      <c r="F34" s="136" t="s">
        <v>6250</v>
      </c>
      <c r="G34" s="136">
        <v>31</v>
      </c>
      <c r="H34" s="136" t="s">
        <v>548</v>
      </c>
      <c r="I34" s="136" t="s">
        <v>550</v>
      </c>
      <c r="J34" s="136" t="s">
        <v>6333</v>
      </c>
      <c r="L34" s="136"/>
      <c r="M34" s="136"/>
      <c r="N34" s="136"/>
    </row>
    <row r="35" spans="6:14">
      <c r="F35" s="136" t="s">
        <v>6252</v>
      </c>
      <c r="G35" s="136">
        <v>32</v>
      </c>
      <c r="H35" s="136" t="s">
        <v>548</v>
      </c>
      <c r="I35" s="136" t="s">
        <v>551</v>
      </c>
      <c r="J35" s="136" t="s">
        <v>6334</v>
      </c>
      <c r="L35" s="136"/>
      <c r="M35" s="136"/>
      <c r="N35" s="136"/>
    </row>
    <row r="36" spans="6:14">
      <c r="F36" s="136" t="s">
        <v>6254</v>
      </c>
      <c r="G36" s="136">
        <v>33</v>
      </c>
      <c r="H36" s="136" t="s">
        <v>548</v>
      </c>
      <c r="I36" s="136" t="s">
        <v>552</v>
      </c>
      <c r="J36" s="136" t="s">
        <v>6335</v>
      </c>
      <c r="L36" s="136"/>
      <c r="M36" s="136"/>
      <c r="N36" s="136"/>
    </row>
    <row r="37" spans="6:14">
      <c r="F37" s="136" t="s">
        <v>6255</v>
      </c>
      <c r="G37" s="136">
        <v>34</v>
      </c>
      <c r="H37" s="136" t="s">
        <v>548</v>
      </c>
      <c r="I37" s="136" t="s">
        <v>553</v>
      </c>
      <c r="J37" s="136" t="s">
        <v>6336</v>
      </c>
      <c r="L37" s="136"/>
      <c r="M37" s="136"/>
      <c r="N37" s="136"/>
    </row>
    <row r="38" spans="6:14">
      <c r="F38" s="136" t="s">
        <v>6337</v>
      </c>
      <c r="G38" s="136">
        <v>35</v>
      </c>
      <c r="H38" s="136" t="s">
        <v>548</v>
      </c>
      <c r="I38" s="136" t="s">
        <v>554</v>
      </c>
      <c r="J38" s="136" t="s">
        <v>6338</v>
      </c>
      <c r="L38" s="136"/>
      <c r="M38" s="136"/>
      <c r="N38" s="136"/>
    </row>
    <row r="39" spans="6:14">
      <c r="F39" s="136" t="s">
        <v>6339</v>
      </c>
      <c r="G39" s="136">
        <v>36</v>
      </c>
      <c r="H39" s="136" t="s">
        <v>596</v>
      </c>
      <c r="I39" s="136" t="s">
        <v>597</v>
      </c>
      <c r="J39" s="136" t="s">
        <v>6340</v>
      </c>
      <c r="L39" s="136"/>
      <c r="M39" s="136"/>
      <c r="N39" s="136"/>
    </row>
    <row r="40" spans="6:14">
      <c r="F40" s="136" t="s">
        <v>6341</v>
      </c>
      <c r="G40" s="136">
        <v>37</v>
      </c>
      <c r="H40" s="136" t="s">
        <v>602</v>
      </c>
      <c r="I40" s="136" t="s">
        <v>603</v>
      </c>
      <c r="J40" s="136" t="s">
        <v>6342</v>
      </c>
      <c r="L40" s="136"/>
      <c r="M40" s="136"/>
      <c r="N40" s="136"/>
    </row>
    <row r="41" spans="6:14">
      <c r="F41" s="136" t="s">
        <v>6343</v>
      </c>
      <c r="G41" s="136">
        <v>38</v>
      </c>
      <c r="H41" s="136" t="s">
        <v>602</v>
      </c>
      <c r="I41" s="136" t="s">
        <v>604</v>
      </c>
      <c r="J41" s="136" t="s">
        <v>6344</v>
      </c>
      <c r="L41" s="136"/>
      <c r="M41" s="136"/>
      <c r="N41" s="136"/>
    </row>
    <row r="42" spans="6:14">
      <c r="F42" s="136" t="s">
        <v>6345</v>
      </c>
      <c r="G42" s="136">
        <v>39</v>
      </c>
      <c r="H42" s="136" t="s">
        <v>660</v>
      </c>
      <c r="I42" s="136" t="s">
        <v>661</v>
      </c>
      <c r="J42" s="136" t="s">
        <v>6346</v>
      </c>
      <c r="L42" s="136"/>
      <c r="M42" s="136"/>
      <c r="N42" s="136"/>
    </row>
    <row r="43" spans="6:14">
      <c r="F43" s="136" t="s">
        <v>6347</v>
      </c>
      <c r="G43" s="136">
        <v>40</v>
      </c>
      <c r="H43" s="136" t="s">
        <v>708</v>
      </c>
      <c r="I43" s="136" t="s">
        <v>709</v>
      </c>
      <c r="J43" s="136" t="s">
        <v>6348</v>
      </c>
      <c r="L43" s="136"/>
      <c r="M43" s="136"/>
      <c r="N43" s="136"/>
    </row>
    <row r="44" spans="6:14">
      <c r="F44" s="136" t="s">
        <v>6349</v>
      </c>
      <c r="G44" s="136">
        <v>41</v>
      </c>
      <c r="H44" s="136" t="s">
        <v>712</v>
      </c>
      <c r="I44" s="136" t="s">
        <v>713</v>
      </c>
      <c r="J44" s="136" t="s">
        <v>6350</v>
      </c>
      <c r="L44" s="136"/>
      <c r="M44" s="136"/>
      <c r="N44" s="136"/>
    </row>
    <row r="45" spans="6:14">
      <c r="F45" s="136" t="s">
        <v>6351</v>
      </c>
      <c r="G45" s="136">
        <v>42</v>
      </c>
      <c r="H45" s="136" t="s">
        <v>734</v>
      </c>
      <c r="I45" s="136" t="s">
        <v>735</v>
      </c>
      <c r="J45" s="136" t="s">
        <v>6352</v>
      </c>
      <c r="L45" s="136"/>
      <c r="M45" s="136"/>
      <c r="N45" s="136"/>
    </row>
    <row r="46" spans="6:14">
      <c r="F46" s="136" t="s">
        <v>6353</v>
      </c>
      <c r="G46" s="136">
        <v>43</v>
      </c>
      <c r="H46" s="136" t="s">
        <v>738</v>
      </c>
      <c r="I46" s="136" t="s">
        <v>739</v>
      </c>
      <c r="J46" s="136" t="s">
        <v>6354</v>
      </c>
      <c r="L46" s="136"/>
      <c r="M46" s="136"/>
      <c r="N46" s="136"/>
    </row>
    <row r="47" spans="6:14">
      <c r="F47" s="136" t="s">
        <v>6355</v>
      </c>
      <c r="G47" s="136">
        <v>44</v>
      </c>
      <c r="H47" s="136" t="s">
        <v>749</v>
      </c>
      <c r="I47" s="136" t="s">
        <v>750</v>
      </c>
      <c r="J47" s="136" t="s">
        <v>6356</v>
      </c>
      <c r="L47" s="136"/>
      <c r="M47" s="136"/>
      <c r="N47" s="136"/>
    </row>
    <row r="48" spans="6:14">
      <c r="F48" s="136" t="s">
        <v>6357</v>
      </c>
      <c r="G48" s="136">
        <v>45</v>
      </c>
      <c r="H48" s="136" t="s">
        <v>744</v>
      </c>
      <c r="I48" s="136" t="s">
        <v>745</v>
      </c>
      <c r="J48" s="136" t="s">
        <v>6358</v>
      </c>
      <c r="L48" s="136"/>
      <c r="M48" s="136"/>
      <c r="N48" s="136"/>
    </row>
    <row r="49" spans="6:14">
      <c r="F49" s="136" t="s">
        <v>6359</v>
      </c>
      <c r="G49" s="136">
        <v>46</v>
      </c>
      <c r="H49" s="136" t="s">
        <v>781</v>
      </c>
      <c r="I49" s="136" t="s">
        <v>782</v>
      </c>
      <c r="J49" s="136" t="s">
        <v>6360</v>
      </c>
      <c r="L49" s="136"/>
      <c r="M49" s="136"/>
      <c r="N49" s="136"/>
    </row>
    <row r="50" spans="6:14">
      <c r="F50" s="136" t="s">
        <v>6361</v>
      </c>
      <c r="G50" s="136">
        <v>47</v>
      </c>
      <c r="H50" s="136" t="s">
        <v>794</v>
      </c>
      <c r="I50" s="136" t="s">
        <v>792</v>
      </c>
      <c r="J50" s="136" t="s">
        <v>6362</v>
      </c>
      <c r="L50" s="136"/>
      <c r="M50" s="136"/>
      <c r="N50" s="136"/>
    </row>
    <row r="51" spans="6:14">
      <c r="F51" s="136" t="s">
        <v>6363</v>
      </c>
      <c r="G51" s="136">
        <v>48</v>
      </c>
      <c r="H51" s="136" t="s">
        <v>817</v>
      </c>
      <c r="I51" s="136" t="s">
        <v>818</v>
      </c>
      <c r="J51" s="136" t="s">
        <v>6364</v>
      </c>
      <c r="L51" s="136"/>
      <c r="M51" s="136"/>
      <c r="N51" s="136"/>
    </row>
    <row r="52" spans="6:14">
      <c r="F52" s="136" t="s">
        <v>6365</v>
      </c>
      <c r="G52" s="136">
        <v>49</v>
      </c>
      <c r="H52" s="136" t="s">
        <v>830</v>
      </c>
      <c r="I52" s="136" t="s">
        <v>831</v>
      </c>
      <c r="J52" s="136" t="s">
        <v>6366</v>
      </c>
      <c r="L52" s="136"/>
      <c r="M52" s="136"/>
      <c r="N52" s="136"/>
    </row>
    <row r="53" spans="6:14">
      <c r="F53" s="136" t="s">
        <v>6367</v>
      </c>
      <c r="G53" s="136">
        <v>50</v>
      </c>
      <c r="H53" s="136" t="s">
        <v>832</v>
      </c>
      <c r="I53" s="136" t="s">
        <v>833</v>
      </c>
      <c r="J53" s="136" t="s">
        <v>6368</v>
      </c>
      <c r="L53" s="136"/>
      <c r="M53" s="136"/>
      <c r="N53" s="136"/>
    </row>
    <row r="54" spans="6:14">
      <c r="F54" s="136" t="s">
        <v>6369</v>
      </c>
      <c r="G54" s="136">
        <v>51</v>
      </c>
      <c r="H54" s="136" t="s">
        <v>795</v>
      </c>
      <c r="I54" s="136" t="s">
        <v>796</v>
      </c>
      <c r="J54" s="136" t="s">
        <v>6370</v>
      </c>
      <c r="L54" s="136"/>
      <c r="M54" s="136"/>
      <c r="N54" s="136"/>
    </row>
    <row r="55" spans="6:14">
      <c r="F55" s="136" t="s">
        <v>6371</v>
      </c>
      <c r="G55" s="136">
        <v>52</v>
      </c>
      <c r="H55" s="136" t="s">
        <v>845</v>
      </c>
      <c r="I55" s="136" t="s">
        <v>846</v>
      </c>
      <c r="J55" s="136" t="s">
        <v>6372</v>
      </c>
      <c r="L55" s="136"/>
      <c r="M55" s="136"/>
      <c r="N55" s="136"/>
    </row>
    <row r="56" spans="6:14">
      <c r="F56" s="136" t="s">
        <v>6373</v>
      </c>
      <c r="G56" s="136">
        <v>53</v>
      </c>
      <c r="H56" s="136" t="s">
        <v>928</v>
      </c>
      <c r="I56" s="136" t="s">
        <v>929</v>
      </c>
      <c r="J56" s="136" t="s">
        <v>6374</v>
      </c>
      <c r="L56" s="136"/>
      <c r="M56" s="136"/>
      <c r="N56" s="136"/>
    </row>
    <row r="57" spans="6:14">
      <c r="F57" s="136" t="s">
        <v>6375</v>
      </c>
      <c r="G57" s="136">
        <v>54</v>
      </c>
      <c r="H57" s="136" t="s">
        <v>936</v>
      </c>
      <c r="I57" s="136" t="s">
        <v>937</v>
      </c>
      <c r="J57" s="136" t="s">
        <v>6376</v>
      </c>
      <c r="L57" s="136"/>
      <c r="M57" s="136"/>
      <c r="N57" s="136"/>
    </row>
    <row r="58" spans="6:14">
      <c r="F58" s="136" t="s">
        <v>6377</v>
      </c>
      <c r="G58" s="136">
        <v>55</v>
      </c>
      <c r="H58" s="136" t="s">
        <v>965</v>
      </c>
      <c r="I58" s="136" t="s">
        <v>966</v>
      </c>
      <c r="J58" s="136" t="s">
        <v>6378</v>
      </c>
      <c r="L58" s="136"/>
      <c r="M58" s="136"/>
      <c r="N58" s="136"/>
    </row>
    <row r="59" spans="6:14">
      <c r="F59" s="136" t="s">
        <v>6379</v>
      </c>
      <c r="G59" s="136">
        <v>56</v>
      </c>
      <c r="H59" s="136" t="s">
        <v>1001</v>
      </c>
      <c r="I59" s="136" t="s">
        <v>1002</v>
      </c>
      <c r="J59" s="136" t="s">
        <v>6380</v>
      </c>
      <c r="L59" s="136"/>
      <c r="M59" s="136"/>
      <c r="N59" s="136"/>
    </row>
    <row r="60" spans="6:14">
      <c r="F60" s="136" t="s">
        <v>6381</v>
      </c>
      <c r="G60" s="136">
        <v>57</v>
      </c>
      <c r="H60" s="136" t="s">
        <v>1013</v>
      </c>
      <c r="I60" s="136" t="s">
        <v>1014</v>
      </c>
      <c r="J60" s="136" t="s">
        <v>6382</v>
      </c>
      <c r="L60" s="136"/>
      <c r="M60" s="136"/>
      <c r="N60" s="136"/>
    </row>
    <row r="61" spans="6:14">
      <c r="F61" s="136" t="s">
        <v>6383</v>
      </c>
      <c r="G61" s="136">
        <v>58</v>
      </c>
      <c r="H61" s="136" t="s">
        <v>1047</v>
      </c>
      <c r="I61" s="136" t="s">
        <v>1048</v>
      </c>
      <c r="J61" s="136" t="s">
        <v>6384</v>
      </c>
      <c r="L61" s="136"/>
      <c r="M61" s="136"/>
      <c r="N61" s="136"/>
    </row>
    <row r="62" spans="6:14">
      <c r="F62" s="136" t="s">
        <v>6385</v>
      </c>
      <c r="G62" s="136">
        <v>59</v>
      </c>
      <c r="H62" s="136" t="s">
        <v>6386</v>
      </c>
      <c r="I62" s="136" t="s">
        <v>6387</v>
      </c>
      <c r="J62" s="136" t="s">
        <v>6388</v>
      </c>
      <c r="L62" s="136"/>
      <c r="M62" s="136"/>
      <c r="N62" s="136"/>
    </row>
    <row r="63" spans="6:14">
      <c r="F63" s="136" t="s">
        <v>6389</v>
      </c>
      <c r="G63" s="136">
        <v>60</v>
      </c>
      <c r="H63" s="136" t="s">
        <v>1106</v>
      </c>
      <c r="I63" s="136" t="s">
        <v>1107</v>
      </c>
      <c r="J63" s="136" t="s">
        <v>6390</v>
      </c>
      <c r="L63" s="136"/>
      <c r="M63" s="136"/>
      <c r="N63" s="136"/>
    </row>
    <row r="64" spans="6:14">
      <c r="F64" s="136" t="s">
        <v>6391</v>
      </c>
      <c r="G64" s="136">
        <v>61</v>
      </c>
      <c r="H64" s="136" t="s">
        <v>1109</v>
      </c>
      <c r="I64" s="136" t="s">
        <v>1110</v>
      </c>
      <c r="J64" s="136" t="s">
        <v>6392</v>
      </c>
      <c r="L64" s="136"/>
      <c r="M64" s="136"/>
      <c r="N64" s="136"/>
    </row>
    <row r="65" spans="6:14">
      <c r="F65" s="136" t="s">
        <v>6393</v>
      </c>
      <c r="G65" s="136">
        <v>62</v>
      </c>
      <c r="H65" s="136" t="s">
        <v>6394</v>
      </c>
      <c r="I65" s="136" t="s">
        <v>6395</v>
      </c>
      <c r="J65" s="136" t="s">
        <v>6396</v>
      </c>
      <c r="L65" s="136"/>
      <c r="M65" s="136"/>
      <c r="N65" s="136"/>
    </row>
    <row r="66" spans="6:14">
      <c r="F66" s="136" t="s">
        <v>6397</v>
      </c>
      <c r="G66" s="136">
        <v>63</v>
      </c>
      <c r="H66" s="136" t="s">
        <v>1144</v>
      </c>
      <c r="I66" s="136" t="s">
        <v>1145</v>
      </c>
      <c r="J66" s="136" t="s">
        <v>6398</v>
      </c>
      <c r="L66" s="136"/>
      <c r="M66" s="136"/>
      <c r="N66" s="136"/>
    </row>
    <row r="67" spans="6:14">
      <c r="F67" s="136" t="s">
        <v>6399</v>
      </c>
      <c r="G67" s="136">
        <v>64</v>
      </c>
      <c r="H67" s="136" t="s">
        <v>1158</v>
      </c>
      <c r="I67" s="136" t="s">
        <v>1159</v>
      </c>
      <c r="J67" s="136" t="s">
        <v>6400</v>
      </c>
      <c r="L67" s="136"/>
      <c r="M67" s="136"/>
      <c r="N67" s="136"/>
    </row>
    <row r="68" spans="6:14">
      <c r="F68" s="136" t="s">
        <v>6401</v>
      </c>
      <c r="G68" s="136">
        <v>65</v>
      </c>
      <c r="H68" s="136" t="s">
        <v>1175</v>
      </c>
      <c r="I68" s="136" t="s">
        <v>1176</v>
      </c>
      <c r="J68" s="136" t="s">
        <v>6402</v>
      </c>
      <c r="L68" s="136"/>
      <c r="M68" s="136"/>
      <c r="N68" s="136"/>
    </row>
    <row r="69" spans="6:14">
      <c r="F69" s="136" t="s">
        <v>6403</v>
      </c>
      <c r="G69" s="136">
        <v>66</v>
      </c>
      <c r="H69" s="136" t="s">
        <v>1199</v>
      </c>
      <c r="I69" s="136" t="s">
        <v>1200</v>
      </c>
      <c r="J69" s="136" t="s">
        <v>6404</v>
      </c>
      <c r="L69" s="136"/>
      <c r="M69" s="136"/>
      <c r="N69" s="136"/>
    </row>
    <row r="70" spans="6:14">
      <c r="F70" s="136" t="s">
        <v>6405</v>
      </c>
      <c r="G70" s="136">
        <v>67</v>
      </c>
      <c r="H70" s="136" t="s">
        <v>1236</v>
      </c>
      <c r="I70" s="136" t="s">
        <v>1237</v>
      </c>
      <c r="J70" s="136" t="s">
        <v>6406</v>
      </c>
      <c r="L70" s="136"/>
      <c r="M70" s="136"/>
      <c r="N70" s="136"/>
    </row>
    <row r="71" spans="6:14">
      <c r="F71" s="136" t="s">
        <v>6407</v>
      </c>
      <c r="G71" s="136">
        <v>68</v>
      </c>
      <c r="H71" s="136" t="s">
        <v>1242</v>
      </c>
      <c r="I71" s="136" t="s">
        <v>1243</v>
      </c>
      <c r="J71" s="136" t="s">
        <v>6408</v>
      </c>
      <c r="L71" s="136"/>
      <c r="M71" s="136"/>
      <c r="N71" s="136"/>
    </row>
    <row r="72" spans="6:14">
      <c r="F72" s="136" t="s">
        <v>6409</v>
      </c>
      <c r="G72" s="136">
        <v>69</v>
      </c>
      <c r="H72" s="136" t="s">
        <v>1273</v>
      </c>
      <c r="I72" s="136" t="s">
        <v>1274</v>
      </c>
      <c r="J72" s="136" t="s">
        <v>6410</v>
      </c>
      <c r="L72" s="136"/>
      <c r="M72" s="136"/>
      <c r="N72" s="136"/>
    </row>
    <row r="73" spans="6:14">
      <c r="F73" s="136" t="s">
        <v>6411</v>
      </c>
      <c r="G73" s="136">
        <v>70</v>
      </c>
      <c r="H73" s="136" t="s">
        <v>1275</v>
      </c>
      <c r="I73" s="136" t="s">
        <v>1276</v>
      </c>
      <c r="J73" s="136" t="s">
        <v>6412</v>
      </c>
      <c r="L73" s="136"/>
      <c r="M73" s="136"/>
      <c r="N73" s="136"/>
    </row>
    <row r="74" spans="6:14">
      <c r="F74" s="136" t="s">
        <v>6413</v>
      </c>
      <c r="G74" s="136">
        <v>71</v>
      </c>
      <c r="H74" s="136" t="s">
        <v>1289</v>
      </c>
      <c r="I74" s="136" t="s">
        <v>1290</v>
      </c>
      <c r="J74" s="136" t="s">
        <v>6414</v>
      </c>
      <c r="L74" s="136"/>
      <c r="M74" s="136"/>
      <c r="N74" s="136"/>
    </row>
    <row r="75" spans="6:14">
      <c r="F75" s="136" t="s">
        <v>6415</v>
      </c>
      <c r="G75" s="136">
        <v>72</v>
      </c>
      <c r="H75" s="136" t="s">
        <v>6416</v>
      </c>
      <c r="I75" s="136" t="s">
        <v>6417</v>
      </c>
      <c r="J75" s="136" t="s">
        <v>6418</v>
      </c>
      <c r="L75" s="136"/>
      <c r="M75" s="136"/>
      <c r="N75" s="136"/>
    </row>
    <row r="76" spans="6:14">
      <c r="F76" s="136" t="s">
        <v>6419</v>
      </c>
      <c r="G76" s="136">
        <v>73</v>
      </c>
      <c r="H76" s="136" t="s">
        <v>1354</v>
      </c>
      <c r="I76" s="136" t="s">
        <v>1355</v>
      </c>
      <c r="J76" s="136" t="s">
        <v>6420</v>
      </c>
      <c r="L76" s="136"/>
      <c r="M76" s="136"/>
      <c r="N76" s="136"/>
    </row>
    <row r="77" spans="6:14">
      <c r="F77" s="136" t="s">
        <v>6421</v>
      </c>
      <c r="G77" s="136">
        <v>74</v>
      </c>
      <c r="H77" s="136" t="s">
        <v>1359</v>
      </c>
      <c r="I77" s="136" t="s">
        <v>1360</v>
      </c>
      <c r="J77" s="136" t="s">
        <v>6422</v>
      </c>
      <c r="L77" s="136"/>
      <c r="M77" s="136"/>
      <c r="N77" s="136"/>
    </row>
    <row r="78" spans="6:14">
      <c r="F78" s="136" t="s">
        <v>6423</v>
      </c>
      <c r="G78" s="136">
        <v>75</v>
      </c>
      <c r="H78" s="136" t="s">
        <v>1369</v>
      </c>
      <c r="I78" s="136" t="s">
        <v>1370</v>
      </c>
      <c r="J78" s="136" t="s">
        <v>6424</v>
      </c>
      <c r="L78" s="136"/>
      <c r="M78" s="136"/>
      <c r="N78" s="136"/>
    </row>
    <row r="79" spans="6:14">
      <c r="F79" s="136" t="s">
        <v>6425</v>
      </c>
      <c r="G79" s="136">
        <v>76</v>
      </c>
      <c r="H79" s="136" t="s">
        <v>1384</v>
      </c>
      <c r="I79" s="136" t="s">
        <v>1385</v>
      </c>
      <c r="J79" s="136" t="s">
        <v>6426</v>
      </c>
      <c r="L79" s="136"/>
      <c r="M79" s="136"/>
      <c r="N79" s="136"/>
    </row>
    <row r="80" spans="6:14">
      <c r="F80" s="136" t="s">
        <v>6427</v>
      </c>
      <c r="G80" s="136">
        <v>77</v>
      </c>
      <c r="H80" s="136" t="s">
        <v>1403</v>
      </c>
      <c r="I80" s="136" t="s">
        <v>1404</v>
      </c>
      <c r="J80" s="136" t="s">
        <v>6428</v>
      </c>
      <c r="L80" s="136"/>
      <c r="M80" s="136"/>
      <c r="N80" s="136"/>
    </row>
    <row r="81" spans="6:14">
      <c r="F81" s="136" t="s">
        <v>6429</v>
      </c>
      <c r="G81" s="136">
        <v>78</v>
      </c>
      <c r="H81" s="136" t="s">
        <v>1413</v>
      </c>
      <c r="I81" s="136" t="s">
        <v>1404</v>
      </c>
      <c r="J81" s="136" t="s">
        <v>6430</v>
      </c>
      <c r="L81" s="136"/>
      <c r="M81" s="136"/>
      <c r="N81" s="136"/>
    </row>
    <row r="82" spans="6:14">
      <c r="F82" s="136" t="s">
        <v>6431</v>
      </c>
      <c r="G82" s="136">
        <v>79</v>
      </c>
      <c r="H82" s="136" t="s">
        <v>1438</v>
      </c>
      <c r="I82" s="136" t="s">
        <v>1439</v>
      </c>
      <c r="J82" s="136" t="s">
        <v>6432</v>
      </c>
      <c r="L82" s="136"/>
      <c r="M82" s="136"/>
      <c r="N82" s="136"/>
    </row>
    <row r="83" spans="6:14">
      <c r="F83" s="136" t="s">
        <v>6433</v>
      </c>
      <c r="G83" s="136">
        <v>80</v>
      </c>
      <c r="H83" s="136" t="s">
        <v>1440</v>
      </c>
      <c r="I83" s="136" t="s">
        <v>1441</v>
      </c>
      <c r="J83" s="136" t="s">
        <v>6434</v>
      </c>
      <c r="L83" s="136"/>
      <c r="M83" s="136"/>
      <c r="N83" s="136"/>
    </row>
    <row r="84" spans="6:14">
      <c r="F84" s="136" t="s">
        <v>6435</v>
      </c>
      <c r="G84" s="136">
        <v>81</v>
      </c>
      <c r="H84" s="136" t="s">
        <v>1009</v>
      </c>
      <c r="I84" s="136" t="s">
        <v>1010</v>
      </c>
      <c r="J84" s="136" t="s">
        <v>6436</v>
      </c>
      <c r="L84" s="136"/>
      <c r="M84" s="136"/>
      <c r="N84" s="136"/>
    </row>
    <row r="85" spans="6:14">
      <c r="F85" s="136" t="s">
        <v>6437</v>
      </c>
      <c r="G85" s="136">
        <v>82</v>
      </c>
      <c r="H85" s="136" t="s">
        <v>1442</v>
      </c>
      <c r="I85" s="136" t="s">
        <v>1443</v>
      </c>
      <c r="J85" s="136" t="s">
        <v>6438</v>
      </c>
      <c r="L85" s="136"/>
      <c r="M85" s="136"/>
      <c r="N85" s="136"/>
    </row>
    <row r="86" spans="6:14">
      <c r="F86" s="136" t="s">
        <v>6439</v>
      </c>
      <c r="G86" s="136">
        <v>83</v>
      </c>
      <c r="H86" s="136" t="s">
        <v>1447</v>
      </c>
      <c r="I86" s="136" t="s">
        <v>1448</v>
      </c>
      <c r="J86" s="136" t="s">
        <v>6440</v>
      </c>
      <c r="L86" s="136"/>
      <c r="M86" s="136"/>
      <c r="N86" s="136"/>
    </row>
    <row r="87" spans="6:14">
      <c r="F87" s="136" t="s">
        <v>6441</v>
      </c>
      <c r="G87" s="136">
        <v>84</v>
      </c>
      <c r="H87" s="136" t="s">
        <v>1451</v>
      </c>
      <c r="I87" s="136" t="s">
        <v>1010</v>
      </c>
      <c r="J87" s="136" t="s">
        <v>6442</v>
      </c>
      <c r="L87" s="136"/>
      <c r="M87" s="136"/>
      <c r="N87" s="136"/>
    </row>
    <row r="88" spans="6:14">
      <c r="F88" s="136" t="s">
        <v>6443</v>
      </c>
      <c r="G88" s="136">
        <v>85</v>
      </c>
      <c r="H88" s="136" t="s">
        <v>1451</v>
      </c>
      <c r="I88" s="136" t="s">
        <v>1010</v>
      </c>
      <c r="J88" s="136" t="s">
        <v>6444</v>
      </c>
      <c r="L88" s="136"/>
      <c r="M88" s="136"/>
      <c r="N88" s="136"/>
    </row>
    <row r="89" spans="6:14">
      <c r="F89" s="136" t="s">
        <v>6445</v>
      </c>
      <c r="G89" s="136">
        <v>86</v>
      </c>
      <c r="H89" s="136" t="s">
        <v>1456</v>
      </c>
      <c r="I89" s="136" t="s">
        <v>1457</v>
      </c>
      <c r="J89" s="136" t="s">
        <v>6446</v>
      </c>
      <c r="L89" s="136"/>
      <c r="M89" s="136"/>
      <c r="N89" s="136"/>
    </row>
    <row r="90" spans="6:14">
      <c r="F90" s="136" t="s">
        <v>6447</v>
      </c>
      <c r="G90" s="136">
        <v>87</v>
      </c>
      <c r="H90" s="136" t="s">
        <v>1474</v>
      </c>
      <c r="I90" s="136" t="s">
        <v>1475</v>
      </c>
      <c r="J90" s="136" t="s">
        <v>6448</v>
      </c>
      <c r="L90" s="136"/>
      <c r="M90" s="136"/>
      <c r="N90" s="136"/>
    </row>
    <row r="91" spans="6:14">
      <c r="F91" s="136" t="s">
        <v>6449</v>
      </c>
      <c r="G91" s="136">
        <v>88</v>
      </c>
      <c r="H91" s="136" t="s">
        <v>6450</v>
      </c>
      <c r="I91" s="136" t="s">
        <v>6451</v>
      </c>
      <c r="J91" s="136" t="s">
        <v>6452</v>
      </c>
      <c r="L91" s="136"/>
      <c r="M91" s="136"/>
      <c r="N91" s="136"/>
    </row>
    <row r="92" spans="6:14">
      <c r="F92" s="136" t="s">
        <v>6453</v>
      </c>
      <c r="G92" s="136">
        <v>89</v>
      </c>
      <c r="H92" s="136" t="s">
        <v>1510</v>
      </c>
      <c r="I92" s="136" t="s">
        <v>1511</v>
      </c>
      <c r="J92" s="136" t="s">
        <v>6454</v>
      </c>
      <c r="L92" s="136"/>
      <c r="M92" s="136"/>
      <c r="N92" s="136"/>
    </row>
    <row r="93" spans="6:14">
      <c r="F93" s="136" t="s">
        <v>6455</v>
      </c>
      <c r="G93" s="136">
        <v>90</v>
      </c>
      <c r="H93" s="136" t="s">
        <v>1512</v>
      </c>
      <c r="I93" s="136" t="s">
        <v>1513</v>
      </c>
      <c r="J93" s="136" t="s">
        <v>6456</v>
      </c>
      <c r="L93" s="136"/>
      <c r="M93" s="136"/>
      <c r="N93" s="136"/>
    </row>
    <row r="94" spans="6:14">
      <c r="F94" s="136" t="s">
        <v>6457</v>
      </c>
      <c r="G94" s="136">
        <v>91</v>
      </c>
      <c r="H94" s="136" t="s">
        <v>1532</v>
      </c>
      <c r="I94" s="136" t="s">
        <v>1533</v>
      </c>
      <c r="J94" s="136" t="s">
        <v>6458</v>
      </c>
      <c r="L94" s="136"/>
      <c r="M94" s="136"/>
      <c r="N94" s="136"/>
    </row>
    <row r="95" spans="6:14">
      <c r="F95" s="136" t="s">
        <v>6459</v>
      </c>
      <c r="G95" s="136">
        <v>92</v>
      </c>
      <c r="H95" s="136" t="s">
        <v>6460</v>
      </c>
      <c r="I95" s="136" t="s">
        <v>6461</v>
      </c>
      <c r="J95" s="136" t="s">
        <v>6462</v>
      </c>
      <c r="L95" s="136"/>
      <c r="M95" s="136"/>
      <c r="N95" s="136"/>
    </row>
    <row r="96" spans="6:14">
      <c r="F96" s="136" t="s">
        <v>6463</v>
      </c>
      <c r="G96" s="136">
        <v>93</v>
      </c>
      <c r="H96" s="136" t="s">
        <v>6464</v>
      </c>
      <c r="I96" s="136" t="s">
        <v>6465</v>
      </c>
      <c r="J96" s="136" t="s">
        <v>6466</v>
      </c>
      <c r="L96" s="136"/>
      <c r="M96" s="136"/>
      <c r="N96" s="136"/>
    </row>
    <row r="97" spans="6:14">
      <c r="F97" s="136" t="s">
        <v>6467</v>
      </c>
      <c r="G97" s="136">
        <v>94</v>
      </c>
      <c r="H97" s="136" t="s">
        <v>6468</v>
      </c>
      <c r="I97" s="136" t="s">
        <v>6469</v>
      </c>
      <c r="J97" s="136" t="s">
        <v>6470</v>
      </c>
      <c r="L97" s="136"/>
      <c r="M97" s="136"/>
      <c r="N97" s="136"/>
    </row>
    <row r="98" spans="6:14">
      <c r="F98" s="136" t="s">
        <v>6471</v>
      </c>
      <c r="G98" s="136">
        <v>95</v>
      </c>
      <c r="H98" s="136" t="s">
        <v>1622</v>
      </c>
      <c r="I98" s="136" t="s">
        <v>24925</v>
      </c>
      <c r="J98" s="136" t="s">
        <v>6472</v>
      </c>
      <c r="L98" s="136"/>
      <c r="M98" s="136"/>
      <c r="N98" s="136"/>
    </row>
    <row r="99" spans="6:14">
      <c r="F99" s="136" t="s">
        <v>6473</v>
      </c>
      <c r="G99" s="136">
        <v>96</v>
      </c>
      <c r="H99" s="136" t="s">
        <v>1622</v>
      </c>
      <c r="I99" s="136" t="s">
        <v>1623</v>
      </c>
      <c r="J99" s="136" t="s">
        <v>6474</v>
      </c>
      <c r="L99" s="136"/>
      <c r="M99" s="136"/>
      <c r="N99" s="136"/>
    </row>
    <row r="100" spans="6:14">
      <c r="F100" s="136" t="s">
        <v>6475</v>
      </c>
      <c r="G100" s="136">
        <v>97</v>
      </c>
      <c r="H100" s="136" t="s">
        <v>1622</v>
      </c>
      <c r="I100" s="136" t="s">
        <v>1624</v>
      </c>
      <c r="J100" s="136" t="s">
        <v>6476</v>
      </c>
      <c r="L100" s="136"/>
      <c r="M100" s="136"/>
      <c r="N100" s="136"/>
    </row>
    <row r="101" spans="6:14">
      <c r="F101" s="136" t="s">
        <v>6477</v>
      </c>
      <c r="G101" s="136">
        <v>98</v>
      </c>
      <c r="H101" s="136" t="s">
        <v>1622</v>
      </c>
      <c r="I101" s="136" t="s">
        <v>1625</v>
      </c>
      <c r="J101" s="136" t="s">
        <v>6478</v>
      </c>
      <c r="L101" s="136"/>
      <c r="M101" s="136"/>
      <c r="N101" s="136"/>
    </row>
    <row r="102" spans="6:14">
      <c r="F102" s="136" t="s">
        <v>6479</v>
      </c>
      <c r="G102" s="136">
        <v>99</v>
      </c>
      <c r="H102" s="136" t="s">
        <v>1622</v>
      </c>
      <c r="I102" s="136" t="s">
        <v>1626</v>
      </c>
      <c r="J102" s="136" t="s">
        <v>6480</v>
      </c>
      <c r="L102" s="136"/>
      <c r="M102" s="136"/>
      <c r="N102" s="136"/>
    </row>
    <row r="103" spans="6:14">
      <c r="F103" s="136" t="s">
        <v>6481</v>
      </c>
      <c r="G103" s="136">
        <v>100</v>
      </c>
      <c r="H103" s="136" t="s">
        <v>1622</v>
      </c>
      <c r="I103" s="136" t="s">
        <v>1627</v>
      </c>
      <c r="J103" s="136" t="s">
        <v>6482</v>
      </c>
      <c r="L103" s="136"/>
      <c r="M103" s="136"/>
      <c r="N103" s="136"/>
    </row>
    <row r="104" spans="6:14">
      <c r="F104" s="136" t="s">
        <v>6483</v>
      </c>
      <c r="G104" s="136">
        <v>101</v>
      </c>
      <c r="H104" s="136" t="s">
        <v>1622</v>
      </c>
      <c r="I104" s="136" t="s">
        <v>1628</v>
      </c>
      <c r="J104" s="136" t="s">
        <v>6484</v>
      </c>
      <c r="L104" s="136"/>
      <c r="M104" s="136"/>
      <c r="N104" s="136"/>
    </row>
    <row r="105" spans="6:14">
      <c r="F105" s="136" t="s">
        <v>6485</v>
      </c>
      <c r="G105" s="136">
        <v>102</v>
      </c>
      <c r="H105" s="136" t="s">
        <v>1622</v>
      </c>
      <c r="I105" s="136" t="s">
        <v>1629</v>
      </c>
      <c r="J105" s="136" t="s">
        <v>6486</v>
      </c>
      <c r="L105" s="136"/>
      <c r="M105" s="136"/>
      <c r="N105" s="136"/>
    </row>
    <row r="106" spans="6:14">
      <c r="F106" s="136" t="s">
        <v>6487</v>
      </c>
      <c r="G106" s="136">
        <v>103</v>
      </c>
      <c r="H106" s="136" t="s">
        <v>1683</v>
      </c>
      <c r="I106" s="136" t="s">
        <v>1684</v>
      </c>
      <c r="J106" s="136" t="s">
        <v>6488</v>
      </c>
      <c r="L106" s="136"/>
      <c r="M106" s="136"/>
      <c r="N106" s="136"/>
    </row>
    <row r="107" spans="6:14">
      <c r="F107" s="136" t="s">
        <v>6489</v>
      </c>
      <c r="G107" s="136">
        <v>104</v>
      </c>
      <c r="H107" s="136" t="s">
        <v>1695</v>
      </c>
      <c r="I107" s="136" t="s">
        <v>1696</v>
      </c>
      <c r="J107" s="136" t="s">
        <v>6490</v>
      </c>
      <c r="L107" s="136"/>
      <c r="M107" s="136"/>
      <c r="N107" s="136"/>
    </row>
    <row r="108" spans="6:14">
      <c r="F108" s="136" t="s">
        <v>6491</v>
      </c>
      <c r="G108" s="136">
        <v>105</v>
      </c>
      <c r="H108" s="136" t="s">
        <v>1699</v>
      </c>
      <c r="I108" s="136" t="s">
        <v>1700</v>
      </c>
      <c r="J108" s="136" t="s">
        <v>6492</v>
      </c>
      <c r="L108" s="136"/>
      <c r="M108" s="136"/>
      <c r="N108" s="136"/>
    </row>
    <row r="109" spans="6:14">
      <c r="F109" s="136" t="s">
        <v>6493</v>
      </c>
      <c r="G109" s="136">
        <v>106</v>
      </c>
      <c r="H109" s="136" t="s">
        <v>1705</v>
      </c>
      <c r="I109" s="136" t="s">
        <v>1706</v>
      </c>
      <c r="J109" s="136" t="s">
        <v>6494</v>
      </c>
      <c r="L109" s="136"/>
      <c r="M109" s="136"/>
      <c r="N109" s="136"/>
    </row>
    <row r="110" spans="6:14">
      <c r="F110" s="136" t="s">
        <v>6495</v>
      </c>
      <c r="G110" s="136">
        <v>107</v>
      </c>
      <c r="H110" s="136" t="s">
        <v>1721</v>
      </c>
      <c r="I110" s="136" t="s">
        <v>1722</v>
      </c>
      <c r="J110" s="136" t="s">
        <v>6496</v>
      </c>
      <c r="L110" s="136"/>
      <c r="M110" s="136"/>
      <c r="N110" s="136"/>
    </row>
    <row r="111" spans="6:14">
      <c r="F111" s="136" t="s">
        <v>6497</v>
      </c>
      <c r="G111" s="136">
        <v>108</v>
      </c>
      <c r="H111" s="136" t="s">
        <v>6498</v>
      </c>
      <c r="I111" s="136" t="s">
        <v>6499</v>
      </c>
      <c r="J111" s="136" t="s">
        <v>6500</v>
      </c>
      <c r="L111" s="136"/>
      <c r="M111" s="136"/>
      <c r="N111" s="136"/>
    </row>
    <row r="112" spans="6:14">
      <c r="F112" s="136" t="s">
        <v>6501</v>
      </c>
      <c r="G112" s="136">
        <v>109</v>
      </c>
      <c r="H112" s="136" t="s">
        <v>3395</v>
      </c>
      <c r="I112" s="136" t="s">
        <v>3396</v>
      </c>
      <c r="J112" s="136" t="s">
        <v>6502</v>
      </c>
      <c r="L112" s="136"/>
      <c r="M112" s="136"/>
      <c r="N112" s="136"/>
    </row>
    <row r="113" spans="6:14">
      <c r="F113" s="136" t="s">
        <v>6503</v>
      </c>
      <c r="G113" s="136">
        <v>110</v>
      </c>
      <c r="H113" s="136" t="s">
        <v>1750</v>
      </c>
      <c r="I113" s="136" t="s">
        <v>1751</v>
      </c>
      <c r="J113" s="136" t="s">
        <v>6504</v>
      </c>
      <c r="L113" s="136"/>
      <c r="M113" s="136"/>
      <c r="N113" s="136"/>
    </row>
    <row r="114" spans="6:14">
      <c r="F114" s="136" t="s">
        <v>6505</v>
      </c>
      <c r="G114" s="136">
        <v>111</v>
      </c>
      <c r="H114" s="136" t="s">
        <v>1758</v>
      </c>
      <c r="I114" s="136" t="s">
        <v>1759</v>
      </c>
      <c r="J114" s="136" t="s">
        <v>6506</v>
      </c>
      <c r="L114" s="136"/>
      <c r="M114" s="136"/>
      <c r="N114" s="136"/>
    </row>
    <row r="115" spans="6:14">
      <c r="F115" s="136" t="s">
        <v>6507</v>
      </c>
      <c r="G115" s="136">
        <v>112</v>
      </c>
      <c r="H115" s="136" t="s">
        <v>1766</v>
      </c>
      <c r="I115" s="136" t="s">
        <v>1767</v>
      </c>
      <c r="J115" s="136" t="s">
        <v>6508</v>
      </c>
      <c r="L115" s="136"/>
      <c r="M115" s="136"/>
      <c r="N115" s="136"/>
    </row>
    <row r="116" spans="6:14">
      <c r="F116" s="136" t="s">
        <v>6509</v>
      </c>
      <c r="G116" s="136">
        <v>113</v>
      </c>
      <c r="H116" s="136" t="s">
        <v>1793</v>
      </c>
      <c r="I116" s="136" t="s">
        <v>1794</v>
      </c>
      <c r="J116" s="136" t="s">
        <v>6510</v>
      </c>
      <c r="L116" s="136"/>
      <c r="M116" s="136"/>
      <c r="N116" s="136"/>
    </row>
    <row r="117" spans="6:14">
      <c r="F117" s="136" t="s">
        <v>6511</v>
      </c>
      <c r="G117" s="136">
        <v>114</v>
      </c>
      <c r="H117" s="136" t="s">
        <v>6512</v>
      </c>
      <c r="I117" s="136" t="s">
        <v>6513</v>
      </c>
      <c r="J117" s="136" t="s">
        <v>6514</v>
      </c>
      <c r="L117" s="136"/>
      <c r="M117" s="136"/>
      <c r="N117" s="136"/>
    </row>
    <row r="118" spans="6:14">
      <c r="F118" s="136" t="s">
        <v>6515</v>
      </c>
      <c r="G118" s="136">
        <v>115</v>
      </c>
      <c r="H118" s="136" t="s">
        <v>1899</v>
      </c>
      <c r="I118" s="136" t="s">
        <v>1900</v>
      </c>
      <c r="J118" s="136" t="s">
        <v>6516</v>
      </c>
      <c r="L118" s="136"/>
      <c r="M118" s="136"/>
      <c r="N118" s="136"/>
    </row>
    <row r="119" spans="6:14">
      <c r="F119" s="136" t="s">
        <v>6517</v>
      </c>
      <c r="G119" s="136">
        <v>116</v>
      </c>
      <c r="H119" s="136" t="s">
        <v>1899</v>
      </c>
      <c r="I119" s="136" t="s">
        <v>1901</v>
      </c>
      <c r="J119" s="136" t="s">
        <v>6518</v>
      </c>
      <c r="L119" s="136"/>
      <c r="M119" s="136"/>
      <c r="N119" s="136"/>
    </row>
    <row r="120" spans="6:14">
      <c r="F120" s="136" t="s">
        <v>6519</v>
      </c>
      <c r="G120" s="136">
        <v>117</v>
      </c>
      <c r="H120" s="136" t="s">
        <v>1906</v>
      </c>
      <c r="I120" s="136" t="s">
        <v>1907</v>
      </c>
      <c r="J120" s="136" t="s">
        <v>6520</v>
      </c>
      <c r="L120" s="136"/>
      <c r="M120" s="136"/>
      <c r="N120" s="136"/>
    </row>
    <row r="121" spans="6:14">
      <c r="F121" s="136" t="s">
        <v>6521</v>
      </c>
      <c r="G121" s="136">
        <v>118</v>
      </c>
      <c r="H121" s="136" t="s">
        <v>1940</v>
      </c>
      <c r="I121" s="136" t="s">
        <v>1941</v>
      </c>
      <c r="J121" s="136" t="s">
        <v>6522</v>
      </c>
      <c r="L121" s="136"/>
      <c r="M121" s="136"/>
      <c r="N121" s="136"/>
    </row>
    <row r="122" spans="6:14">
      <c r="F122" s="136" t="s">
        <v>6523</v>
      </c>
      <c r="G122" s="136">
        <v>119</v>
      </c>
      <c r="H122" s="136" t="s">
        <v>1940</v>
      </c>
      <c r="I122" s="136" t="s">
        <v>1942</v>
      </c>
      <c r="J122" s="136" t="s">
        <v>6524</v>
      </c>
      <c r="L122" s="136"/>
      <c r="M122" s="136"/>
      <c r="N122" s="136"/>
    </row>
    <row r="123" spans="6:14">
      <c r="F123" s="136" t="s">
        <v>6525</v>
      </c>
      <c r="G123" s="136">
        <v>120</v>
      </c>
      <c r="H123" s="136" t="s">
        <v>1948</v>
      </c>
      <c r="I123" s="136" t="s">
        <v>1949</v>
      </c>
      <c r="J123" s="136" t="s">
        <v>6526</v>
      </c>
      <c r="L123" s="136"/>
      <c r="M123" s="136"/>
      <c r="N123" s="136"/>
    </row>
    <row r="124" spans="6:14">
      <c r="F124" s="136" t="s">
        <v>6527</v>
      </c>
      <c r="G124" s="136">
        <v>121</v>
      </c>
      <c r="H124" s="136" t="s">
        <v>1964</v>
      </c>
      <c r="I124" s="136" t="s">
        <v>1965</v>
      </c>
      <c r="J124" s="136" t="s">
        <v>6528</v>
      </c>
      <c r="L124" s="136"/>
      <c r="M124" s="136"/>
      <c r="N124" s="136"/>
    </row>
    <row r="125" spans="6:14">
      <c r="F125" s="136" t="s">
        <v>6529</v>
      </c>
      <c r="G125" s="136">
        <v>122</v>
      </c>
      <c r="H125" s="136" t="s">
        <v>1975</v>
      </c>
      <c r="I125" s="136" t="s">
        <v>1976</v>
      </c>
      <c r="J125" s="136" t="s">
        <v>6530</v>
      </c>
      <c r="L125" s="136"/>
      <c r="M125" s="136"/>
      <c r="N125" s="136"/>
    </row>
    <row r="126" spans="6:14">
      <c r="F126" s="136" t="s">
        <v>6531</v>
      </c>
      <c r="G126" s="136">
        <v>123</v>
      </c>
      <c r="H126" s="136" t="s">
        <v>1977</v>
      </c>
      <c r="I126" s="136" t="s">
        <v>1978</v>
      </c>
      <c r="J126" s="136" t="s">
        <v>6532</v>
      </c>
      <c r="L126" s="136"/>
      <c r="M126" s="136"/>
      <c r="N126" s="136"/>
    </row>
    <row r="127" spans="6:14">
      <c r="F127" s="136" t="s">
        <v>6533</v>
      </c>
      <c r="G127" s="136">
        <v>124</v>
      </c>
      <c r="H127" s="136" t="s">
        <v>1979</v>
      </c>
      <c r="I127" s="136" t="s">
        <v>1980</v>
      </c>
      <c r="J127" s="136" t="s">
        <v>6534</v>
      </c>
      <c r="L127" s="136"/>
      <c r="M127" s="136"/>
      <c r="N127" s="136"/>
    </row>
    <row r="128" spans="6:14">
      <c r="F128" s="136" t="s">
        <v>6535</v>
      </c>
      <c r="G128" s="136">
        <v>125</v>
      </c>
      <c r="H128" s="136" t="s">
        <v>6536</v>
      </c>
      <c r="I128" s="136" t="s">
        <v>6537</v>
      </c>
      <c r="J128" s="136" t="s">
        <v>6538</v>
      </c>
      <c r="L128" s="136"/>
      <c r="M128" s="136"/>
      <c r="N128" s="136"/>
    </row>
    <row r="129" spans="6:14">
      <c r="F129" s="136" t="s">
        <v>6539</v>
      </c>
      <c r="G129" s="136">
        <v>126</v>
      </c>
      <c r="H129" s="136" t="s">
        <v>2038</v>
      </c>
      <c r="I129" s="136" t="s">
        <v>2039</v>
      </c>
      <c r="J129" s="136" t="s">
        <v>6540</v>
      </c>
      <c r="L129" s="136"/>
      <c r="M129" s="136"/>
      <c r="N129" s="136"/>
    </row>
    <row r="130" spans="6:14">
      <c r="F130" s="136" t="s">
        <v>6541</v>
      </c>
      <c r="G130" s="136">
        <v>127</v>
      </c>
      <c r="H130" s="136" t="s">
        <v>6542</v>
      </c>
      <c r="I130" s="136" t="s">
        <v>6543</v>
      </c>
      <c r="J130" s="136" t="s">
        <v>6544</v>
      </c>
      <c r="L130" s="136"/>
      <c r="M130" s="136"/>
      <c r="N130" s="136"/>
    </row>
    <row r="131" spans="6:14">
      <c r="F131" s="136" t="s">
        <v>6545</v>
      </c>
      <c r="G131" s="136">
        <v>128</v>
      </c>
      <c r="H131" s="136" t="s">
        <v>2115</v>
      </c>
      <c r="I131" s="136" t="s">
        <v>2116</v>
      </c>
      <c r="J131" s="136" t="s">
        <v>6546</v>
      </c>
      <c r="L131" s="136"/>
      <c r="M131" s="136"/>
      <c r="N131" s="136"/>
    </row>
    <row r="132" spans="6:14">
      <c r="F132" s="136" t="s">
        <v>6547</v>
      </c>
      <c r="G132" s="136">
        <v>129</v>
      </c>
      <c r="H132" s="136" t="s">
        <v>2125</v>
      </c>
      <c r="I132" s="136" t="s">
        <v>2126</v>
      </c>
      <c r="J132" s="136" t="s">
        <v>6548</v>
      </c>
      <c r="L132" s="136"/>
      <c r="M132" s="136"/>
      <c r="N132" s="136"/>
    </row>
    <row r="133" spans="6:14">
      <c r="F133" s="136" t="s">
        <v>6549</v>
      </c>
      <c r="G133" s="136">
        <v>130</v>
      </c>
      <c r="H133" s="136" t="s">
        <v>2160</v>
      </c>
      <c r="I133" s="136" t="s">
        <v>2161</v>
      </c>
      <c r="J133" s="136" t="s">
        <v>6550</v>
      </c>
      <c r="L133" s="136"/>
      <c r="M133" s="136"/>
      <c r="N133" s="136"/>
    </row>
    <row r="134" spans="6:14">
      <c r="F134" s="136" t="s">
        <v>6551</v>
      </c>
      <c r="G134" s="136">
        <v>131</v>
      </c>
      <c r="H134" s="136" t="s">
        <v>2203</v>
      </c>
      <c r="I134" s="136" t="s">
        <v>2204</v>
      </c>
      <c r="J134" s="136" t="s">
        <v>6552</v>
      </c>
      <c r="L134" s="136"/>
      <c r="M134" s="136"/>
      <c r="N134" s="136"/>
    </row>
    <row r="135" spans="6:14">
      <c r="F135" s="136" t="s">
        <v>6553</v>
      </c>
      <c r="G135" s="136">
        <v>132</v>
      </c>
      <c r="H135" s="136" t="s">
        <v>2205</v>
      </c>
      <c r="I135" s="136" t="s">
        <v>2206</v>
      </c>
      <c r="J135" s="136" t="s">
        <v>6554</v>
      </c>
      <c r="L135" s="136"/>
      <c r="M135" s="136"/>
      <c r="N135" s="136"/>
    </row>
    <row r="136" spans="6:14">
      <c r="F136" s="136" t="s">
        <v>6555</v>
      </c>
      <c r="G136" s="136">
        <v>133</v>
      </c>
      <c r="H136" s="136" t="s">
        <v>2209</v>
      </c>
      <c r="I136" s="136" t="s">
        <v>2210</v>
      </c>
      <c r="J136" s="136" t="s">
        <v>6556</v>
      </c>
      <c r="L136" s="136"/>
      <c r="M136" s="136"/>
      <c r="N136" s="136"/>
    </row>
    <row r="137" spans="6:14">
      <c r="F137" s="136" t="s">
        <v>6557</v>
      </c>
      <c r="G137" s="136">
        <v>134</v>
      </c>
      <c r="H137" s="136" t="s">
        <v>2220</v>
      </c>
      <c r="I137" s="136" t="s">
        <v>2221</v>
      </c>
      <c r="J137" s="136" t="s">
        <v>6558</v>
      </c>
      <c r="L137" s="136"/>
      <c r="M137" s="136"/>
      <c r="N137" s="136"/>
    </row>
    <row r="138" spans="6:14">
      <c r="F138" s="136" t="s">
        <v>6559</v>
      </c>
      <c r="G138" s="136">
        <v>135</v>
      </c>
      <c r="H138" s="136" t="s">
        <v>2289</v>
      </c>
      <c r="I138" s="136" t="s">
        <v>2290</v>
      </c>
      <c r="J138" s="136" t="s">
        <v>6560</v>
      </c>
      <c r="L138" s="136"/>
      <c r="M138" s="136"/>
      <c r="N138" s="136"/>
    </row>
    <row r="139" spans="6:14">
      <c r="F139" s="136" t="s">
        <v>6561</v>
      </c>
      <c r="G139" s="136">
        <v>136</v>
      </c>
      <c r="H139" s="136" t="s">
        <v>2293</v>
      </c>
      <c r="I139" s="136" t="s">
        <v>2294</v>
      </c>
      <c r="J139" s="136" t="s">
        <v>6562</v>
      </c>
      <c r="L139" s="136"/>
      <c r="M139" s="136"/>
      <c r="N139" s="136"/>
    </row>
    <row r="140" spans="6:14">
      <c r="F140" s="136" t="s">
        <v>6563</v>
      </c>
      <c r="G140" s="136">
        <v>137</v>
      </c>
      <c r="H140" s="136" t="s">
        <v>2376</v>
      </c>
      <c r="I140" s="136" t="s">
        <v>22295</v>
      </c>
      <c r="J140" s="136" t="s">
        <v>6564</v>
      </c>
      <c r="L140" s="136"/>
      <c r="M140" s="136"/>
      <c r="N140" s="136"/>
    </row>
    <row r="141" spans="6:14">
      <c r="F141" s="136" t="s">
        <v>6565</v>
      </c>
      <c r="G141" s="136">
        <v>138</v>
      </c>
      <c r="H141" s="136" t="s">
        <v>2381</v>
      </c>
      <c r="I141" s="136" t="s">
        <v>2382</v>
      </c>
      <c r="J141" s="136" t="s">
        <v>6566</v>
      </c>
      <c r="L141" s="136"/>
      <c r="M141" s="136"/>
      <c r="N141" s="136"/>
    </row>
    <row r="142" spans="6:14">
      <c r="F142" s="136" t="s">
        <v>6567</v>
      </c>
      <c r="G142" s="136">
        <v>139</v>
      </c>
      <c r="H142" s="136" t="s">
        <v>2386</v>
      </c>
      <c r="I142" s="136" t="s">
        <v>2387</v>
      </c>
      <c r="J142" s="136" t="s">
        <v>6568</v>
      </c>
      <c r="L142" s="136"/>
      <c r="M142" s="136"/>
      <c r="N142" s="136"/>
    </row>
    <row r="143" spans="6:14">
      <c r="F143" s="136" t="s">
        <v>6569</v>
      </c>
      <c r="G143" s="136">
        <v>140</v>
      </c>
      <c r="H143" s="136" t="s">
        <v>6570</v>
      </c>
      <c r="I143" s="136" t="s">
        <v>6571</v>
      </c>
      <c r="J143" s="136" t="s">
        <v>6572</v>
      </c>
      <c r="L143" s="136"/>
      <c r="M143" s="136"/>
      <c r="N143" s="136"/>
    </row>
    <row r="144" spans="6:14">
      <c r="F144" s="136" t="s">
        <v>6573</v>
      </c>
      <c r="G144" s="136">
        <v>141</v>
      </c>
      <c r="H144" s="136" t="s">
        <v>2447</v>
      </c>
      <c r="I144" s="136" t="s">
        <v>2448</v>
      </c>
      <c r="J144" s="136" t="s">
        <v>6574</v>
      </c>
      <c r="L144" s="136"/>
      <c r="M144" s="136"/>
      <c r="N144" s="136"/>
    </row>
    <row r="145" spans="6:14">
      <c r="F145" s="136" t="s">
        <v>6575</v>
      </c>
      <c r="G145" s="136">
        <v>142</v>
      </c>
      <c r="H145" s="136" t="s">
        <v>2469</v>
      </c>
      <c r="I145" s="136" t="s">
        <v>2470</v>
      </c>
      <c r="J145" s="136" t="s">
        <v>6576</v>
      </c>
      <c r="L145" s="136"/>
      <c r="M145" s="136"/>
      <c r="N145" s="136"/>
    </row>
    <row r="146" spans="6:14">
      <c r="F146" s="136" t="s">
        <v>6577</v>
      </c>
      <c r="G146" s="136">
        <v>143</v>
      </c>
      <c r="H146" s="136" t="s">
        <v>2475</v>
      </c>
      <c r="I146" s="136" t="s">
        <v>2476</v>
      </c>
      <c r="J146" s="136" t="s">
        <v>6578</v>
      </c>
      <c r="L146" s="136"/>
      <c r="M146" s="136"/>
      <c r="N146" s="136"/>
    </row>
    <row r="147" spans="6:14">
      <c r="F147" s="136" t="s">
        <v>6579</v>
      </c>
      <c r="G147" s="136">
        <v>144</v>
      </c>
      <c r="H147" s="136" t="s">
        <v>2473</v>
      </c>
      <c r="I147" s="136" t="s">
        <v>2474</v>
      </c>
      <c r="J147" s="136" t="s">
        <v>6580</v>
      </c>
      <c r="L147" s="136"/>
      <c r="M147" s="136"/>
      <c r="N147" s="136"/>
    </row>
    <row r="148" spans="6:14">
      <c r="F148" s="136" t="s">
        <v>6581</v>
      </c>
      <c r="G148" s="136">
        <v>145</v>
      </c>
      <c r="H148" s="136" t="s">
        <v>2508</v>
      </c>
      <c r="I148" s="136" t="s">
        <v>2509</v>
      </c>
      <c r="J148" s="136" t="s">
        <v>6582</v>
      </c>
      <c r="L148" s="136"/>
      <c r="M148" s="136"/>
      <c r="N148" s="136"/>
    </row>
    <row r="149" spans="6:14">
      <c r="F149" s="136" t="s">
        <v>6583</v>
      </c>
      <c r="G149" s="136">
        <v>146</v>
      </c>
      <c r="H149" s="136" t="s">
        <v>2519</v>
      </c>
      <c r="I149" s="136" t="s">
        <v>2520</v>
      </c>
      <c r="J149" s="136" t="s">
        <v>6584</v>
      </c>
      <c r="L149" s="136"/>
      <c r="M149" s="136"/>
      <c r="N149" s="136"/>
    </row>
    <row r="150" spans="6:14">
      <c r="F150" s="136" t="s">
        <v>6585</v>
      </c>
      <c r="G150" s="136">
        <v>147</v>
      </c>
      <c r="H150" s="136" t="s">
        <v>2563</v>
      </c>
      <c r="I150" s="136" t="s">
        <v>2564</v>
      </c>
      <c r="J150" s="136" t="s">
        <v>6586</v>
      </c>
      <c r="L150" s="136"/>
      <c r="M150" s="136"/>
      <c r="N150" s="136"/>
    </row>
    <row r="151" spans="6:14">
      <c r="F151" s="136" t="s">
        <v>6587</v>
      </c>
      <c r="G151" s="136">
        <v>148</v>
      </c>
      <c r="H151" s="136" t="s">
        <v>2575</v>
      </c>
      <c r="I151" s="136" t="s">
        <v>2576</v>
      </c>
      <c r="J151" s="136" t="s">
        <v>6588</v>
      </c>
      <c r="L151" s="136"/>
      <c r="M151" s="136"/>
      <c r="N151" s="136"/>
    </row>
    <row r="152" spans="6:14">
      <c r="F152" s="136" t="s">
        <v>6589</v>
      </c>
      <c r="G152" s="136">
        <v>149</v>
      </c>
      <c r="H152" s="136" t="s">
        <v>2579</v>
      </c>
      <c r="I152" s="136" t="s">
        <v>2580</v>
      </c>
      <c r="J152" s="136" t="s">
        <v>6590</v>
      </c>
      <c r="L152" s="136"/>
      <c r="M152" s="136"/>
      <c r="N152" s="136"/>
    </row>
    <row r="153" spans="6:14">
      <c r="F153" s="136" t="s">
        <v>6591</v>
      </c>
      <c r="G153" s="136">
        <v>150</v>
      </c>
      <c r="H153" s="136" t="s">
        <v>2585</v>
      </c>
      <c r="I153" s="136" t="s">
        <v>2586</v>
      </c>
      <c r="J153" s="136" t="s">
        <v>6592</v>
      </c>
      <c r="L153" s="136"/>
      <c r="M153" s="136"/>
      <c r="N153" s="136"/>
    </row>
    <row r="154" spans="6:14">
      <c r="F154" s="136" t="s">
        <v>6593</v>
      </c>
      <c r="G154" s="136">
        <v>151</v>
      </c>
      <c r="H154" s="136" t="s">
        <v>2591</v>
      </c>
      <c r="I154" s="136" t="s">
        <v>2592</v>
      </c>
      <c r="J154" s="136" t="s">
        <v>6594</v>
      </c>
      <c r="L154" s="136"/>
      <c r="M154" s="136"/>
      <c r="N154" s="136"/>
    </row>
    <row r="155" spans="6:14">
      <c r="F155" s="136" t="s">
        <v>6595</v>
      </c>
      <c r="G155" s="136">
        <v>152</v>
      </c>
      <c r="H155" s="136" t="s">
        <v>2591</v>
      </c>
      <c r="I155" s="136" t="s">
        <v>2593</v>
      </c>
      <c r="J155" s="136" t="s">
        <v>6596</v>
      </c>
      <c r="L155" s="136"/>
      <c r="M155" s="136"/>
      <c r="N155" s="136"/>
    </row>
    <row r="156" spans="6:14">
      <c r="F156" s="136" t="s">
        <v>6597</v>
      </c>
      <c r="G156" s="136">
        <v>153</v>
      </c>
      <c r="H156" s="136" t="s">
        <v>527</v>
      </c>
      <c r="I156" s="136" t="s">
        <v>528</v>
      </c>
      <c r="J156" s="136" t="s">
        <v>6598</v>
      </c>
      <c r="L156" s="136"/>
      <c r="M156" s="136"/>
      <c r="N156" s="136"/>
    </row>
    <row r="157" spans="6:14">
      <c r="F157" s="136" t="s">
        <v>6599</v>
      </c>
      <c r="G157" s="136">
        <v>154</v>
      </c>
      <c r="H157" s="136" t="s">
        <v>2636</v>
      </c>
      <c r="I157" s="136" t="s">
        <v>2637</v>
      </c>
      <c r="J157" s="136" t="s">
        <v>6600</v>
      </c>
      <c r="L157" s="136"/>
      <c r="M157" s="136"/>
      <c r="N157" s="136"/>
    </row>
    <row r="158" spans="6:14">
      <c r="F158" s="136" t="s">
        <v>6601</v>
      </c>
      <c r="G158" s="136">
        <v>155</v>
      </c>
      <c r="H158" s="136" t="s">
        <v>2640</v>
      </c>
      <c r="I158" s="136" t="s">
        <v>2641</v>
      </c>
      <c r="J158" s="136" t="s">
        <v>6602</v>
      </c>
      <c r="L158" s="136"/>
      <c r="M158" s="136"/>
      <c r="N158" s="136"/>
    </row>
    <row r="159" spans="6:14">
      <c r="F159" s="136" t="s">
        <v>6603</v>
      </c>
      <c r="G159" s="136">
        <v>156</v>
      </c>
      <c r="H159" s="136" t="s">
        <v>2642</v>
      </c>
      <c r="I159" s="136" t="s">
        <v>2643</v>
      </c>
      <c r="J159" s="136" t="s">
        <v>6604</v>
      </c>
      <c r="L159" s="136"/>
      <c r="M159" s="136"/>
      <c r="N159" s="136"/>
    </row>
    <row r="160" spans="6:14">
      <c r="F160" s="136" t="s">
        <v>6605</v>
      </c>
      <c r="G160" s="136">
        <v>157</v>
      </c>
      <c r="H160" s="136" t="s">
        <v>2648</v>
      </c>
      <c r="I160" s="136" t="s">
        <v>2649</v>
      </c>
      <c r="J160" s="136" t="s">
        <v>6606</v>
      </c>
      <c r="L160" s="136"/>
      <c r="M160" s="136"/>
      <c r="N160" s="136"/>
    </row>
    <row r="161" spans="6:14">
      <c r="F161" s="136" t="s">
        <v>6607</v>
      </c>
      <c r="G161" s="136">
        <v>158</v>
      </c>
      <c r="H161" s="136" t="s">
        <v>2650</v>
      </c>
      <c r="I161" s="136" t="s">
        <v>2651</v>
      </c>
      <c r="J161" s="136" t="s">
        <v>6608</v>
      </c>
      <c r="L161" s="136"/>
      <c r="M161" s="136"/>
      <c r="N161" s="136"/>
    </row>
    <row r="162" spans="6:14">
      <c r="F162" s="136" t="s">
        <v>6609</v>
      </c>
      <c r="G162" s="136">
        <v>159</v>
      </c>
      <c r="H162" s="136" t="s">
        <v>2660</v>
      </c>
      <c r="I162" s="136" t="s">
        <v>2661</v>
      </c>
      <c r="J162" s="136" t="s">
        <v>6610</v>
      </c>
      <c r="L162" s="136"/>
      <c r="M162" s="136"/>
      <c r="N162" s="136"/>
    </row>
    <row r="163" spans="6:14">
      <c r="F163" s="136" t="s">
        <v>6611</v>
      </c>
      <c r="G163" s="136">
        <v>160</v>
      </c>
      <c r="H163" s="136" t="s">
        <v>820</v>
      </c>
      <c r="I163" s="136" t="s">
        <v>821</v>
      </c>
      <c r="J163" s="136" t="s">
        <v>6612</v>
      </c>
      <c r="L163" s="136"/>
      <c r="M163" s="136"/>
      <c r="N163" s="136"/>
    </row>
    <row r="164" spans="6:14">
      <c r="F164" s="136" t="s">
        <v>6613</v>
      </c>
      <c r="G164" s="136">
        <v>161</v>
      </c>
      <c r="H164" s="136" t="s">
        <v>2680</v>
      </c>
      <c r="I164" s="136" t="s">
        <v>2681</v>
      </c>
      <c r="J164" s="136" t="s">
        <v>6614</v>
      </c>
      <c r="L164" s="136"/>
      <c r="M164" s="136"/>
      <c r="N164" s="136"/>
    </row>
    <row r="165" spans="6:14">
      <c r="F165" s="136" t="s">
        <v>6615</v>
      </c>
      <c r="G165" s="136">
        <v>162</v>
      </c>
      <c r="H165" s="136" t="s">
        <v>2686</v>
      </c>
      <c r="I165" s="136" t="s">
        <v>2687</v>
      </c>
      <c r="J165" s="136" t="s">
        <v>6616</v>
      </c>
      <c r="L165" s="136"/>
      <c r="M165" s="136"/>
      <c r="N165" s="136"/>
    </row>
    <row r="166" spans="6:14">
      <c r="F166" s="136" t="s">
        <v>6617</v>
      </c>
      <c r="G166" s="136">
        <v>163</v>
      </c>
      <c r="H166" s="136" t="s">
        <v>2688</v>
      </c>
      <c r="I166" s="136" t="s">
        <v>2689</v>
      </c>
      <c r="J166" s="136" t="s">
        <v>6618</v>
      </c>
      <c r="L166" s="136"/>
      <c r="M166" s="136"/>
      <c r="N166" s="136"/>
    </row>
    <row r="167" spans="6:14">
      <c r="F167" s="136" t="s">
        <v>6619</v>
      </c>
      <c r="G167" s="136">
        <v>164</v>
      </c>
      <c r="H167" s="136" t="s">
        <v>2688</v>
      </c>
      <c r="I167" s="136" t="s">
        <v>2690</v>
      </c>
      <c r="J167" s="136" t="s">
        <v>6620</v>
      </c>
      <c r="L167" s="136"/>
      <c r="M167" s="136"/>
      <c r="N167" s="136"/>
    </row>
    <row r="168" spans="6:14">
      <c r="F168" s="136" t="s">
        <v>6621</v>
      </c>
      <c r="G168" s="136">
        <v>165</v>
      </c>
      <c r="H168" s="136" t="s">
        <v>2688</v>
      </c>
      <c r="I168" s="136" t="s">
        <v>6622</v>
      </c>
      <c r="J168" s="136" t="s">
        <v>6623</v>
      </c>
      <c r="L168" s="136"/>
      <c r="M168" s="136"/>
      <c r="N168" s="136"/>
    </row>
    <row r="169" spans="6:14">
      <c r="F169" s="136" t="s">
        <v>6624</v>
      </c>
      <c r="G169" s="136">
        <v>166</v>
      </c>
      <c r="H169" s="136" t="s">
        <v>2692</v>
      </c>
      <c r="I169" s="136" t="s">
        <v>2693</v>
      </c>
      <c r="J169" s="136" t="s">
        <v>6625</v>
      </c>
      <c r="L169" s="136"/>
      <c r="M169" s="136"/>
      <c r="N169" s="136"/>
    </row>
    <row r="170" spans="6:14">
      <c r="F170" s="136" t="s">
        <v>6626</v>
      </c>
      <c r="G170" s="136">
        <v>167</v>
      </c>
      <c r="H170" s="136" t="s">
        <v>2702</v>
      </c>
      <c r="I170" s="136" t="s">
        <v>2703</v>
      </c>
      <c r="J170" s="136" t="s">
        <v>6627</v>
      </c>
      <c r="L170" s="136"/>
      <c r="M170" s="136"/>
      <c r="N170" s="136"/>
    </row>
    <row r="171" spans="6:14">
      <c r="F171" s="136" t="s">
        <v>6628</v>
      </c>
      <c r="G171" s="136">
        <v>168</v>
      </c>
      <c r="H171" s="136" t="s">
        <v>2716</v>
      </c>
      <c r="I171" s="136" t="s">
        <v>2717</v>
      </c>
      <c r="J171" s="136" t="s">
        <v>6629</v>
      </c>
      <c r="L171" s="136"/>
      <c r="M171" s="136"/>
      <c r="N171" s="136"/>
    </row>
    <row r="172" spans="6:14">
      <c r="F172" s="136" t="s">
        <v>6630</v>
      </c>
      <c r="G172" s="136">
        <v>169</v>
      </c>
      <c r="H172" s="136" t="s">
        <v>2726</v>
      </c>
      <c r="I172" s="136" t="s">
        <v>2727</v>
      </c>
      <c r="J172" s="136" t="s">
        <v>6631</v>
      </c>
      <c r="L172" s="136"/>
      <c r="M172" s="136"/>
      <c r="N172" s="136"/>
    </row>
    <row r="173" spans="6:14">
      <c r="F173" s="136" t="s">
        <v>6632</v>
      </c>
      <c r="G173" s="136">
        <v>170</v>
      </c>
      <c r="H173" s="136" t="s">
        <v>2738</v>
      </c>
      <c r="I173" s="136" t="s">
        <v>2739</v>
      </c>
      <c r="J173" s="136" t="s">
        <v>6633</v>
      </c>
      <c r="L173" s="136"/>
      <c r="M173" s="136"/>
      <c r="N173" s="136"/>
    </row>
    <row r="174" spans="6:14">
      <c r="F174" s="136" t="s">
        <v>6634</v>
      </c>
      <c r="G174" s="136">
        <v>171</v>
      </c>
      <c r="H174" s="136" t="s">
        <v>843</v>
      </c>
      <c r="I174" s="136" t="s">
        <v>844</v>
      </c>
      <c r="J174" s="136" t="s">
        <v>6635</v>
      </c>
      <c r="L174" s="136"/>
      <c r="M174" s="136"/>
      <c r="N174" s="136"/>
    </row>
    <row r="175" spans="6:14">
      <c r="F175" s="136" t="s">
        <v>6636</v>
      </c>
      <c r="G175" s="136">
        <v>172</v>
      </c>
      <c r="H175" s="136" t="s">
        <v>2744</v>
      </c>
      <c r="I175" s="136" t="s">
        <v>2745</v>
      </c>
      <c r="J175" s="136" t="s">
        <v>6637</v>
      </c>
      <c r="L175" s="136"/>
      <c r="M175" s="136"/>
      <c r="N175" s="136"/>
    </row>
    <row r="176" spans="6:14">
      <c r="F176" s="136" t="s">
        <v>6638</v>
      </c>
      <c r="G176" s="136">
        <v>173</v>
      </c>
      <c r="H176" s="136" t="s">
        <v>2770</v>
      </c>
      <c r="I176" s="136" t="s">
        <v>2771</v>
      </c>
      <c r="J176" s="136" t="s">
        <v>6639</v>
      </c>
      <c r="L176" s="136"/>
      <c r="M176" s="136"/>
      <c r="N176" s="136"/>
    </row>
    <row r="177" spans="6:14">
      <c r="F177" s="136" t="s">
        <v>6640</v>
      </c>
      <c r="G177" s="136">
        <v>174</v>
      </c>
      <c r="H177" s="136" t="s">
        <v>2774</v>
      </c>
      <c r="I177" s="136" t="s">
        <v>2775</v>
      </c>
      <c r="J177" s="136" t="s">
        <v>6641</v>
      </c>
      <c r="L177" s="136"/>
      <c r="M177" s="136"/>
      <c r="N177" s="136"/>
    </row>
    <row r="178" spans="6:14">
      <c r="F178" s="136" t="s">
        <v>6642</v>
      </c>
      <c r="G178" s="136">
        <v>175</v>
      </c>
      <c r="H178" s="136" t="s">
        <v>2778</v>
      </c>
      <c r="I178" s="136" t="s">
        <v>2779</v>
      </c>
      <c r="J178" s="136" t="s">
        <v>6643</v>
      </c>
      <c r="L178" s="136"/>
      <c r="M178" s="136"/>
      <c r="N178" s="136"/>
    </row>
    <row r="179" spans="6:14">
      <c r="F179" s="136" t="s">
        <v>6644</v>
      </c>
      <c r="G179" s="136">
        <v>176</v>
      </c>
      <c r="H179" s="136" t="s">
        <v>2792</v>
      </c>
      <c r="I179" s="136" t="s">
        <v>2793</v>
      </c>
      <c r="J179" s="136" t="s">
        <v>6645</v>
      </c>
      <c r="L179" s="136"/>
      <c r="M179" s="136"/>
      <c r="N179" s="136"/>
    </row>
    <row r="180" spans="6:14">
      <c r="F180" s="136" t="s">
        <v>6646</v>
      </c>
      <c r="G180" s="136">
        <v>177</v>
      </c>
      <c r="H180" s="136" t="s">
        <v>2797</v>
      </c>
      <c r="I180" s="136" t="s">
        <v>2798</v>
      </c>
      <c r="J180" s="136" t="s">
        <v>6647</v>
      </c>
      <c r="L180" s="136"/>
      <c r="M180" s="136"/>
      <c r="N180" s="136"/>
    </row>
    <row r="181" spans="6:14">
      <c r="F181" s="136" t="s">
        <v>6648</v>
      </c>
      <c r="G181" s="136">
        <v>178</v>
      </c>
      <c r="H181" s="136" t="s">
        <v>2803</v>
      </c>
      <c r="I181" s="136" t="s">
        <v>2804</v>
      </c>
      <c r="J181" s="136" t="s">
        <v>6649</v>
      </c>
      <c r="L181" s="136"/>
      <c r="M181" s="136"/>
      <c r="N181" s="136"/>
    </row>
    <row r="182" spans="6:14">
      <c r="F182" s="136" t="s">
        <v>6650</v>
      </c>
      <c r="G182" s="136">
        <v>179</v>
      </c>
      <c r="H182" s="136" t="s">
        <v>2807</v>
      </c>
      <c r="I182" s="136" t="s">
        <v>2808</v>
      </c>
      <c r="J182" s="136" t="s">
        <v>6651</v>
      </c>
      <c r="L182" s="136"/>
      <c r="M182" s="136"/>
      <c r="N182" s="136"/>
    </row>
    <row r="183" spans="6:14">
      <c r="F183" s="136" t="s">
        <v>6652</v>
      </c>
      <c r="G183" s="136">
        <v>180</v>
      </c>
      <c r="H183" s="136" t="s">
        <v>2811</v>
      </c>
      <c r="I183" s="136" t="s">
        <v>2811</v>
      </c>
      <c r="J183" s="136" t="s">
        <v>6653</v>
      </c>
      <c r="L183" s="136"/>
      <c r="M183" s="136"/>
      <c r="N183" s="136"/>
    </row>
    <row r="184" spans="6:14">
      <c r="F184" s="136" t="s">
        <v>6654</v>
      </c>
      <c r="G184" s="136">
        <v>181</v>
      </c>
      <c r="H184" s="136" t="s">
        <v>2818</v>
      </c>
      <c r="I184" s="136" t="s">
        <v>2819</v>
      </c>
      <c r="J184" s="136" t="s">
        <v>6655</v>
      </c>
      <c r="L184" s="136"/>
      <c r="M184" s="136"/>
      <c r="N184" s="136"/>
    </row>
    <row r="185" spans="6:14">
      <c r="F185" s="136" t="s">
        <v>6656</v>
      </c>
      <c r="G185" s="136">
        <v>182</v>
      </c>
      <c r="H185" s="136" t="s">
        <v>2818</v>
      </c>
      <c r="I185" s="136" t="s">
        <v>2820</v>
      </c>
      <c r="J185" s="136" t="s">
        <v>6657</v>
      </c>
      <c r="L185" s="136"/>
      <c r="M185" s="136"/>
      <c r="N185" s="136"/>
    </row>
    <row r="186" spans="6:14">
      <c r="F186" s="136" t="s">
        <v>6658</v>
      </c>
      <c r="G186" s="136">
        <v>183</v>
      </c>
      <c r="H186" s="136" t="s">
        <v>2837</v>
      </c>
      <c r="I186" s="136" t="s">
        <v>2838</v>
      </c>
      <c r="J186" s="136" t="s">
        <v>6659</v>
      </c>
      <c r="L186" s="136"/>
      <c r="M186" s="136"/>
      <c r="N186" s="136"/>
    </row>
    <row r="187" spans="6:14">
      <c r="F187" s="136" t="s">
        <v>6660</v>
      </c>
      <c r="G187" s="136">
        <v>184</v>
      </c>
      <c r="H187" s="136" t="s">
        <v>23712</v>
      </c>
      <c r="I187" s="136" t="s">
        <v>23397</v>
      </c>
      <c r="J187" s="136" t="s">
        <v>6661</v>
      </c>
      <c r="L187" s="136"/>
      <c r="M187" s="136"/>
      <c r="N187" s="136"/>
    </row>
    <row r="188" spans="6:14">
      <c r="F188" s="136" t="s">
        <v>6662</v>
      </c>
      <c r="G188" s="136">
        <v>185</v>
      </c>
      <c r="H188" s="136" t="s">
        <v>2847</v>
      </c>
      <c r="I188" s="136" t="s">
        <v>2848</v>
      </c>
      <c r="J188" s="136" t="s">
        <v>6663</v>
      </c>
      <c r="L188" s="136"/>
      <c r="M188" s="136"/>
      <c r="N188" s="136"/>
    </row>
    <row r="189" spans="6:14">
      <c r="F189" s="136" t="s">
        <v>6664</v>
      </c>
      <c r="G189" s="136">
        <v>186</v>
      </c>
      <c r="H189" s="136" t="s">
        <v>2851</v>
      </c>
      <c r="I189" s="136" t="s">
        <v>2852</v>
      </c>
      <c r="J189" s="136" t="s">
        <v>6665</v>
      </c>
      <c r="L189" s="136"/>
      <c r="M189" s="136"/>
      <c r="N189" s="136"/>
    </row>
    <row r="190" spans="6:14">
      <c r="F190" s="136" t="s">
        <v>6666</v>
      </c>
      <c r="G190" s="136">
        <v>187</v>
      </c>
      <c r="H190" s="136" t="s">
        <v>2863</v>
      </c>
      <c r="I190" s="136" t="s">
        <v>2864</v>
      </c>
      <c r="J190" s="136" t="s">
        <v>6667</v>
      </c>
      <c r="L190" s="136"/>
      <c r="M190" s="136"/>
      <c r="N190" s="136"/>
    </row>
    <row r="191" spans="6:14">
      <c r="F191" s="136" t="s">
        <v>6668</v>
      </c>
      <c r="G191" s="136">
        <v>188</v>
      </c>
      <c r="H191" s="136" t="s">
        <v>2899</v>
      </c>
      <c r="I191" s="136" t="s">
        <v>2900</v>
      </c>
      <c r="J191" s="136" t="s">
        <v>6669</v>
      </c>
      <c r="L191" s="136"/>
      <c r="M191" s="136"/>
      <c r="N191" s="136"/>
    </row>
    <row r="192" spans="6:14">
      <c r="F192" s="136" t="s">
        <v>6670</v>
      </c>
      <c r="G192" s="136">
        <v>189</v>
      </c>
      <c r="H192" s="136" t="s">
        <v>2903</v>
      </c>
      <c r="I192" s="136" t="s">
        <v>2904</v>
      </c>
      <c r="J192" s="136" t="s">
        <v>6671</v>
      </c>
      <c r="L192" s="136"/>
      <c r="M192" s="136"/>
      <c r="N192" s="136"/>
    </row>
    <row r="193" spans="6:14">
      <c r="F193" s="136" t="s">
        <v>6672</v>
      </c>
      <c r="G193" s="136">
        <v>190</v>
      </c>
      <c r="H193" s="136" t="s">
        <v>2920</v>
      </c>
      <c r="I193" s="136" t="s">
        <v>2921</v>
      </c>
      <c r="J193" s="136" t="s">
        <v>6673</v>
      </c>
      <c r="L193" s="136"/>
      <c r="M193" s="136"/>
      <c r="N193" s="136"/>
    </row>
    <row r="194" spans="6:14">
      <c r="F194" s="136" t="s">
        <v>6674</v>
      </c>
      <c r="G194" s="136">
        <v>191</v>
      </c>
      <c r="H194" s="136" t="s">
        <v>6675</v>
      </c>
      <c r="I194" s="136" t="s">
        <v>6676</v>
      </c>
      <c r="J194" s="136" t="s">
        <v>6677</v>
      </c>
      <c r="L194" s="136"/>
      <c r="M194" s="136"/>
      <c r="N194" s="136"/>
    </row>
    <row r="195" spans="6:14">
      <c r="F195" s="136" t="s">
        <v>6678</v>
      </c>
      <c r="G195" s="136">
        <v>192</v>
      </c>
      <c r="H195" s="136" t="s">
        <v>6679</v>
      </c>
      <c r="I195" s="136" t="s">
        <v>6680</v>
      </c>
      <c r="J195" s="136" t="s">
        <v>6681</v>
      </c>
      <c r="L195" s="136"/>
      <c r="M195" s="136"/>
      <c r="N195" s="136"/>
    </row>
    <row r="196" spans="6:14">
      <c r="F196" s="136" t="s">
        <v>6682</v>
      </c>
      <c r="G196" s="136">
        <v>193</v>
      </c>
      <c r="H196" s="136" t="s">
        <v>3003</v>
      </c>
      <c r="I196" s="136" t="s">
        <v>3004</v>
      </c>
      <c r="J196" s="136" t="s">
        <v>6683</v>
      </c>
      <c r="L196" s="136"/>
      <c r="M196" s="136"/>
      <c r="N196" s="136"/>
    </row>
    <row r="197" spans="6:14">
      <c r="F197" s="136" t="s">
        <v>6684</v>
      </c>
      <c r="G197" s="136">
        <v>194</v>
      </c>
      <c r="H197" s="136" t="s">
        <v>6685</v>
      </c>
      <c r="I197" s="136" t="s">
        <v>6686</v>
      </c>
      <c r="J197" s="136" t="s">
        <v>6687</v>
      </c>
      <c r="L197" s="136"/>
      <c r="M197" s="136"/>
      <c r="N197" s="136"/>
    </row>
    <row r="198" spans="6:14">
      <c r="F198" s="136" t="s">
        <v>6688</v>
      </c>
      <c r="G198" s="136">
        <v>195</v>
      </c>
      <c r="H198" s="136" t="s">
        <v>6689</v>
      </c>
      <c r="I198" s="136" t="s">
        <v>6690</v>
      </c>
      <c r="J198" s="136" t="s">
        <v>6691</v>
      </c>
      <c r="L198" s="136"/>
      <c r="M198" s="136"/>
      <c r="N198" s="136"/>
    </row>
    <row r="199" spans="6:14">
      <c r="F199" s="136" t="s">
        <v>6692</v>
      </c>
      <c r="G199" s="136">
        <v>196</v>
      </c>
      <c r="H199" s="136" t="s">
        <v>3073</v>
      </c>
      <c r="I199" s="136" t="s">
        <v>3074</v>
      </c>
      <c r="J199" s="136" t="s">
        <v>6693</v>
      </c>
      <c r="L199" s="136"/>
      <c r="M199" s="136"/>
      <c r="N199" s="136"/>
    </row>
    <row r="200" spans="6:14">
      <c r="F200" s="136" t="s">
        <v>6694</v>
      </c>
      <c r="G200" s="136">
        <v>197</v>
      </c>
      <c r="H200" s="136" t="s">
        <v>3105</v>
      </c>
      <c r="I200" s="136" t="s">
        <v>3106</v>
      </c>
      <c r="J200" s="136" t="s">
        <v>6695</v>
      </c>
      <c r="L200" s="136"/>
      <c r="M200" s="136"/>
      <c r="N200" s="136"/>
    </row>
    <row r="201" spans="6:14">
      <c r="F201" s="136" t="s">
        <v>6696</v>
      </c>
      <c r="G201" s="136">
        <v>198</v>
      </c>
      <c r="H201" s="136" t="s">
        <v>3112</v>
      </c>
      <c r="I201" s="136" t="s">
        <v>3113</v>
      </c>
      <c r="J201" s="136" t="s">
        <v>6697</v>
      </c>
      <c r="L201" s="136"/>
      <c r="M201" s="136"/>
      <c r="N201" s="136"/>
    </row>
    <row r="202" spans="6:14">
      <c r="F202" s="136" t="s">
        <v>6698</v>
      </c>
      <c r="G202" s="136">
        <v>199</v>
      </c>
      <c r="H202" s="136" t="s">
        <v>3142</v>
      </c>
      <c r="I202" s="136" t="s">
        <v>3143</v>
      </c>
      <c r="J202" s="136" t="s">
        <v>6699</v>
      </c>
      <c r="L202" s="136"/>
      <c r="M202" s="136"/>
      <c r="N202" s="136"/>
    </row>
    <row r="203" spans="6:14">
      <c r="F203" s="136" t="s">
        <v>6700</v>
      </c>
      <c r="G203" s="136">
        <v>200</v>
      </c>
      <c r="H203" s="136" t="s">
        <v>3144</v>
      </c>
      <c r="I203" s="136" t="s">
        <v>3145</v>
      </c>
      <c r="J203" s="136" t="s">
        <v>6701</v>
      </c>
      <c r="L203" s="136"/>
      <c r="M203" s="136"/>
      <c r="N203" s="136"/>
    </row>
    <row r="204" spans="6:14">
      <c r="F204" s="136" t="s">
        <v>6702</v>
      </c>
      <c r="G204" s="136">
        <v>201</v>
      </c>
      <c r="H204" s="136" t="s">
        <v>3146</v>
      </c>
      <c r="I204" s="136" t="s">
        <v>3147</v>
      </c>
      <c r="J204" s="136" t="s">
        <v>6703</v>
      </c>
      <c r="L204" s="136"/>
      <c r="M204" s="136"/>
      <c r="N204" s="136"/>
    </row>
    <row r="205" spans="6:14">
      <c r="F205" s="136" t="s">
        <v>6704</v>
      </c>
      <c r="G205" s="136">
        <v>202</v>
      </c>
      <c r="H205" s="136" t="s">
        <v>3200</v>
      </c>
      <c r="I205" s="136" t="s">
        <v>3201</v>
      </c>
      <c r="J205" s="136" t="s">
        <v>6705</v>
      </c>
      <c r="L205" s="136"/>
      <c r="M205" s="136"/>
      <c r="N205" s="136"/>
    </row>
    <row r="206" spans="6:14">
      <c r="F206" s="136" t="s">
        <v>6706</v>
      </c>
      <c r="G206" s="136">
        <v>203</v>
      </c>
      <c r="H206" s="136" t="s">
        <v>3221</v>
      </c>
      <c r="I206" s="136" t="s">
        <v>3222</v>
      </c>
      <c r="J206" s="136" t="s">
        <v>6707</v>
      </c>
      <c r="L206" s="136"/>
      <c r="M206" s="136"/>
      <c r="N206" s="136"/>
    </row>
    <row r="207" spans="6:14">
      <c r="F207" s="136" t="s">
        <v>6708</v>
      </c>
      <c r="G207" s="136">
        <v>204</v>
      </c>
      <c r="H207" s="136" t="s">
        <v>6709</v>
      </c>
      <c r="I207" s="136" t="s">
        <v>6710</v>
      </c>
      <c r="J207" s="136" t="s">
        <v>6711</v>
      </c>
      <c r="L207" s="136"/>
      <c r="M207" s="136"/>
      <c r="N207" s="136"/>
    </row>
    <row r="208" spans="6:14">
      <c r="F208" s="136" t="s">
        <v>6712</v>
      </c>
      <c r="G208" s="136">
        <v>205</v>
      </c>
      <c r="H208" s="136" t="s">
        <v>6713</v>
      </c>
      <c r="I208" s="136" t="s">
        <v>6714</v>
      </c>
      <c r="J208" s="136" t="s">
        <v>6715</v>
      </c>
      <c r="L208" s="136"/>
      <c r="M208" s="136"/>
      <c r="N208" s="136"/>
    </row>
    <row r="209" spans="6:14">
      <c r="F209" s="136" t="s">
        <v>6716</v>
      </c>
      <c r="G209" s="136">
        <v>206</v>
      </c>
      <c r="H209" s="136" t="s">
        <v>3375</v>
      </c>
      <c r="I209" s="136" t="s">
        <v>3376</v>
      </c>
      <c r="J209" s="136" t="s">
        <v>6717</v>
      </c>
      <c r="L209" s="136"/>
      <c r="M209" s="136"/>
      <c r="N209" s="136"/>
    </row>
    <row r="210" spans="6:14">
      <c r="F210" s="136" t="s">
        <v>6718</v>
      </c>
      <c r="G210" s="136">
        <v>207</v>
      </c>
      <c r="H210" s="136" t="s">
        <v>3389</v>
      </c>
      <c r="I210" s="136" t="s">
        <v>3389</v>
      </c>
      <c r="J210" s="136" t="s">
        <v>6719</v>
      </c>
      <c r="L210" s="136"/>
      <c r="M210" s="136"/>
      <c r="N210" s="136"/>
    </row>
    <row r="211" spans="6:14">
      <c r="F211" s="136" t="s">
        <v>6720</v>
      </c>
      <c r="G211" s="136">
        <v>208</v>
      </c>
      <c r="H211" s="136" t="s">
        <v>3550</v>
      </c>
      <c r="I211" s="136" t="s">
        <v>3551</v>
      </c>
      <c r="J211" s="136" t="s">
        <v>6721</v>
      </c>
      <c r="L211" s="136"/>
      <c r="M211" s="136"/>
      <c r="N211" s="136"/>
    </row>
    <row r="212" spans="6:14">
      <c r="F212" s="136" t="s">
        <v>6722</v>
      </c>
      <c r="G212" s="136">
        <v>209</v>
      </c>
      <c r="H212" s="136" t="s">
        <v>736</v>
      </c>
      <c r="I212" s="136" t="s">
        <v>737</v>
      </c>
      <c r="J212" s="136" t="s">
        <v>6723</v>
      </c>
      <c r="L212" s="136"/>
      <c r="M212" s="136"/>
      <c r="N212" s="136"/>
    </row>
    <row r="213" spans="6:14">
      <c r="F213" s="136" t="s">
        <v>6724</v>
      </c>
      <c r="G213" s="136">
        <v>210</v>
      </c>
      <c r="H213" s="136" t="s">
        <v>3408</v>
      </c>
      <c r="I213" s="136" t="s">
        <v>3409</v>
      </c>
      <c r="J213" s="136" t="s">
        <v>6725</v>
      </c>
      <c r="L213" s="136"/>
      <c r="M213" s="136"/>
      <c r="N213" s="136"/>
    </row>
    <row r="214" spans="6:14">
      <c r="F214" s="136" t="s">
        <v>6726</v>
      </c>
      <c r="G214" s="136">
        <v>211</v>
      </c>
      <c r="H214" s="136" t="s">
        <v>3415</v>
      </c>
      <c r="I214" s="136" t="s">
        <v>3416</v>
      </c>
      <c r="J214" s="136" t="s">
        <v>6727</v>
      </c>
      <c r="L214" s="136"/>
      <c r="M214" s="136"/>
      <c r="N214" s="136"/>
    </row>
    <row r="215" spans="6:14">
      <c r="F215" s="136" t="s">
        <v>6728</v>
      </c>
      <c r="G215" s="136">
        <v>212</v>
      </c>
      <c r="H215" s="136" t="s">
        <v>3415</v>
      </c>
      <c r="I215" s="136" t="s">
        <v>3417</v>
      </c>
      <c r="J215" s="136" t="s">
        <v>6729</v>
      </c>
      <c r="L215" s="136"/>
      <c r="M215" s="136"/>
      <c r="N215" s="136"/>
    </row>
    <row r="216" spans="6:14">
      <c r="F216" s="136" t="s">
        <v>6730</v>
      </c>
      <c r="G216" s="136">
        <v>213</v>
      </c>
      <c r="H216" s="136" t="s">
        <v>6731</v>
      </c>
      <c r="I216" s="136" t="s">
        <v>6732</v>
      </c>
      <c r="J216" s="136" t="s">
        <v>6733</v>
      </c>
      <c r="L216" s="136"/>
      <c r="M216" s="136"/>
      <c r="N216" s="136"/>
    </row>
    <row r="217" spans="6:14">
      <c r="F217" s="136" t="s">
        <v>6734</v>
      </c>
      <c r="G217" s="136">
        <v>214</v>
      </c>
      <c r="H217" s="136" t="s">
        <v>3422</v>
      </c>
      <c r="I217" s="136" t="s">
        <v>3423</v>
      </c>
      <c r="J217" s="136" t="s">
        <v>6735</v>
      </c>
      <c r="L217" s="136"/>
      <c r="M217" s="136"/>
      <c r="N217" s="136"/>
    </row>
    <row r="218" spans="6:14">
      <c r="F218" s="136" t="s">
        <v>6736</v>
      </c>
      <c r="G218" s="136">
        <v>215</v>
      </c>
      <c r="H218" s="136" t="s">
        <v>3424</v>
      </c>
      <c r="I218" s="136" t="s">
        <v>3425</v>
      </c>
      <c r="J218" s="136" t="s">
        <v>6737</v>
      </c>
      <c r="L218" s="136"/>
      <c r="M218" s="136"/>
      <c r="N218" s="136"/>
    </row>
    <row r="219" spans="6:14">
      <c r="F219" s="136" t="s">
        <v>6738</v>
      </c>
      <c r="G219" s="136">
        <v>216</v>
      </c>
      <c r="H219" s="136" t="s">
        <v>3437</v>
      </c>
      <c r="I219" s="136" t="s">
        <v>3438</v>
      </c>
      <c r="J219" s="136" t="s">
        <v>6739</v>
      </c>
      <c r="L219" s="136"/>
      <c r="M219" s="136"/>
      <c r="N219" s="136"/>
    </row>
    <row r="220" spans="6:14">
      <c r="F220" s="136" t="s">
        <v>6740</v>
      </c>
      <c r="G220" s="136">
        <v>217</v>
      </c>
      <c r="H220" s="136" t="s">
        <v>3449</v>
      </c>
      <c r="I220" s="136" t="s">
        <v>3450</v>
      </c>
      <c r="J220" s="136" t="s">
        <v>6741</v>
      </c>
      <c r="L220" s="136"/>
      <c r="M220" s="136"/>
      <c r="N220" s="136"/>
    </row>
    <row r="221" spans="6:14">
      <c r="F221" s="136" t="s">
        <v>6742</v>
      </c>
      <c r="G221" s="136">
        <v>218</v>
      </c>
      <c r="H221" s="136" t="s">
        <v>3482</v>
      </c>
      <c r="I221" s="136" t="s">
        <v>3483</v>
      </c>
      <c r="J221" s="136" t="s">
        <v>6743</v>
      </c>
      <c r="L221" s="136"/>
      <c r="M221" s="136"/>
      <c r="N221" s="136"/>
    </row>
    <row r="222" spans="6:14">
      <c r="F222" s="136" t="s">
        <v>6744</v>
      </c>
      <c r="G222" s="136">
        <v>219</v>
      </c>
      <c r="H222" s="136" t="s">
        <v>3482</v>
      </c>
      <c r="I222" s="136" t="s">
        <v>3483</v>
      </c>
      <c r="J222" s="136" t="s">
        <v>6745</v>
      </c>
      <c r="L222" s="136"/>
      <c r="M222" s="136"/>
      <c r="N222" s="136"/>
    </row>
    <row r="223" spans="6:14">
      <c r="F223" s="136" t="s">
        <v>6746</v>
      </c>
      <c r="G223" s="136">
        <v>220</v>
      </c>
      <c r="H223" s="136" t="s">
        <v>3498</v>
      </c>
      <c r="I223" s="136" t="s">
        <v>3499</v>
      </c>
      <c r="J223" s="136" t="s">
        <v>6747</v>
      </c>
      <c r="L223" s="136"/>
      <c r="M223" s="136"/>
      <c r="N223" s="136"/>
    </row>
    <row r="224" spans="6:14">
      <c r="F224" s="136" t="s">
        <v>6748</v>
      </c>
      <c r="G224" s="136">
        <v>221</v>
      </c>
      <c r="H224" s="136" t="s">
        <v>3504</v>
      </c>
      <c r="I224" s="136" t="s">
        <v>3505</v>
      </c>
      <c r="J224" s="136" t="s">
        <v>6749</v>
      </c>
      <c r="L224" s="136"/>
      <c r="M224" s="136"/>
      <c r="N224" s="136"/>
    </row>
    <row r="225" spans="6:14">
      <c r="F225" s="136" t="s">
        <v>6750</v>
      </c>
      <c r="G225" s="136">
        <v>222</v>
      </c>
      <c r="H225" s="136" t="s">
        <v>3514</v>
      </c>
      <c r="I225" s="136" t="s">
        <v>3515</v>
      </c>
      <c r="J225" s="136" t="s">
        <v>6751</v>
      </c>
      <c r="L225" s="136"/>
      <c r="M225" s="136"/>
      <c r="N225" s="136"/>
    </row>
    <row r="226" spans="6:14">
      <c r="F226" s="136" t="s">
        <v>6752</v>
      </c>
      <c r="G226" s="136">
        <v>223</v>
      </c>
      <c r="H226" s="136" t="s">
        <v>3529</v>
      </c>
      <c r="I226" s="136" t="s">
        <v>3530</v>
      </c>
      <c r="J226" s="136" t="s">
        <v>6753</v>
      </c>
      <c r="L226" s="136"/>
      <c r="M226" s="136"/>
      <c r="N226" s="136"/>
    </row>
    <row r="227" spans="6:14">
      <c r="F227" s="136" t="s">
        <v>6754</v>
      </c>
      <c r="G227" s="136">
        <v>224</v>
      </c>
      <c r="H227" s="136" t="s">
        <v>6755</v>
      </c>
      <c r="I227" s="136" t="s">
        <v>6756</v>
      </c>
      <c r="J227" s="136" t="s">
        <v>6757</v>
      </c>
      <c r="L227" s="136"/>
      <c r="M227" s="136"/>
      <c r="N227" s="136"/>
    </row>
    <row r="228" spans="6:14">
      <c r="F228" s="136" t="s">
        <v>6758</v>
      </c>
      <c r="G228" s="136">
        <v>225</v>
      </c>
      <c r="H228" s="136" t="s">
        <v>6759</v>
      </c>
      <c r="I228" s="136" t="s">
        <v>6760</v>
      </c>
      <c r="J228" s="136" t="s">
        <v>6761</v>
      </c>
      <c r="L228" s="136"/>
      <c r="M228" s="136"/>
      <c r="N228" s="136"/>
    </row>
    <row r="229" spans="6:14">
      <c r="F229" s="136" t="s">
        <v>6762</v>
      </c>
      <c r="G229" s="136">
        <v>226</v>
      </c>
      <c r="H229" s="136" t="s">
        <v>3725</v>
      </c>
      <c r="I229" s="136" t="s">
        <v>3726</v>
      </c>
      <c r="J229" s="136" t="s">
        <v>6763</v>
      </c>
      <c r="L229" s="136"/>
      <c r="M229" s="136"/>
      <c r="N229" s="136"/>
    </row>
    <row r="230" spans="6:14">
      <c r="F230" s="136" t="s">
        <v>6764</v>
      </c>
      <c r="G230" s="136">
        <v>227</v>
      </c>
      <c r="H230" s="136" t="s">
        <v>6765</v>
      </c>
      <c r="I230" s="136" t="s">
        <v>6766</v>
      </c>
      <c r="J230" s="136" t="s">
        <v>6767</v>
      </c>
      <c r="L230" s="136"/>
      <c r="M230" s="136"/>
      <c r="N230" s="136"/>
    </row>
    <row r="231" spans="6:14">
      <c r="F231" s="136" t="s">
        <v>6768</v>
      </c>
      <c r="G231" s="136">
        <v>228</v>
      </c>
      <c r="H231" s="136" t="s">
        <v>3775</v>
      </c>
      <c r="I231" s="136" t="s">
        <v>3776</v>
      </c>
      <c r="J231" s="136" t="s">
        <v>6769</v>
      </c>
      <c r="L231" s="136"/>
      <c r="M231" s="136"/>
      <c r="N231" s="136"/>
    </row>
    <row r="232" spans="6:14">
      <c r="F232" s="136" t="s">
        <v>6770</v>
      </c>
      <c r="G232" s="136">
        <v>229</v>
      </c>
      <c r="H232" s="136" t="s">
        <v>3786</v>
      </c>
      <c r="I232" s="136" t="s">
        <v>3787</v>
      </c>
      <c r="J232" s="136" t="s">
        <v>6771</v>
      </c>
      <c r="L232" s="136"/>
      <c r="M232" s="136"/>
      <c r="N232" s="136"/>
    </row>
    <row r="233" spans="6:14">
      <c r="F233" s="136" t="s">
        <v>6772</v>
      </c>
      <c r="G233" s="136">
        <v>230</v>
      </c>
      <c r="H233" s="136" t="s">
        <v>4718</v>
      </c>
      <c r="I233" s="136" t="s">
        <v>4719</v>
      </c>
      <c r="J233" s="136" t="s">
        <v>6773</v>
      </c>
      <c r="L233" s="136"/>
      <c r="M233" s="136"/>
      <c r="N233" s="136"/>
    </row>
    <row r="234" spans="6:14">
      <c r="F234" s="136" t="s">
        <v>6774</v>
      </c>
      <c r="G234" s="136">
        <v>231</v>
      </c>
      <c r="H234" s="136" t="s">
        <v>3842</v>
      </c>
      <c r="I234" s="136" t="s">
        <v>3843</v>
      </c>
      <c r="J234" s="136" t="s">
        <v>6775</v>
      </c>
      <c r="L234" s="136"/>
      <c r="M234" s="136"/>
      <c r="N234" s="136"/>
    </row>
    <row r="235" spans="6:14">
      <c r="F235" s="136" t="s">
        <v>6776</v>
      </c>
      <c r="G235" s="136">
        <v>232</v>
      </c>
      <c r="H235" s="136" t="s">
        <v>3850</v>
      </c>
      <c r="I235" s="136" t="s">
        <v>3851</v>
      </c>
      <c r="J235" s="136" t="s">
        <v>6777</v>
      </c>
      <c r="L235" s="136"/>
      <c r="M235" s="136"/>
      <c r="N235" s="136"/>
    </row>
    <row r="236" spans="6:14">
      <c r="F236" s="136" t="s">
        <v>6778</v>
      </c>
      <c r="G236" s="136">
        <v>233</v>
      </c>
      <c r="H236" s="136" t="s">
        <v>3922</v>
      </c>
      <c r="I236" s="136" t="s">
        <v>3923</v>
      </c>
      <c r="J236" s="136" t="s">
        <v>6779</v>
      </c>
      <c r="L236" s="136"/>
      <c r="M236" s="136"/>
      <c r="N236" s="136"/>
    </row>
    <row r="237" spans="6:14">
      <c r="F237" s="136" t="s">
        <v>6780</v>
      </c>
      <c r="G237" s="136">
        <v>234</v>
      </c>
      <c r="H237" s="136" t="s">
        <v>3985</v>
      </c>
      <c r="I237" s="136" t="s">
        <v>3986</v>
      </c>
      <c r="J237" s="136" t="s">
        <v>6781</v>
      </c>
      <c r="L237" s="136"/>
      <c r="M237" s="136"/>
      <c r="N237" s="136"/>
    </row>
    <row r="238" spans="6:14">
      <c r="F238" s="136" t="s">
        <v>6782</v>
      </c>
      <c r="G238" s="136">
        <v>235</v>
      </c>
      <c r="H238" s="136" t="s">
        <v>4061</v>
      </c>
      <c r="I238" s="136" t="s">
        <v>4062</v>
      </c>
      <c r="J238" s="136" t="s">
        <v>6783</v>
      </c>
      <c r="L238" s="136"/>
      <c r="M238" s="136"/>
      <c r="N238" s="136"/>
    </row>
    <row r="239" spans="6:14">
      <c r="F239" s="136" t="s">
        <v>6784</v>
      </c>
      <c r="G239" s="136">
        <v>236</v>
      </c>
      <c r="H239" s="136" t="s">
        <v>4070</v>
      </c>
      <c r="I239" s="136" t="s">
        <v>4071</v>
      </c>
      <c r="J239" s="136" t="s">
        <v>6785</v>
      </c>
      <c r="L239" s="136"/>
      <c r="M239" s="136"/>
      <c r="N239" s="136"/>
    </row>
    <row r="240" spans="6:14">
      <c r="F240" s="136" t="s">
        <v>6786</v>
      </c>
      <c r="G240" s="136">
        <v>237</v>
      </c>
      <c r="H240" s="136" t="s">
        <v>4094</v>
      </c>
      <c r="I240" s="136" t="s">
        <v>4095</v>
      </c>
      <c r="J240" s="136" t="s">
        <v>6787</v>
      </c>
      <c r="L240" s="136"/>
      <c r="M240" s="136"/>
      <c r="N240" s="136"/>
    </row>
    <row r="241" spans="6:14">
      <c r="F241" s="136" t="s">
        <v>6788</v>
      </c>
      <c r="G241" s="136">
        <v>238</v>
      </c>
      <c r="H241" s="136" t="s">
        <v>4108</v>
      </c>
      <c r="I241" s="136" t="s">
        <v>4109</v>
      </c>
      <c r="J241" s="136" t="s">
        <v>6789</v>
      </c>
      <c r="L241" s="136"/>
      <c r="M241" s="136"/>
      <c r="N241" s="136"/>
    </row>
    <row r="242" spans="6:14">
      <c r="F242" s="136" t="s">
        <v>6790</v>
      </c>
      <c r="G242" s="136">
        <v>239</v>
      </c>
      <c r="H242" s="136" t="s">
        <v>4131</v>
      </c>
      <c r="I242" s="136" t="s">
        <v>4132</v>
      </c>
      <c r="J242" s="136" t="s">
        <v>6791</v>
      </c>
      <c r="L242" s="136"/>
      <c r="M242" s="136"/>
      <c r="N242" s="136"/>
    </row>
    <row r="243" spans="6:14">
      <c r="F243" s="136" t="s">
        <v>6792</v>
      </c>
      <c r="G243" s="136">
        <v>240</v>
      </c>
      <c r="H243" s="136" t="s">
        <v>4147</v>
      </c>
      <c r="I243" s="136" t="s">
        <v>4148</v>
      </c>
      <c r="J243" s="136" t="s">
        <v>6793</v>
      </c>
      <c r="L243" s="136"/>
      <c r="M243" s="136"/>
      <c r="N243" s="136"/>
    </row>
    <row r="244" spans="6:14">
      <c r="F244" s="136" t="s">
        <v>6794</v>
      </c>
      <c r="G244" s="136">
        <v>241</v>
      </c>
      <c r="H244" s="136" t="s">
        <v>4156</v>
      </c>
      <c r="I244" s="136" t="s">
        <v>4158</v>
      </c>
      <c r="J244" s="136" t="s">
        <v>6795</v>
      </c>
      <c r="L244" s="136"/>
      <c r="M244" s="136"/>
      <c r="N244" s="136"/>
    </row>
    <row r="245" spans="6:14">
      <c r="F245" s="136" t="s">
        <v>6796</v>
      </c>
      <c r="G245" s="136">
        <v>242</v>
      </c>
      <c r="H245" s="136" t="s">
        <v>4156</v>
      </c>
      <c r="I245" s="136" t="s">
        <v>4159</v>
      </c>
      <c r="J245" s="136" t="s">
        <v>6797</v>
      </c>
      <c r="L245" s="136"/>
      <c r="M245" s="136"/>
      <c r="N245" s="136"/>
    </row>
    <row r="246" spans="6:14">
      <c r="F246" s="136" t="s">
        <v>6798</v>
      </c>
      <c r="G246" s="136">
        <v>243</v>
      </c>
      <c r="H246" s="136" t="s">
        <v>4156</v>
      </c>
      <c r="I246" s="136" t="s">
        <v>4160</v>
      </c>
      <c r="J246" s="136" t="s">
        <v>6799</v>
      </c>
      <c r="L246" s="136"/>
      <c r="M246" s="136"/>
      <c r="N246" s="136"/>
    </row>
    <row r="247" spans="6:14">
      <c r="F247" s="136" t="s">
        <v>6800</v>
      </c>
      <c r="G247" s="136">
        <v>244</v>
      </c>
      <c r="H247" s="136" t="s">
        <v>4156</v>
      </c>
      <c r="I247" s="136" t="s">
        <v>4161</v>
      </c>
      <c r="J247" s="136" t="s">
        <v>6801</v>
      </c>
      <c r="L247" s="136"/>
      <c r="M247" s="136"/>
      <c r="N247" s="136"/>
    </row>
    <row r="248" spans="6:14">
      <c r="F248" s="136" t="s">
        <v>6802</v>
      </c>
      <c r="G248" s="136">
        <v>245</v>
      </c>
      <c r="H248" s="136" t="s">
        <v>4156</v>
      </c>
      <c r="I248" s="136" t="s">
        <v>4162</v>
      </c>
      <c r="J248" s="136" t="s">
        <v>6803</v>
      </c>
      <c r="L248" s="136"/>
      <c r="M248" s="136"/>
      <c r="N248" s="136"/>
    </row>
    <row r="249" spans="6:14">
      <c r="F249" s="136" t="s">
        <v>6804</v>
      </c>
      <c r="G249" s="136">
        <v>246</v>
      </c>
      <c r="H249" s="136" t="s">
        <v>4156</v>
      </c>
      <c r="I249" s="136" t="s">
        <v>4163</v>
      </c>
      <c r="J249" s="136" t="s">
        <v>6805</v>
      </c>
      <c r="L249" s="136"/>
      <c r="M249" s="136"/>
      <c r="N249" s="136"/>
    </row>
    <row r="250" spans="6:14">
      <c r="F250" s="136" t="s">
        <v>6806</v>
      </c>
      <c r="G250" s="136">
        <v>247</v>
      </c>
      <c r="H250" s="136" t="s">
        <v>4156</v>
      </c>
      <c r="I250" s="136" t="s">
        <v>4164</v>
      </c>
      <c r="J250" s="136" t="s">
        <v>6807</v>
      </c>
      <c r="L250" s="136"/>
      <c r="M250" s="136"/>
      <c r="N250" s="136"/>
    </row>
    <row r="251" spans="6:14">
      <c r="F251" s="136" t="s">
        <v>6808</v>
      </c>
      <c r="G251" s="136">
        <v>248</v>
      </c>
      <c r="H251" s="136" t="s">
        <v>4156</v>
      </c>
      <c r="I251" s="136" t="s">
        <v>4165</v>
      </c>
      <c r="J251" s="136" t="s">
        <v>6809</v>
      </c>
      <c r="L251" s="136"/>
      <c r="M251" s="136"/>
      <c r="N251" s="136"/>
    </row>
    <row r="252" spans="6:14">
      <c r="F252" s="136" t="s">
        <v>6810</v>
      </c>
      <c r="G252" s="136">
        <v>249</v>
      </c>
      <c r="H252" s="136" t="s">
        <v>4156</v>
      </c>
      <c r="I252" s="136" t="s">
        <v>4166</v>
      </c>
      <c r="J252" s="136" t="s">
        <v>6811</v>
      </c>
      <c r="L252" s="136"/>
      <c r="M252" s="136"/>
      <c r="N252" s="136"/>
    </row>
    <row r="253" spans="6:14">
      <c r="F253" s="136" t="s">
        <v>6812</v>
      </c>
      <c r="G253" s="136">
        <v>250</v>
      </c>
      <c r="H253" s="136" t="s">
        <v>4153</v>
      </c>
      <c r="I253" s="136" t="s">
        <v>4154</v>
      </c>
      <c r="J253" s="136" t="s">
        <v>6813</v>
      </c>
      <c r="L253" s="136"/>
      <c r="M253" s="136"/>
      <c r="N253" s="136"/>
    </row>
    <row r="254" spans="6:14">
      <c r="F254" s="136" t="s">
        <v>6814</v>
      </c>
      <c r="G254" s="136">
        <v>251</v>
      </c>
      <c r="H254" s="136" t="s">
        <v>4156</v>
      </c>
      <c r="I254" s="136" t="s">
        <v>4167</v>
      </c>
      <c r="J254" s="136" t="s">
        <v>6815</v>
      </c>
      <c r="L254" s="136"/>
      <c r="M254" s="136"/>
      <c r="N254" s="136"/>
    </row>
    <row r="255" spans="6:14">
      <c r="F255" s="136" t="s">
        <v>6816</v>
      </c>
      <c r="G255" s="136">
        <v>252</v>
      </c>
      <c r="H255" s="136" t="s">
        <v>4178</v>
      </c>
      <c r="I255" s="136" t="s">
        <v>4179</v>
      </c>
      <c r="J255" s="136" t="s">
        <v>6817</v>
      </c>
      <c r="L255" s="136"/>
      <c r="M255" s="136"/>
      <c r="N255" s="136"/>
    </row>
    <row r="256" spans="6:14">
      <c r="F256" s="136" t="s">
        <v>6818</v>
      </c>
      <c r="G256" s="136">
        <v>253</v>
      </c>
      <c r="H256" s="136" t="s">
        <v>4178</v>
      </c>
      <c r="I256" s="136" t="s">
        <v>4180</v>
      </c>
      <c r="J256" s="136" t="s">
        <v>6819</v>
      </c>
      <c r="L256" s="136"/>
      <c r="M256" s="136"/>
      <c r="N256" s="136"/>
    </row>
    <row r="257" spans="6:14">
      <c r="F257" s="136" t="s">
        <v>6820</v>
      </c>
      <c r="G257" s="136">
        <v>254</v>
      </c>
      <c r="H257" s="136" t="s">
        <v>4183</v>
      </c>
      <c r="I257" s="136" t="s">
        <v>4184</v>
      </c>
      <c r="J257" s="136" t="s">
        <v>6821</v>
      </c>
      <c r="L257" s="136"/>
      <c r="M257" s="136"/>
      <c r="N257" s="136"/>
    </row>
    <row r="258" spans="6:14">
      <c r="F258" s="136" t="s">
        <v>6822</v>
      </c>
      <c r="G258" s="136">
        <v>255</v>
      </c>
      <c r="H258" s="136" t="s">
        <v>4190</v>
      </c>
      <c r="I258" s="136" t="s">
        <v>4191</v>
      </c>
      <c r="J258" s="136" t="s">
        <v>6823</v>
      </c>
      <c r="L258" s="136"/>
      <c r="M258" s="136"/>
      <c r="N258" s="136"/>
    </row>
    <row r="259" spans="6:14">
      <c r="F259" s="136" t="s">
        <v>6824</v>
      </c>
      <c r="G259" s="136">
        <v>256</v>
      </c>
      <c r="H259" s="136" t="s">
        <v>4223</v>
      </c>
      <c r="I259" s="136" t="s">
        <v>4224</v>
      </c>
      <c r="J259" s="136" t="s">
        <v>6825</v>
      </c>
      <c r="L259" s="136"/>
      <c r="M259" s="136"/>
      <c r="N259" s="136"/>
    </row>
    <row r="260" spans="6:14">
      <c r="F260" s="136" t="s">
        <v>6826</v>
      </c>
      <c r="G260" s="136">
        <v>257</v>
      </c>
      <c r="H260" s="136" t="s">
        <v>4233</v>
      </c>
      <c r="I260" s="136" t="s">
        <v>4234</v>
      </c>
      <c r="J260" s="136" t="s">
        <v>6827</v>
      </c>
      <c r="L260" s="136"/>
      <c r="M260" s="136"/>
      <c r="N260" s="136"/>
    </row>
    <row r="261" spans="6:14">
      <c r="F261" s="136" t="s">
        <v>6828</v>
      </c>
      <c r="G261" s="136">
        <v>258</v>
      </c>
      <c r="H261" s="136" t="s">
        <v>4268</v>
      </c>
      <c r="I261" s="136" t="s">
        <v>4269</v>
      </c>
      <c r="J261" s="136" t="s">
        <v>6829</v>
      </c>
      <c r="L261" s="136"/>
      <c r="M261" s="136"/>
      <c r="N261" s="136"/>
    </row>
    <row r="262" spans="6:14">
      <c r="F262" s="136" t="s">
        <v>6830</v>
      </c>
      <c r="G262" s="136">
        <v>259</v>
      </c>
      <c r="H262" s="136" t="s">
        <v>2611</v>
      </c>
      <c r="I262" s="136" t="s">
        <v>1904</v>
      </c>
      <c r="J262" s="136" t="s">
        <v>6831</v>
      </c>
      <c r="L262" s="136"/>
      <c r="M262" s="136"/>
      <c r="N262" s="136"/>
    </row>
    <row r="263" spans="6:14">
      <c r="F263" s="136" t="s">
        <v>6832</v>
      </c>
      <c r="G263" s="136">
        <v>260</v>
      </c>
      <c r="H263" s="136" t="s">
        <v>4278</v>
      </c>
      <c r="I263" s="136" t="s">
        <v>4279</v>
      </c>
      <c r="J263" s="136" t="s">
        <v>6833</v>
      </c>
      <c r="L263" s="136"/>
      <c r="M263" s="136"/>
      <c r="N263" s="136"/>
    </row>
    <row r="264" spans="6:14">
      <c r="F264" s="136" t="s">
        <v>6834</v>
      </c>
      <c r="G264" s="136">
        <v>261</v>
      </c>
      <c r="H264" s="136" t="s">
        <v>4290</v>
      </c>
      <c r="I264" s="136" t="s">
        <v>4291</v>
      </c>
      <c r="J264" s="136" t="s">
        <v>6835</v>
      </c>
      <c r="L264" s="136"/>
      <c r="M264" s="136"/>
      <c r="N264" s="136"/>
    </row>
    <row r="265" spans="6:14">
      <c r="F265" s="136" t="s">
        <v>6836</v>
      </c>
      <c r="G265" s="136">
        <v>262</v>
      </c>
      <c r="H265" s="136" t="s">
        <v>4297</v>
      </c>
      <c r="I265" s="136" t="s">
        <v>4298</v>
      </c>
      <c r="J265" s="136" t="s">
        <v>6837</v>
      </c>
      <c r="L265" s="136"/>
      <c r="M265" s="136"/>
      <c r="N265" s="136"/>
    </row>
    <row r="266" spans="6:14">
      <c r="F266" s="136" t="s">
        <v>6838</v>
      </c>
      <c r="G266" s="136">
        <v>263</v>
      </c>
      <c r="H266" s="136" t="s">
        <v>4331</v>
      </c>
      <c r="I266" s="136" t="s">
        <v>4332</v>
      </c>
      <c r="J266" s="136" t="s">
        <v>6839</v>
      </c>
      <c r="L266" s="136"/>
      <c r="M266" s="136"/>
      <c r="N266" s="136"/>
    </row>
    <row r="267" spans="6:14">
      <c r="F267" s="136" t="s">
        <v>6840</v>
      </c>
      <c r="G267" s="136">
        <v>264</v>
      </c>
      <c r="H267" s="136" t="s">
        <v>4340</v>
      </c>
      <c r="I267" s="136" t="s">
        <v>4341</v>
      </c>
      <c r="J267" s="136" t="s">
        <v>6841</v>
      </c>
      <c r="L267" s="136"/>
      <c r="M267" s="136"/>
      <c r="N267" s="136"/>
    </row>
    <row r="268" spans="6:14">
      <c r="F268" s="136" t="s">
        <v>6842</v>
      </c>
      <c r="G268" s="136">
        <v>265</v>
      </c>
      <c r="H268" s="136" t="s">
        <v>4410</v>
      </c>
      <c r="I268" s="136" t="s">
        <v>4411</v>
      </c>
      <c r="J268" s="136" t="s">
        <v>6843</v>
      </c>
      <c r="L268" s="136"/>
      <c r="M268" s="136"/>
      <c r="N268" s="136"/>
    </row>
    <row r="269" spans="6:14">
      <c r="F269" s="136" t="s">
        <v>6844</v>
      </c>
      <c r="G269" s="136">
        <v>266</v>
      </c>
      <c r="H269" s="136" t="s">
        <v>4445</v>
      </c>
      <c r="I269" s="136" t="s">
        <v>4446</v>
      </c>
      <c r="J269" s="136" t="s">
        <v>6845</v>
      </c>
      <c r="L269" s="136"/>
      <c r="M269" s="136"/>
      <c r="N269" s="136"/>
    </row>
    <row r="270" spans="6:14">
      <c r="F270" s="136" t="s">
        <v>6846</v>
      </c>
      <c r="G270" s="136">
        <v>267</v>
      </c>
      <c r="H270" s="136" t="s">
        <v>4451</v>
      </c>
      <c r="I270" s="136" t="s">
        <v>4452</v>
      </c>
      <c r="J270" s="136" t="s">
        <v>6847</v>
      </c>
      <c r="L270" s="136"/>
      <c r="M270" s="136"/>
      <c r="N270" s="136"/>
    </row>
    <row r="271" spans="6:14">
      <c r="F271" s="136" t="s">
        <v>6848</v>
      </c>
      <c r="G271" s="136">
        <v>268</v>
      </c>
      <c r="H271" s="136" t="s">
        <v>4457</v>
      </c>
      <c r="I271" s="136" t="s">
        <v>4458</v>
      </c>
      <c r="J271" s="136" t="s">
        <v>6849</v>
      </c>
      <c r="L271" s="136"/>
      <c r="M271" s="136"/>
      <c r="N271" s="136"/>
    </row>
    <row r="272" spans="6:14">
      <c r="F272" s="136" t="s">
        <v>6850</v>
      </c>
      <c r="G272" s="136">
        <v>269</v>
      </c>
      <c r="H272" s="136" t="s">
        <v>4477</v>
      </c>
      <c r="I272" s="136" t="s">
        <v>4478</v>
      </c>
      <c r="J272" s="136" t="s">
        <v>6851</v>
      </c>
      <c r="L272" s="136"/>
      <c r="M272" s="136"/>
      <c r="N272" s="136"/>
    </row>
    <row r="273" spans="6:14">
      <c r="F273" s="136" t="s">
        <v>6852</v>
      </c>
      <c r="G273" s="136">
        <v>270</v>
      </c>
      <c r="H273" s="136" t="s">
        <v>4482</v>
      </c>
      <c r="I273" s="136" t="s">
        <v>4483</v>
      </c>
      <c r="J273" s="136" t="s">
        <v>6853</v>
      </c>
      <c r="L273" s="136"/>
      <c r="M273" s="136"/>
      <c r="N273" s="136"/>
    </row>
    <row r="274" spans="6:14">
      <c r="F274" s="136" t="s">
        <v>6854</v>
      </c>
      <c r="G274" s="136">
        <v>271</v>
      </c>
      <c r="H274" s="136" t="s">
        <v>4503</v>
      </c>
      <c r="I274" s="136" t="s">
        <v>4504</v>
      </c>
      <c r="J274" s="136" t="s">
        <v>6855</v>
      </c>
      <c r="L274" s="136"/>
      <c r="M274" s="136"/>
      <c r="N274" s="136"/>
    </row>
    <row r="275" spans="6:14">
      <c r="F275" s="136" t="s">
        <v>6856</v>
      </c>
      <c r="G275" s="136">
        <v>272</v>
      </c>
      <c r="H275" s="136" t="s">
        <v>4527</v>
      </c>
      <c r="I275" s="136" t="s">
        <v>4528</v>
      </c>
      <c r="J275" s="136" t="s">
        <v>6857</v>
      </c>
      <c r="L275" s="136"/>
      <c r="M275" s="136"/>
      <c r="N275" s="136"/>
    </row>
    <row r="276" spans="6:14">
      <c r="F276" s="136" t="s">
        <v>6858</v>
      </c>
      <c r="G276" s="136">
        <v>273</v>
      </c>
      <c r="H276" s="136" t="s">
        <v>6859</v>
      </c>
      <c r="I276" s="136" t="s">
        <v>6860</v>
      </c>
      <c r="J276" s="136" t="s">
        <v>6861</v>
      </c>
      <c r="L276" s="136"/>
      <c r="M276" s="136"/>
      <c r="N276" s="136"/>
    </row>
    <row r="277" spans="6:14">
      <c r="F277" s="136" t="s">
        <v>6862</v>
      </c>
      <c r="G277" s="136">
        <v>274</v>
      </c>
      <c r="H277" s="136" t="s">
        <v>6863</v>
      </c>
      <c r="I277" s="136" t="s">
        <v>6864</v>
      </c>
      <c r="J277" s="136" t="s">
        <v>6865</v>
      </c>
      <c r="L277" s="136"/>
      <c r="M277" s="136"/>
      <c r="N277" s="136"/>
    </row>
    <row r="278" spans="6:14">
      <c r="F278" s="136" t="s">
        <v>6866</v>
      </c>
      <c r="G278" s="136">
        <v>275</v>
      </c>
      <c r="H278" s="136" t="s">
        <v>4695</v>
      </c>
      <c r="I278" s="136" t="s">
        <v>4696</v>
      </c>
      <c r="J278" s="136" t="s">
        <v>6867</v>
      </c>
      <c r="L278" s="136"/>
      <c r="M278" s="136"/>
      <c r="N278" s="136"/>
    </row>
    <row r="279" spans="6:14">
      <c r="F279" s="136" t="s">
        <v>6868</v>
      </c>
      <c r="G279" s="136">
        <v>276</v>
      </c>
      <c r="H279" s="136" t="s">
        <v>4704</v>
      </c>
      <c r="I279" s="136" t="s">
        <v>4705</v>
      </c>
      <c r="J279" s="136" t="s">
        <v>6869</v>
      </c>
      <c r="L279" s="136"/>
      <c r="M279" s="136"/>
      <c r="N279" s="136"/>
    </row>
    <row r="280" spans="6:14">
      <c r="F280" s="136" t="s">
        <v>6870</v>
      </c>
      <c r="G280" s="136">
        <v>277</v>
      </c>
      <c r="H280" s="136" t="s">
        <v>4708</v>
      </c>
      <c r="I280" s="136" t="s">
        <v>4709</v>
      </c>
      <c r="J280" s="136" t="s">
        <v>6871</v>
      </c>
      <c r="L280" s="136"/>
      <c r="M280" s="136"/>
      <c r="N280" s="136"/>
    </row>
    <row r="281" spans="6:14">
      <c r="F281" s="136" t="s">
        <v>6872</v>
      </c>
      <c r="G281" s="136">
        <v>278</v>
      </c>
      <c r="H281" s="136" t="s">
        <v>4728</v>
      </c>
      <c r="I281" s="136" t="s">
        <v>4729</v>
      </c>
      <c r="J281" s="136" t="s">
        <v>6873</v>
      </c>
      <c r="L281" s="136"/>
      <c r="M281" s="136"/>
      <c r="N281" s="136"/>
    </row>
    <row r="282" spans="6:14">
      <c r="F282" s="136" t="s">
        <v>6874</v>
      </c>
      <c r="G282" s="136">
        <v>279</v>
      </c>
      <c r="H282" s="136" t="s">
        <v>4728</v>
      </c>
      <c r="I282" s="136" t="s">
        <v>4730</v>
      </c>
      <c r="J282" s="136" t="s">
        <v>6875</v>
      </c>
      <c r="L282" s="136"/>
      <c r="M282" s="136"/>
      <c r="N282" s="136"/>
    </row>
    <row r="283" spans="6:14">
      <c r="F283" s="136" t="s">
        <v>6876</v>
      </c>
      <c r="G283" s="136">
        <v>280</v>
      </c>
      <c r="H283" s="136" t="s">
        <v>4746</v>
      </c>
      <c r="I283" s="136" t="s">
        <v>4747</v>
      </c>
      <c r="J283" s="136" t="s">
        <v>6877</v>
      </c>
      <c r="L283" s="136"/>
      <c r="M283" s="136"/>
      <c r="N283" s="136"/>
    </row>
    <row r="284" spans="6:14">
      <c r="F284" s="136" t="s">
        <v>6878</v>
      </c>
      <c r="G284" s="136">
        <v>281</v>
      </c>
      <c r="H284" s="136" t="s">
        <v>4764</v>
      </c>
      <c r="I284" s="136" t="s">
        <v>4765</v>
      </c>
      <c r="J284" s="136" t="s">
        <v>6879</v>
      </c>
      <c r="L284" s="136"/>
      <c r="M284" s="136"/>
      <c r="N284" s="136"/>
    </row>
    <row r="285" spans="6:14">
      <c r="F285" s="136" t="s">
        <v>6880</v>
      </c>
      <c r="G285" s="136">
        <v>282</v>
      </c>
      <c r="H285" s="136" t="s">
        <v>4772</v>
      </c>
      <c r="I285" s="136" t="s">
        <v>4773</v>
      </c>
      <c r="J285" s="136" t="s">
        <v>6881</v>
      </c>
      <c r="L285" s="136"/>
      <c r="M285" s="136"/>
      <c r="N285" s="136"/>
    </row>
    <row r="286" spans="6:14">
      <c r="F286" s="136" t="s">
        <v>6882</v>
      </c>
      <c r="G286" s="136">
        <v>283</v>
      </c>
      <c r="H286" s="136" t="s">
        <v>4780</v>
      </c>
      <c r="I286" s="136" t="s">
        <v>4781</v>
      </c>
      <c r="J286" s="136" t="s">
        <v>6883</v>
      </c>
      <c r="L286" s="136"/>
      <c r="M286" s="136"/>
      <c r="N286" s="136"/>
    </row>
    <row r="287" spans="6:14">
      <c r="F287" s="136" t="s">
        <v>6884</v>
      </c>
      <c r="G287" s="136">
        <v>284</v>
      </c>
      <c r="H287" s="136" t="s">
        <v>4784</v>
      </c>
      <c r="I287" s="136" t="s">
        <v>4785</v>
      </c>
      <c r="J287" s="136" t="s">
        <v>6885</v>
      </c>
      <c r="L287" s="136"/>
      <c r="M287" s="136"/>
      <c r="N287" s="136"/>
    </row>
    <row r="288" spans="6:14">
      <c r="F288" s="136" t="s">
        <v>6886</v>
      </c>
      <c r="G288" s="136">
        <v>285</v>
      </c>
      <c r="H288" s="136" t="s">
        <v>4788</v>
      </c>
      <c r="I288" s="136" t="s">
        <v>4789</v>
      </c>
      <c r="J288" s="136" t="s">
        <v>6887</v>
      </c>
      <c r="L288" s="136"/>
      <c r="M288" s="136"/>
      <c r="N288" s="136"/>
    </row>
    <row r="289" spans="6:14">
      <c r="F289" s="136" t="s">
        <v>6888</v>
      </c>
      <c r="G289" s="136">
        <v>286</v>
      </c>
      <c r="H289" s="136" t="s">
        <v>4798</v>
      </c>
      <c r="I289" s="136" t="s">
        <v>4799</v>
      </c>
      <c r="J289" s="136" t="s">
        <v>6889</v>
      </c>
      <c r="L289" s="136"/>
      <c r="M289" s="136"/>
      <c r="N289" s="136"/>
    </row>
    <row r="290" spans="6:14">
      <c r="F290" s="136" t="s">
        <v>6890</v>
      </c>
      <c r="G290" s="136">
        <v>287</v>
      </c>
      <c r="H290" s="136" t="s">
        <v>4804</v>
      </c>
      <c r="I290" s="136" t="s">
        <v>4805</v>
      </c>
      <c r="J290" s="136" t="s">
        <v>6891</v>
      </c>
      <c r="L290" s="136"/>
      <c r="M290" s="136"/>
      <c r="N290" s="136"/>
    </row>
    <row r="291" spans="6:14">
      <c r="F291" s="136" t="s">
        <v>6892</v>
      </c>
      <c r="G291" s="136">
        <v>288</v>
      </c>
      <c r="H291" s="136" t="s">
        <v>4806</v>
      </c>
      <c r="I291" s="136" t="s">
        <v>4807</v>
      </c>
      <c r="J291" s="136" t="s">
        <v>6893</v>
      </c>
      <c r="L291" s="136"/>
      <c r="M291" s="136"/>
      <c r="N291" s="136"/>
    </row>
    <row r="292" spans="6:14">
      <c r="F292" s="136" t="s">
        <v>6894</v>
      </c>
      <c r="G292" s="136">
        <v>289</v>
      </c>
      <c r="H292" s="136" t="s">
        <v>4813</v>
      </c>
      <c r="I292" s="136" t="s">
        <v>4814</v>
      </c>
      <c r="J292" s="136" t="s">
        <v>6895</v>
      </c>
      <c r="L292" s="136"/>
      <c r="M292" s="136"/>
      <c r="N292" s="136"/>
    </row>
    <row r="293" spans="6:14">
      <c r="F293" s="136" t="s">
        <v>6896</v>
      </c>
      <c r="G293" s="136">
        <v>290</v>
      </c>
      <c r="H293" s="136" t="s">
        <v>4819</v>
      </c>
      <c r="I293" s="136" t="s">
        <v>4820</v>
      </c>
      <c r="J293" s="136" t="s">
        <v>6897</v>
      </c>
      <c r="L293" s="136"/>
      <c r="M293" s="136"/>
      <c r="N293" s="136"/>
    </row>
    <row r="294" spans="6:14">
      <c r="F294" s="136" t="s">
        <v>6898</v>
      </c>
      <c r="G294" s="136">
        <v>291</v>
      </c>
      <c r="H294" s="136" t="s">
        <v>4823</v>
      </c>
      <c r="I294" s="136" t="s">
        <v>4824</v>
      </c>
      <c r="J294" s="136" t="s">
        <v>6899</v>
      </c>
      <c r="L294" s="136"/>
      <c r="M294" s="136"/>
      <c r="N294" s="136"/>
    </row>
    <row r="295" spans="6:14">
      <c r="F295" s="136" t="s">
        <v>6900</v>
      </c>
      <c r="G295" s="136">
        <v>292</v>
      </c>
      <c r="H295" s="136" t="s">
        <v>4825</v>
      </c>
      <c r="I295" s="136" t="s">
        <v>4826</v>
      </c>
      <c r="J295" s="136" t="s">
        <v>6901</v>
      </c>
      <c r="L295" s="136"/>
      <c r="M295" s="136"/>
      <c r="N295" s="136"/>
    </row>
    <row r="296" spans="6:14">
      <c r="F296" s="136" t="s">
        <v>6902</v>
      </c>
      <c r="G296" s="136">
        <v>293</v>
      </c>
      <c r="H296" s="136" t="s">
        <v>4836</v>
      </c>
      <c r="I296" s="136" t="s">
        <v>4837</v>
      </c>
      <c r="J296" s="136" t="s">
        <v>6903</v>
      </c>
      <c r="L296" s="136"/>
      <c r="M296" s="136"/>
      <c r="N296" s="136"/>
    </row>
    <row r="297" spans="6:14">
      <c r="F297" s="136" t="s">
        <v>6904</v>
      </c>
      <c r="G297" s="136">
        <v>294</v>
      </c>
      <c r="H297" s="136" t="s">
        <v>4838</v>
      </c>
      <c r="I297" s="136" t="s">
        <v>4839</v>
      </c>
      <c r="J297" s="136" t="s">
        <v>6905</v>
      </c>
      <c r="L297" s="136"/>
      <c r="M297" s="136"/>
      <c r="N297" s="136"/>
    </row>
    <row r="298" spans="6:14">
      <c r="F298" s="136" t="s">
        <v>6906</v>
      </c>
      <c r="G298" s="136">
        <v>295</v>
      </c>
      <c r="H298" s="136" t="s">
        <v>4848</v>
      </c>
      <c r="I298" s="136" t="s">
        <v>4849</v>
      </c>
      <c r="J298" s="136" t="s">
        <v>6907</v>
      </c>
      <c r="L298" s="136"/>
      <c r="M298" s="136"/>
      <c r="N298" s="136"/>
    </row>
    <row r="299" spans="6:14">
      <c r="F299" s="136" t="s">
        <v>6908</v>
      </c>
      <c r="G299" s="136">
        <v>296</v>
      </c>
      <c r="H299" s="136" t="s">
        <v>4850</v>
      </c>
      <c r="I299" s="136" t="s">
        <v>4851</v>
      </c>
      <c r="J299" s="136" t="s">
        <v>6909</v>
      </c>
      <c r="L299" s="136"/>
      <c r="M299" s="136"/>
      <c r="N299" s="136"/>
    </row>
    <row r="300" spans="6:14">
      <c r="F300" s="136" t="s">
        <v>6910</v>
      </c>
      <c r="G300" s="136">
        <v>297</v>
      </c>
      <c r="H300" s="136" t="s">
        <v>4856</v>
      </c>
      <c r="I300" s="136" t="s">
        <v>4857</v>
      </c>
      <c r="J300" s="136" t="s">
        <v>6911</v>
      </c>
      <c r="L300" s="136"/>
      <c r="M300" s="136"/>
      <c r="N300" s="136"/>
    </row>
    <row r="301" spans="6:14">
      <c r="F301" s="136" t="s">
        <v>6912</v>
      </c>
      <c r="G301" s="136">
        <v>298</v>
      </c>
      <c r="H301" s="136" t="s">
        <v>4860</v>
      </c>
      <c r="I301" s="136" t="s">
        <v>4861</v>
      </c>
      <c r="J301" s="136" t="s">
        <v>6913</v>
      </c>
      <c r="L301" s="136"/>
      <c r="M301" s="136"/>
      <c r="N301" s="136"/>
    </row>
    <row r="302" spans="6:14">
      <c r="F302" s="136" t="s">
        <v>6914</v>
      </c>
      <c r="G302" s="136">
        <v>299</v>
      </c>
      <c r="H302" s="136" t="s">
        <v>4864</v>
      </c>
      <c r="I302" s="136" t="s">
        <v>4865</v>
      </c>
      <c r="J302" s="136" t="s">
        <v>6915</v>
      </c>
      <c r="L302" s="136"/>
      <c r="M302" s="136"/>
      <c r="N302" s="136"/>
    </row>
    <row r="303" spans="6:14">
      <c r="F303" s="136" t="s">
        <v>6916</v>
      </c>
      <c r="G303" s="136">
        <v>300</v>
      </c>
      <c r="H303" s="136" t="s">
        <v>4872</v>
      </c>
      <c r="I303" s="136" t="s">
        <v>4873</v>
      </c>
      <c r="J303" s="136" t="s">
        <v>6917</v>
      </c>
      <c r="L303" s="136"/>
      <c r="M303" s="136"/>
      <c r="N303" s="136"/>
    </row>
    <row r="304" spans="6:14">
      <c r="F304" s="136" t="s">
        <v>6918</v>
      </c>
      <c r="G304" s="136">
        <v>301</v>
      </c>
      <c r="H304" s="136" t="s">
        <v>4874</v>
      </c>
      <c r="I304" s="136" t="s">
        <v>4875</v>
      </c>
      <c r="J304" s="136" t="s">
        <v>6919</v>
      </c>
      <c r="L304" s="136"/>
      <c r="M304" s="136"/>
      <c r="N304" s="136"/>
    </row>
    <row r="305" spans="6:14">
      <c r="F305" s="136" t="s">
        <v>6920</v>
      </c>
      <c r="G305" s="136">
        <v>302</v>
      </c>
      <c r="H305" s="136" t="s">
        <v>4890</v>
      </c>
      <c r="I305" s="136" t="s">
        <v>4891</v>
      </c>
      <c r="J305" s="136" t="s">
        <v>6921</v>
      </c>
      <c r="L305" s="136"/>
      <c r="M305" s="136"/>
      <c r="N305" s="136"/>
    </row>
    <row r="306" spans="6:14">
      <c r="F306" s="136" t="s">
        <v>6922</v>
      </c>
      <c r="G306" s="136">
        <v>303</v>
      </c>
      <c r="H306" s="136" t="s">
        <v>4898</v>
      </c>
      <c r="I306" s="136" t="s">
        <v>4899</v>
      </c>
      <c r="J306" s="136" t="s">
        <v>6923</v>
      </c>
      <c r="L306" s="136"/>
      <c r="M306" s="136"/>
      <c r="N306" s="136"/>
    </row>
    <row r="307" spans="6:14">
      <c r="F307" s="136" t="s">
        <v>6924</v>
      </c>
      <c r="G307" s="136">
        <v>304</v>
      </c>
      <c r="H307" s="136" t="s">
        <v>6925</v>
      </c>
      <c r="I307" s="136" t="s">
        <v>6926</v>
      </c>
      <c r="J307" s="136" t="s">
        <v>6927</v>
      </c>
      <c r="L307" s="136"/>
      <c r="M307" s="136"/>
      <c r="N307" s="136"/>
    </row>
    <row r="308" spans="6:14">
      <c r="F308" s="136" t="s">
        <v>6928</v>
      </c>
      <c r="G308" s="136">
        <v>305</v>
      </c>
      <c r="H308" s="136" t="s">
        <v>6929</v>
      </c>
      <c r="I308" s="136" t="s">
        <v>6930</v>
      </c>
      <c r="J308" s="136" t="s">
        <v>6931</v>
      </c>
      <c r="L308" s="136"/>
      <c r="M308" s="136"/>
      <c r="N308" s="136"/>
    </row>
    <row r="309" spans="6:14">
      <c r="F309" s="136" t="s">
        <v>6932</v>
      </c>
      <c r="G309" s="136">
        <v>306</v>
      </c>
      <c r="H309" s="136" t="s">
        <v>4982</v>
      </c>
      <c r="I309" s="136" t="s">
        <v>4981</v>
      </c>
      <c r="J309" s="136" t="s">
        <v>6933</v>
      </c>
      <c r="L309" s="136"/>
      <c r="M309" s="136"/>
      <c r="N309" s="136"/>
    </row>
    <row r="310" spans="6:14">
      <c r="F310" s="136" t="s">
        <v>6934</v>
      </c>
      <c r="G310" s="136">
        <v>307</v>
      </c>
      <c r="H310" s="136" t="s">
        <v>4982</v>
      </c>
      <c r="I310" s="136" t="s">
        <v>4983</v>
      </c>
      <c r="J310" s="136" t="s">
        <v>6935</v>
      </c>
      <c r="L310" s="136"/>
      <c r="M310" s="136"/>
      <c r="N310" s="136"/>
    </row>
    <row r="311" spans="6:14">
      <c r="F311" s="136" t="s">
        <v>6936</v>
      </c>
      <c r="G311" s="136">
        <v>308</v>
      </c>
      <c r="H311" s="136" t="s">
        <v>4982</v>
      </c>
      <c r="I311" s="136" t="s">
        <v>4981</v>
      </c>
      <c r="J311" s="136" t="s">
        <v>6937</v>
      </c>
      <c r="L311" s="136"/>
      <c r="M311" s="136"/>
      <c r="N311" s="136"/>
    </row>
    <row r="312" spans="6:14">
      <c r="F312" s="136" t="s">
        <v>6938</v>
      </c>
      <c r="G312" s="136">
        <v>309</v>
      </c>
      <c r="H312" s="136" t="s">
        <v>4982</v>
      </c>
      <c r="I312" s="136" t="s">
        <v>4981</v>
      </c>
      <c r="J312" s="136" t="s">
        <v>6939</v>
      </c>
      <c r="L312" s="136"/>
      <c r="M312" s="136"/>
      <c r="N312" s="136"/>
    </row>
    <row r="313" spans="6:14">
      <c r="F313" s="136" t="s">
        <v>6940</v>
      </c>
      <c r="G313" s="136">
        <v>310</v>
      </c>
      <c r="H313" s="136" t="s">
        <v>4982</v>
      </c>
      <c r="I313" s="136" t="s">
        <v>4981</v>
      </c>
      <c r="J313" s="136" t="s">
        <v>6941</v>
      </c>
      <c r="L313" s="136"/>
      <c r="M313" s="136"/>
      <c r="N313" s="136"/>
    </row>
    <row r="314" spans="6:14">
      <c r="F314" s="136" t="s">
        <v>6942</v>
      </c>
      <c r="G314" s="136">
        <v>311</v>
      </c>
      <c r="H314" s="136" t="s">
        <v>4982</v>
      </c>
      <c r="I314" s="136" t="s">
        <v>4981</v>
      </c>
      <c r="J314" s="136" t="s">
        <v>6943</v>
      </c>
      <c r="L314" s="136"/>
      <c r="M314" s="136"/>
      <c r="N314" s="136"/>
    </row>
    <row r="315" spans="6:14">
      <c r="F315" s="136" t="s">
        <v>6944</v>
      </c>
      <c r="G315" s="136">
        <v>312</v>
      </c>
      <c r="H315" s="136" t="s">
        <v>4982</v>
      </c>
      <c r="I315" s="136" t="s">
        <v>4981</v>
      </c>
      <c r="J315" s="136" t="s">
        <v>6945</v>
      </c>
      <c r="L315" s="136"/>
      <c r="M315" s="136"/>
      <c r="N315" s="136"/>
    </row>
    <row r="316" spans="6:14">
      <c r="F316" s="136" t="s">
        <v>6946</v>
      </c>
      <c r="G316" s="136">
        <v>313</v>
      </c>
      <c r="H316" s="136" t="s">
        <v>5020</v>
      </c>
      <c r="I316" s="136" t="s">
        <v>5021</v>
      </c>
      <c r="J316" s="136" t="s">
        <v>6947</v>
      </c>
      <c r="L316" s="136"/>
      <c r="M316" s="136"/>
      <c r="N316" s="136"/>
    </row>
    <row r="317" spans="6:14">
      <c r="F317" s="136" t="s">
        <v>6948</v>
      </c>
      <c r="G317" s="136">
        <v>314</v>
      </c>
      <c r="H317" s="136" t="s">
        <v>5022</v>
      </c>
      <c r="I317" s="136" t="s">
        <v>5023</v>
      </c>
      <c r="J317" s="136" t="s">
        <v>6949</v>
      </c>
      <c r="L317" s="136"/>
      <c r="M317" s="136"/>
      <c r="N317" s="136"/>
    </row>
    <row r="318" spans="6:14">
      <c r="F318" s="136" t="s">
        <v>6950</v>
      </c>
      <c r="G318" s="136">
        <v>315</v>
      </c>
      <c r="H318" s="136" t="s">
        <v>1153</v>
      </c>
      <c r="I318" s="136" t="s">
        <v>1152</v>
      </c>
      <c r="J318" s="136" t="s">
        <v>6951</v>
      </c>
      <c r="L318" s="136"/>
      <c r="M318" s="136"/>
      <c r="N318" s="136"/>
    </row>
    <row r="319" spans="6:14">
      <c r="F319" s="136" t="s">
        <v>6952</v>
      </c>
      <c r="G319" s="136">
        <v>316</v>
      </c>
      <c r="H319" s="136" t="s">
        <v>6953</v>
      </c>
      <c r="I319" s="136" t="s">
        <v>6954</v>
      </c>
      <c r="J319" s="136" t="s">
        <v>6955</v>
      </c>
      <c r="L319" s="136"/>
      <c r="M319" s="136"/>
      <c r="N319" s="136"/>
    </row>
    <row r="320" spans="6:14">
      <c r="F320" s="136" t="s">
        <v>6956</v>
      </c>
      <c r="G320" s="136">
        <v>317</v>
      </c>
      <c r="H320" s="136" t="s">
        <v>5086</v>
      </c>
      <c r="I320" s="136" t="s">
        <v>5087</v>
      </c>
      <c r="J320" s="136" t="s">
        <v>6957</v>
      </c>
      <c r="L320" s="136"/>
      <c r="M320" s="136"/>
      <c r="N320" s="136"/>
    </row>
    <row r="321" spans="6:14">
      <c r="F321" s="136" t="s">
        <v>6958</v>
      </c>
      <c r="G321" s="136">
        <v>318</v>
      </c>
      <c r="H321" s="136" t="s">
        <v>5091</v>
      </c>
      <c r="I321" s="136" t="s">
        <v>5092</v>
      </c>
      <c r="J321" s="136" t="s">
        <v>6959</v>
      </c>
      <c r="L321" s="136"/>
      <c r="M321" s="136"/>
      <c r="N321" s="136"/>
    </row>
    <row r="322" spans="6:14">
      <c r="F322" s="136" t="s">
        <v>6960</v>
      </c>
      <c r="G322" s="136">
        <v>319</v>
      </c>
      <c r="H322" s="136" t="s">
        <v>5093</v>
      </c>
      <c r="I322" s="136" t="s">
        <v>5094</v>
      </c>
      <c r="J322" s="136" t="s">
        <v>6961</v>
      </c>
      <c r="L322" s="136"/>
      <c r="M322" s="136"/>
      <c r="N322" s="136"/>
    </row>
    <row r="323" spans="6:14">
      <c r="F323" s="136" t="s">
        <v>6962</v>
      </c>
      <c r="G323" s="136">
        <v>320</v>
      </c>
      <c r="H323" s="136" t="s">
        <v>5124</v>
      </c>
      <c r="I323" s="136" t="s">
        <v>5125</v>
      </c>
      <c r="J323" s="136" t="s">
        <v>6963</v>
      </c>
      <c r="L323" s="136"/>
      <c r="M323" s="136"/>
      <c r="N323" s="136"/>
    </row>
    <row r="324" spans="6:14">
      <c r="F324" s="136" t="s">
        <v>6964</v>
      </c>
      <c r="G324" s="136">
        <v>321</v>
      </c>
      <c r="H324" s="136" t="s">
        <v>5223</v>
      </c>
      <c r="I324" s="136" t="s">
        <v>5224</v>
      </c>
      <c r="J324" s="136" t="s">
        <v>6965</v>
      </c>
      <c r="L324" s="136"/>
      <c r="M324" s="136"/>
      <c r="N324" s="136"/>
    </row>
    <row r="325" spans="6:14">
      <c r="F325" s="136" t="s">
        <v>6966</v>
      </c>
      <c r="G325" s="136">
        <v>322</v>
      </c>
      <c r="H325" s="136" t="s">
        <v>5231</v>
      </c>
      <c r="I325" s="136" t="s">
        <v>5232</v>
      </c>
      <c r="J325" s="136" t="s">
        <v>6967</v>
      </c>
      <c r="L325" s="136"/>
      <c r="M325" s="136"/>
      <c r="N325" s="136"/>
    </row>
    <row r="326" spans="6:14">
      <c r="F326" s="136" t="s">
        <v>6968</v>
      </c>
      <c r="G326" s="136">
        <v>323</v>
      </c>
      <c r="H326" s="136" t="s">
        <v>5239</v>
      </c>
      <c r="I326" s="136" t="s">
        <v>5240</v>
      </c>
      <c r="J326" s="136" t="s">
        <v>6969</v>
      </c>
      <c r="L326" s="136"/>
      <c r="M326" s="136"/>
      <c r="N326" s="136"/>
    </row>
    <row r="327" spans="6:14">
      <c r="F327" s="136" t="s">
        <v>6970</v>
      </c>
      <c r="G327" s="136">
        <v>324</v>
      </c>
      <c r="H327" s="136" t="s">
        <v>5247</v>
      </c>
      <c r="I327" s="136" t="s">
        <v>5248</v>
      </c>
      <c r="J327" s="136" t="s">
        <v>6971</v>
      </c>
      <c r="L327" s="136"/>
      <c r="M327" s="136"/>
      <c r="N327" s="136"/>
    </row>
    <row r="328" spans="6:14">
      <c r="F328" s="136" t="s">
        <v>6972</v>
      </c>
      <c r="G328" s="136">
        <v>325</v>
      </c>
      <c r="H328" s="136" t="s">
        <v>5329</v>
      </c>
      <c r="I328" s="136" t="s">
        <v>5330</v>
      </c>
      <c r="J328" s="136" t="s">
        <v>6973</v>
      </c>
      <c r="L328" s="136"/>
      <c r="M328" s="136"/>
      <c r="N328" s="136"/>
    </row>
    <row r="329" spans="6:14">
      <c r="F329" s="136" t="s">
        <v>6974</v>
      </c>
      <c r="G329" s="136">
        <v>326</v>
      </c>
      <c r="H329" s="136" t="s">
        <v>5353</v>
      </c>
      <c r="I329" s="136" t="s">
        <v>5354</v>
      </c>
      <c r="J329" s="136" t="s">
        <v>6975</v>
      </c>
      <c r="L329" s="136"/>
      <c r="M329" s="136"/>
      <c r="N329" s="136"/>
    </row>
    <row r="330" spans="6:14">
      <c r="F330" s="136" t="s">
        <v>6976</v>
      </c>
      <c r="G330" s="136">
        <v>327</v>
      </c>
      <c r="H330" s="136" t="s">
        <v>5378</v>
      </c>
      <c r="I330" s="136" t="s">
        <v>5379</v>
      </c>
      <c r="J330" s="136" t="s">
        <v>6977</v>
      </c>
      <c r="L330" s="136"/>
      <c r="M330" s="136"/>
      <c r="N330" s="136"/>
    </row>
    <row r="331" spans="6:14">
      <c r="F331" s="136" t="s">
        <v>6978</v>
      </c>
      <c r="G331" s="136">
        <v>328</v>
      </c>
      <c r="H331" s="136" t="s">
        <v>5411</v>
      </c>
      <c r="I331" s="136" t="s">
        <v>5412</v>
      </c>
      <c r="J331" s="136" t="s">
        <v>6979</v>
      </c>
      <c r="L331" s="136"/>
      <c r="M331" s="136"/>
      <c r="N331" s="136"/>
    </row>
    <row r="332" spans="6:14">
      <c r="F332" s="136" t="s">
        <v>6980</v>
      </c>
      <c r="G332" s="136">
        <v>329</v>
      </c>
      <c r="H332" s="136" t="s">
        <v>5420</v>
      </c>
      <c r="I332" s="136" t="s">
        <v>5421</v>
      </c>
      <c r="J332" s="136" t="s">
        <v>6981</v>
      </c>
      <c r="L332" s="136"/>
      <c r="M332" s="136"/>
      <c r="N332" s="136"/>
    </row>
    <row r="333" spans="6:14">
      <c r="F333" s="136" t="s">
        <v>6982</v>
      </c>
      <c r="G333" s="136">
        <v>330</v>
      </c>
      <c r="H333" s="136" t="s">
        <v>5451</v>
      </c>
      <c r="I333" s="136" t="s">
        <v>5452</v>
      </c>
      <c r="J333" s="136" t="s">
        <v>6983</v>
      </c>
      <c r="L333" s="136"/>
      <c r="M333" s="136"/>
      <c r="N333" s="136"/>
    </row>
    <row r="334" spans="6:14">
      <c r="F334" s="136" t="s">
        <v>6984</v>
      </c>
      <c r="G334" s="136">
        <v>331</v>
      </c>
      <c r="H334" s="136" t="s">
        <v>5490</v>
      </c>
      <c r="I334" s="136" t="s">
        <v>5491</v>
      </c>
      <c r="J334" s="136" t="s">
        <v>6985</v>
      </c>
      <c r="L334" s="136"/>
      <c r="M334" s="136"/>
      <c r="N334" s="136"/>
    </row>
    <row r="335" spans="6:14">
      <c r="F335" s="136" t="s">
        <v>6986</v>
      </c>
      <c r="G335" s="136">
        <v>332</v>
      </c>
      <c r="H335" s="136" t="s">
        <v>5512</v>
      </c>
      <c r="I335" s="136" t="s">
        <v>1349</v>
      </c>
      <c r="J335" s="136" t="s">
        <v>6987</v>
      </c>
      <c r="L335" s="136"/>
      <c r="M335" s="136"/>
      <c r="N335" s="136"/>
    </row>
    <row r="336" spans="6:14">
      <c r="F336" s="136" t="s">
        <v>6988</v>
      </c>
      <c r="G336" s="136">
        <v>333</v>
      </c>
      <c r="H336" s="136" t="s">
        <v>5524</v>
      </c>
      <c r="I336" s="136" t="s">
        <v>5525</v>
      </c>
      <c r="J336" s="136" t="s">
        <v>6989</v>
      </c>
      <c r="L336" s="136"/>
      <c r="M336" s="136"/>
      <c r="N336" s="136"/>
    </row>
    <row r="337" spans="6:14">
      <c r="F337" s="136" t="s">
        <v>6990</v>
      </c>
      <c r="G337" s="136">
        <v>334</v>
      </c>
      <c r="H337" s="136" t="s">
        <v>5614</v>
      </c>
      <c r="I337" s="136" t="s">
        <v>5615</v>
      </c>
      <c r="J337" s="136" t="s">
        <v>6991</v>
      </c>
      <c r="L337" s="136"/>
      <c r="M337" s="136"/>
      <c r="N337" s="136"/>
    </row>
    <row r="338" spans="6:14">
      <c r="F338" s="136" t="s">
        <v>6992</v>
      </c>
      <c r="G338" s="136">
        <v>335</v>
      </c>
      <c r="H338" s="136" t="s">
        <v>5639</v>
      </c>
      <c r="I338" s="136" t="s">
        <v>5640</v>
      </c>
      <c r="J338" s="136" t="s">
        <v>6993</v>
      </c>
      <c r="L338" s="136"/>
      <c r="M338" s="136"/>
      <c r="N338" s="136"/>
    </row>
    <row r="339" spans="6:14">
      <c r="F339" s="136" t="s">
        <v>6994</v>
      </c>
      <c r="G339" s="136">
        <v>336</v>
      </c>
      <c r="H339" s="136" t="s">
        <v>5678</v>
      </c>
      <c r="I339" s="136" t="s">
        <v>5679</v>
      </c>
      <c r="J339" s="136" t="s">
        <v>6995</v>
      </c>
      <c r="L339" s="136"/>
      <c r="M339" s="136"/>
      <c r="N339" s="136"/>
    </row>
    <row r="340" spans="6:14">
      <c r="F340" s="136" t="s">
        <v>6996</v>
      </c>
      <c r="G340" s="136">
        <v>337</v>
      </c>
      <c r="H340" s="136" t="s">
        <v>5694</v>
      </c>
      <c r="I340" s="136" t="s">
        <v>5695</v>
      </c>
      <c r="J340" s="136" t="s">
        <v>6997</v>
      </c>
      <c r="L340" s="136"/>
      <c r="M340" s="136"/>
      <c r="N340" s="136"/>
    </row>
    <row r="341" spans="6:14">
      <c r="F341" s="136" t="s">
        <v>6998</v>
      </c>
      <c r="G341" s="136">
        <v>338</v>
      </c>
      <c r="H341" s="136" t="s">
        <v>5429</v>
      </c>
      <c r="I341" s="136" t="s">
        <v>5430</v>
      </c>
      <c r="J341" s="136" t="s">
        <v>6999</v>
      </c>
      <c r="L341" s="136"/>
      <c r="M341" s="136"/>
      <c r="N341" s="136"/>
    </row>
    <row r="342" spans="6:14">
      <c r="F342" s="136" t="s">
        <v>7000</v>
      </c>
      <c r="G342" s="136">
        <v>339</v>
      </c>
      <c r="H342" s="136" t="s">
        <v>5775</v>
      </c>
      <c r="I342" s="136" t="s">
        <v>5776</v>
      </c>
      <c r="J342" s="136" t="s">
        <v>7001</v>
      </c>
      <c r="L342" s="136"/>
      <c r="M342" s="136"/>
      <c r="N342" s="136"/>
    </row>
    <row r="343" spans="6:14">
      <c r="F343" s="136" t="s">
        <v>7002</v>
      </c>
      <c r="G343" s="136">
        <v>340</v>
      </c>
      <c r="H343" s="136" t="s">
        <v>5780</v>
      </c>
      <c r="I343" s="136" t="s">
        <v>5781</v>
      </c>
      <c r="J343" s="136" t="s">
        <v>7003</v>
      </c>
      <c r="L343" s="136"/>
      <c r="M343" s="136"/>
      <c r="N343" s="136"/>
    </row>
    <row r="344" spans="6:14">
      <c r="F344" s="136" t="s">
        <v>7004</v>
      </c>
      <c r="G344" s="136">
        <v>341</v>
      </c>
      <c r="H344" s="136" t="s">
        <v>7005</v>
      </c>
      <c r="I344" s="136" t="s">
        <v>7006</v>
      </c>
      <c r="J344" s="136" t="s">
        <v>7007</v>
      </c>
      <c r="L344" s="136"/>
      <c r="M344" s="136"/>
      <c r="N344" s="136"/>
    </row>
    <row r="345" spans="6:14">
      <c r="F345" s="136" t="s">
        <v>7008</v>
      </c>
      <c r="G345" s="136">
        <v>342</v>
      </c>
      <c r="H345" s="136" t="s">
        <v>5858</v>
      </c>
      <c r="I345" s="136" t="s">
        <v>5859</v>
      </c>
      <c r="J345" s="136" t="s">
        <v>7009</v>
      </c>
      <c r="L345" s="136"/>
      <c r="M345" s="136"/>
      <c r="N345" s="136"/>
    </row>
    <row r="346" spans="6:14">
      <c r="F346" s="136" t="s">
        <v>7010</v>
      </c>
      <c r="G346" s="136">
        <v>343</v>
      </c>
      <c r="H346" s="136" t="s">
        <v>5860</v>
      </c>
      <c r="I346" s="136" t="s">
        <v>5861</v>
      </c>
      <c r="J346" s="136" t="s">
        <v>7011</v>
      </c>
      <c r="L346" s="136"/>
      <c r="M346" s="136"/>
      <c r="N346" s="136"/>
    </row>
    <row r="347" spans="6:14">
      <c r="F347" s="136" t="s">
        <v>7012</v>
      </c>
      <c r="G347" s="136">
        <v>344</v>
      </c>
      <c r="H347" s="136" t="s">
        <v>5895</v>
      </c>
      <c r="I347" s="136" t="s">
        <v>5896</v>
      </c>
      <c r="J347" s="136" t="s">
        <v>7013</v>
      </c>
      <c r="L347" s="136"/>
      <c r="M347" s="136"/>
      <c r="N347" s="136"/>
    </row>
    <row r="348" spans="6:14">
      <c r="F348" s="136" t="s">
        <v>7014</v>
      </c>
      <c r="G348" s="136">
        <v>345</v>
      </c>
      <c r="H348" s="136" t="s">
        <v>5899</v>
      </c>
      <c r="I348" s="136" t="s">
        <v>5900</v>
      </c>
      <c r="J348" s="136" t="s">
        <v>7015</v>
      </c>
      <c r="L348" s="136"/>
      <c r="M348" s="136"/>
      <c r="N348" s="136"/>
    </row>
    <row r="349" spans="6:14">
      <c r="F349" s="136" t="s">
        <v>7016</v>
      </c>
      <c r="G349" s="136">
        <v>346</v>
      </c>
      <c r="H349" s="136" t="s">
        <v>5933</v>
      </c>
      <c r="I349" s="136" t="s">
        <v>5934</v>
      </c>
      <c r="J349" s="136" t="s">
        <v>7017</v>
      </c>
      <c r="L349" s="136"/>
      <c r="M349" s="136"/>
      <c r="N349" s="136"/>
    </row>
    <row r="350" spans="6:14">
      <c r="F350" s="136" t="s">
        <v>7018</v>
      </c>
      <c r="G350" s="136">
        <v>347</v>
      </c>
      <c r="H350" s="136" t="s">
        <v>5929</v>
      </c>
      <c r="I350" s="136" t="s">
        <v>5930</v>
      </c>
      <c r="J350" s="136" t="s">
        <v>7019</v>
      </c>
      <c r="L350" s="136"/>
      <c r="M350" s="136"/>
      <c r="N350" s="136"/>
    </row>
    <row r="351" spans="6:14">
      <c r="F351" s="136" t="s">
        <v>7020</v>
      </c>
      <c r="G351" s="136">
        <v>348</v>
      </c>
      <c r="H351" s="136" t="s">
        <v>5947</v>
      </c>
      <c r="I351" s="136" t="s">
        <v>5948</v>
      </c>
      <c r="J351" s="136" t="s">
        <v>7021</v>
      </c>
      <c r="L351" s="136"/>
      <c r="M351" s="136"/>
      <c r="N351" s="136"/>
    </row>
    <row r="352" spans="6:14">
      <c r="F352" s="136" t="s">
        <v>7022</v>
      </c>
      <c r="G352" s="136">
        <v>349</v>
      </c>
      <c r="H352" s="136" t="s">
        <v>5955</v>
      </c>
      <c r="I352" s="136" t="s">
        <v>5956</v>
      </c>
      <c r="J352" s="136" t="s">
        <v>7023</v>
      </c>
      <c r="L352" s="136"/>
      <c r="M352" s="136"/>
      <c r="N352" s="136"/>
    </row>
    <row r="353" spans="6:14">
      <c r="F353" s="136" t="s">
        <v>7024</v>
      </c>
      <c r="G353" s="136">
        <v>350</v>
      </c>
      <c r="H353" s="136" t="s">
        <v>6010</v>
      </c>
      <c r="I353" s="136" t="s">
        <v>6011</v>
      </c>
      <c r="J353" s="136" t="s">
        <v>7025</v>
      </c>
      <c r="L353" s="136"/>
      <c r="M353" s="136"/>
      <c r="N353" s="136"/>
    </row>
    <row r="354" spans="6:14">
      <c r="F354" s="136" t="s">
        <v>7026</v>
      </c>
      <c r="G354" s="136">
        <v>351</v>
      </c>
      <c r="H354" s="136" t="s">
        <v>6015</v>
      </c>
      <c r="I354" s="136" t="s">
        <v>6016</v>
      </c>
      <c r="J354" s="136" t="s">
        <v>7027</v>
      </c>
      <c r="L354" s="136"/>
      <c r="M354" s="136"/>
      <c r="N354" s="136"/>
    </row>
    <row r="355" spans="6:14">
      <c r="F355" s="136" t="s">
        <v>7028</v>
      </c>
      <c r="G355" s="136">
        <v>352</v>
      </c>
      <c r="H355" s="136" t="s">
        <v>6043</v>
      </c>
      <c r="I355" s="136" t="s">
        <v>6044</v>
      </c>
      <c r="J355" s="136" t="s">
        <v>7029</v>
      </c>
      <c r="L355" s="136"/>
      <c r="M355" s="136"/>
      <c r="N355" s="136"/>
    </row>
    <row r="356" spans="6:14">
      <c r="F356" s="136" t="s">
        <v>7030</v>
      </c>
      <c r="G356" s="136">
        <v>353</v>
      </c>
      <c r="H356" s="136" t="s">
        <v>6049</v>
      </c>
      <c r="I356" s="136" t="s">
        <v>6050</v>
      </c>
      <c r="J356" s="136" t="s">
        <v>7031</v>
      </c>
      <c r="L356" s="136"/>
      <c r="M356" s="136"/>
      <c r="N356" s="136"/>
    </row>
    <row r="357" spans="6:14">
      <c r="F357" s="136" t="s">
        <v>7032</v>
      </c>
      <c r="G357" s="136">
        <v>354</v>
      </c>
      <c r="H357" s="136" t="s">
        <v>7033</v>
      </c>
      <c r="I357" s="136" t="s">
        <v>7034</v>
      </c>
      <c r="J357" s="136" t="s">
        <v>7035</v>
      </c>
      <c r="L357" s="136"/>
      <c r="M357" s="136"/>
      <c r="N357" s="136"/>
    </row>
    <row r="358" spans="6:14">
      <c r="F358" s="136" t="s">
        <v>7036</v>
      </c>
      <c r="G358" s="136">
        <v>355</v>
      </c>
      <c r="H358" s="136" t="s">
        <v>6269</v>
      </c>
      <c r="I358" s="136" t="s">
        <v>6269</v>
      </c>
      <c r="J358" s="136" t="s">
        <v>7037</v>
      </c>
      <c r="L358" s="136"/>
      <c r="M358" s="136"/>
      <c r="N358" s="136"/>
    </row>
    <row r="359" spans="6:14">
      <c r="F359" s="136" t="s">
        <v>7038</v>
      </c>
      <c r="G359" s="136">
        <v>356</v>
      </c>
      <c r="H359" s="136" t="s">
        <v>7039</v>
      </c>
      <c r="I359" s="136" t="s">
        <v>7040</v>
      </c>
      <c r="J359" s="136" t="s">
        <v>7041</v>
      </c>
      <c r="L359" s="136"/>
      <c r="M359" s="136"/>
      <c r="N359" s="136"/>
    </row>
    <row r="360" spans="6:14">
      <c r="F360" s="136" t="s">
        <v>7042</v>
      </c>
      <c r="G360" s="136">
        <v>357</v>
      </c>
      <c r="H360" s="136" t="s">
        <v>7043</v>
      </c>
      <c r="I360" s="136" t="s">
        <v>7044</v>
      </c>
      <c r="J360" s="136" t="s">
        <v>7045</v>
      </c>
      <c r="L360" s="136"/>
      <c r="M360" s="136"/>
      <c r="N360" s="136"/>
    </row>
    <row r="361" spans="6:14">
      <c r="F361" s="136" t="s">
        <v>7046</v>
      </c>
      <c r="G361" s="136">
        <v>358</v>
      </c>
      <c r="H361" s="136" t="s">
        <v>7047</v>
      </c>
      <c r="I361" s="136" t="s">
        <v>7048</v>
      </c>
      <c r="J361" s="136" t="s">
        <v>7049</v>
      </c>
      <c r="L361" s="136"/>
      <c r="M361" s="136"/>
      <c r="N361" s="136"/>
    </row>
    <row r="362" spans="6:14">
      <c r="F362" s="136" t="s">
        <v>7050</v>
      </c>
      <c r="G362" s="136">
        <v>359</v>
      </c>
      <c r="H362" s="136" t="s">
        <v>7051</v>
      </c>
      <c r="I362" s="136" t="s">
        <v>7052</v>
      </c>
      <c r="J362" s="136" t="s">
        <v>7053</v>
      </c>
      <c r="L362" s="136"/>
      <c r="M362" s="136"/>
      <c r="N362" s="136"/>
    </row>
    <row r="363" spans="6:14">
      <c r="F363" s="136" t="s">
        <v>7054</v>
      </c>
      <c r="G363" s="136">
        <v>360</v>
      </c>
      <c r="H363" s="136" t="s">
        <v>7055</v>
      </c>
      <c r="I363" s="136" t="s">
        <v>7056</v>
      </c>
      <c r="J363" s="136" t="s">
        <v>7057</v>
      </c>
      <c r="L363" s="136"/>
      <c r="M363" s="136"/>
      <c r="N363" s="136"/>
    </row>
    <row r="364" spans="6:14">
      <c r="F364" s="136" t="s">
        <v>7058</v>
      </c>
      <c r="G364" s="136">
        <v>361</v>
      </c>
      <c r="H364" s="136" t="s">
        <v>7059</v>
      </c>
      <c r="I364" s="136" t="s">
        <v>7060</v>
      </c>
      <c r="J364" s="136" t="s">
        <v>7061</v>
      </c>
      <c r="L364" s="136"/>
      <c r="M364" s="136"/>
      <c r="N364" s="136"/>
    </row>
    <row r="365" spans="6:14">
      <c r="F365" s="136" t="s">
        <v>7062</v>
      </c>
      <c r="G365" s="136">
        <v>362</v>
      </c>
      <c r="H365" s="136" t="s">
        <v>7063</v>
      </c>
      <c r="I365" s="136" t="s">
        <v>7064</v>
      </c>
      <c r="J365" s="136" t="s">
        <v>7065</v>
      </c>
      <c r="L365" s="136"/>
      <c r="M365" s="136"/>
      <c r="N365" s="136"/>
    </row>
    <row r="366" spans="6:14">
      <c r="F366" s="136" t="s">
        <v>7066</v>
      </c>
      <c r="G366" s="136">
        <v>363</v>
      </c>
      <c r="H366" s="136" t="s">
        <v>6416</v>
      </c>
      <c r="I366" s="136" t="s">
        <v>7067</v>
      </c>
      <c r="J366" s="136" t="s">
        <v>7068</v>
      </c>
      <c r="L366" s="136"/>
      <c r="M366" s="136"/>
      <c r="N366" s="136"/>
    </row>
    <row r="367" spans="6:14">
      <c r="F367" s="136" t="s">
        <v>7069</v>
      </c>
      <c r="G367" s="136">
        <v>364</v>
      </c>
      <c r="H367" s="136" t="s">
        <v>7070</v>
      </c>
      <c r="I367" s="136" t="s">
        <v>7071</v>
      </c>
      <c r="J367" s="136" t="s">
        <v>7072</v>
      </c>
      <c r="L367" s="136"/>
      <c r="M367" s="136"/>
      <c r="N367" s="136"/>
    </row>
    <row r="368" spans="6:14">
      <c r="F368" s="136" t="s">
        <v>7073</v>
      </c>
      <c r="G368" s="136">
        <v>365</v>
      </c>
      <c r="H368" s="136" t="s">
        <v>7074</v>
      </c>
      <c r="I368" s="136" t="s">
        <v>7075</v>
      </c>
      <c r="J368" s="136" t="s">
        <v>7076</v>
      </c>
      <c r="L368" s="136"/>
      <c r="M368" s="136"/>
      <c r="N368" s="136"/>
    </row>
    <row r="369" spans="6:14">
      <c r="F369" s="136" t="s">
        <v>7077</v>
      </c>
      <c r="G369" s="136">
        <v>366</v>
      </c>
      <c r="H369" s="136" t="s">
        <v>7078</v>
      </c>
      <c r="I369" s="136" t="s">
        <v>7079</v>
      </c>
      <c r="J369" s="136" t="s">
        <v>7080</v>
      </c>
      <c r="L369" s="136"/>
      <c r="M369" s="136"/>
      <c r="N369" s="136"/>
    </row>
    <row r="370" spans="6:14">
      <c r="F370" s="136" t="s">
        <v>7081</v>
      </c>
      <c r="G370" s="136">
        <v>367</v>
      </c>
      <c r="H370" s="136" t="s">
        <v>7082</v>
      </c>
      <c r="I370" s="136" t="s">
        <v>7083</v>
      </c>
      <c r="J370" s="136" t="s">
        <v>7084</v>
      </c>
      <c r="L370" s="136"/>
      <c r="M370" s="136"/>
      <c r="N370" s="136"/>
    </row>
    <row r="371" spans="6:14">
      <c r="F371" s="136" t="s">
        <v>7085</v>
      </c>
      <c r="G371" s="136">
        <v>368</v>
      </c>
      <c r="H371" s="136" t="s">
        <v>7086</v>
      </c>
      <c r="I371" s="136" t="s">
        <v>7087</v>
      </c>
      <c r="J371" s="136" t="s">
        <v>7088</v>
      </c>
      <c r="L371" s="136"/>
      <c r="M371" s="136"/>
      <c r="N371" s="136"/>
    </row>
    <row r="372" spans="6:14">
      <c r="F372" s="136" t="s">
        <v>7089</v>
      </c>
      <c r="G372" s="136">
        <v>369</v>
      </c>
      <c r="H372" s="136" t="s">
        <v>7090</v>
      </c>
      <c r="I372" s="136" t="s">
        <v>7091</v>
      </c>
      <c r="J372" s="136" t="s">
        <v>7092</v>
      </c>
      <c r="L372" s="136"/>
      <c r="M372" s="136"/>
      <c r="N372" s="136"/>
    </row>
    <row r="373" spans="6:14">
      <c r="F373" s="136" t="s">
        <v>7093</v>
      </c>
      <c r="G373" s="136">
        <v>370</v>
      </c>
      <c r="H373" s="136" t="s">
        <v>7094</v>
      </c>
      <c r="I373" s="136" t="s">
        <v>7095</v>
      </c>
      <c r="J373" s="136" t="s">
        <v>7096</v>
      </c>
      <c r="L373" s="136"/>
      <c r="M373" s="136"/>
      <c r="N373" s="136"/>
    </row>
    <row r="374" spans="6:14">
      <c r="F374" s="136" t="s">
        <v>7097</v>
      </c>
      <c r="G374" s="136">
        <v>371</v>
      </c>
      <c r="H374" s="136" t="s">
        <v>7098</v>
      </c>
      <c r="I374" s="136" t="s">
        <v>7098</v>
      </c>
      <c r="J374" s="136" t="s">
        <v>7099</v>
      </c>
      <c r="L374" s="136"/>
      <c r="M374" s="136"/>
      <c r="N374" s="136"/>
    </row>
    <row r="375" spans="6:14">
      <c r="F375" s="136" t="s">
        <v>7100</v>
      </c>
      <c r="G375" s="136">
        <v>372</v>
      </c>
      <c r="H375" s="136" t="s">
        <v>7101</v>
      </c>
      <c r="I375" s="136" t="s">
        <v>7102</v>
      </c>
      <c r="J375" s="136" t="s">
        <v>7103</v>
      </c>
      <c r="L375" s="136"/>
      <c r="M375" s="136"/>
      <c r="N375" s="136"/>
    </row>
    <row r="376" spans="6:14">
      <c r="F376" s="136" t="s">
        <v>7104</v>
      </c>
      <c r="G376" s="136">
        <v>373</v>
      </c>
      <c r="H376" s="136" t="s">
        <v>7105</v>
      </c>
      <c r="I376" s="136" t="s">
        <v>7106</v>
      </c>
      <c r="J376" s="136" t="s">
        <v>7107</v>
      </c>
      <c r="L376" s="136"/>
      <c r="M376" s="136"/>
      <c r="N376" s="136"/>
    </row>
    <row r="377" spans="6:14">
      <c r="F377" s="136" t="s">
        <v>7108</v>
      </c>
      <c r="G377" s="136">
        <v>374</v>
      </c>
      <c r="H377" s="136" t="s">
        <v>7109</v>
      </c>
      <c r="I377" s="136" t="s">
        <v>7110</v>
      </c>
      <c r="J377" s="136" t="s">
        <v>7111</v>
      </c>
      <c r="L377" s="136"/>
      <c r="M377" s="136"/>
      <c r="N377" s="136"/>
    </row>
    <row r="378" spans="6:14">
      <c r="F378" s="136" t="s">
        <v>7112</v>
      </c>
      <c r="G378" s="136">
        <v>375</v>
      </c>
      <c r="H378" s="136" t="s">
        <v>7113</v>
      </c>
      <c r="I378" s="136" t="s">
        <v>7114</v>
      </c>
      <c r="J378" s="136" t="s">
        <v>7115</v>
      </c>
      <c r="L378" s="136"/>
      <c r="M378" s="136"/>
      <c r="N378" s="136"/>
    </row>
    <row r="379" spans="6:14">
      <c r="F379" s="136" t="s">
        <v>7116</v>
      </c>
      <c r="G379" s="136">
        <v>376</v>
      </c>
      <c r="H379" s="136" t="s">
        <v>7117</v>
      </c>
      <c r="I379" s="136" t="s">
        <v>7118</v>
      </c>
      <c r="J379" s="136" t="s">
        <v>7119</v>
      </c>
      <c r="L379" s="136"/>
      <c r="M379" s="136"/>
      <c r="N379" s="136"/>
    </row>
    <row r="380" spans="6:14">
      <c r="F380" s="136" t="s">
        <v>7120</v>
      </c>
      <c r="G380" s="136">
        <v>377</v>
      </c>
      <c r="H380" s="136" t="s">
        <v>7121</v>
      </c>
      <c r="I380" s="136" t="s">
        <v>7122</v>
      </c>
      <c r="J380" s="136" t="s">
        <v>7123</v>
      </c>
      <c r="L380" s="136"/>
      <c r="M380" s="136"/>
      <c r="N380" s="136"/>
    </row>
    <row r="381" spans="6:14">
      <c r="F381" s="136" t="s">
        <v>7124</v>
      </c>
      <c r="G381" s="136">
        <v>378</v>
      </c>
      <c r="H381" s="136" t="s">
        <v>7125</v>
      </c>
      <c r="I381" s="136" t="s">
        <v>7126</v>
      </c>
      <c r="J381" s="136" t="s">
        <v>7127</v>
      </c>
      <c r="L381" s="136"/>
      <c r="M381" s="136"/>
      <c r="N381" s="136"/>
    </row>
    <row r="382" spans="6:14">
      <c r="F382" s="136" t="s">
        <v>7128</v>
      </c>
      <c r="G382" s="136">
        <v>379</v>
      </c>
      <c r="H382" s="136" t="s">
        <v>7129</v>
      </c>
      <c r="I382" s="136" t="s">
        <v>7130</v>
      </c>
      <c r="J382" s="136" t="s">
        <v>7131</v>
      </c>
      <c r="L382" s="136"/>
      <c r="M382" s="136"/>
      <c r="N382" s="136"/>
    </row>
    <row r="383" spans="6:14">
      <c r="F383" s="136" t="s">
        <v>7132</v>
      </c>
      <c r="G383" s="136">
        <v>380</v>
      </c>
      <c r="H383" s="136" t="s">
        <v>7133</v>
      </c>
      <c r="I383" s="136" t="s">
        <v>7134</v>
      </c>
      <c r="J383" s="136" t="s">
        <v>7135</v>
      </c>
      <c r="L383" s="136"/>
      <c r="M383" s="136"/>
      <c r="N383" s="136"/>
    </row>
    <row r="384" spans="6:14">
      <c r="F384" s="136" t="s">
        <v>7136</v>
      </c>
      <c r="G384" s="136">
        <v>381</v>
      </c>
      <c r="H384" s="136" t="s">
        <v>7137</v>
      </c>
      <c r="I384" s="136" t="s">
        <v>7138</v>
      </c>
      <c r="J384" s="136" t="s">
        <v>7139</v>
      </c>
      <c r="L384" s="136"/>
      <c r="M384" s="136"/>
      <c r="N384" s="136"/>
    </row>
    <row r="385" spans="6:14">
      <c r="F385" s="136" t="s">
        <v>7140</v>
      </c>
      <c r="G385" s="136">
        <v>382</v>
      </c>
      <c r="H385" s="136" t="s">
        <v>7141</v>
      </c>
      <c r="I385" s="136" t="s">
        <v>7142</v>
      </c>
      <c r="J385" s="136" t="s">
        <v>7143</v>
      </c>
      <c r="L385" s="136"/>
      <c r="M385" s="136"/>
      <c r="N385" s="136"/>
    </row>
    <row r="386" spans="6:14">
      <c r="F386" s="136" t="s">
        <v>7144</v>
      </c>
      <c r="G386" s="136">
        <v>383</v>
      </c>
      <c r="H386" s="136" t="s">
        <v>7145</v>
      </c>
      <c r="I386" s="136" t="s">
        <v>7146</v>
      </c>
      <c r="J386" s="136" t="s">
        <v>7147</v>
      </c>
      <c r="L386" s="136"/>
      <c r="M386" s="136"/>
      <c r="N386" s="136"/>
    </row>
    <row r="387" spans="6:14">
      <c r="F387" s="136" t="s">
        <v>7148</v>
      </c>
      <c r="G387" s="136">
        <v>384</v>
      </c>
      <c r="H387" s="136" t="s">
        <v>7149</v>
      </c>
      <c r="I387" s="136" t="s">
        <v>7150</v>
      </c>
      <c r="J387" s="136" t="s">
        <v>7151</v>
      </c>
      <c r="L387" s="136"/>
      <c r="M387" s="136"/>
      <c r="N387" s="136"/>
    </row>
    <row r="388" spans="6:14">
      <c r="F388" s="136" t="s">
        <v>7152</v>
      </c>
      <c r="G388" s="136">
        <v>385</v>
      </c>
      <c r="H388" s="136" t="s">
        <v>7153</v>
      </c>
      <c r="I388" s="136" t="s">
        <v>7154</v>
      </c>
      <c r="J388" s="136" t="s">
        <v>7155</v>
      </c>
      <c r="L388" s="136"/>
      <c r="M388" s="136"/>
      <c r="N388" s="136"/>
    </row>
    <row r="389" spans="6:14">
      <c r="F389" s="136" t="s">
        <v>7156</v>
      </c>
      <c r="G389" s="136">
        <v>386</v>
      </c>
      <c r="H389" s="136" t="s">
        <v>7157</v>
      </c>
      <c r="I389" s="136" t="s">
        <v>7158</v>
      </c>
      <c r="J389" s="136" t="s">
        <v>7159</v>
      </c>
      <c r="L389" s="136"/>
      <c r="M389" s="136"/>
      <c r="N389" s="136"/>
    </row>
    <row r="390" spans="6:14">
      <c r="F390" s="136" t="s">
        <v>7160</v>
      </c>
      <c r="G390" s="136">
        <v>387</v>
      </c>
      <c r="H390" s="136" t="s">
        <v>7161</v>
      </c>
      <c r="I390" s="136" t="s">
        <v>7162</v>
      </c>
      <c r="J390" s="136" t="s">
        <v>7163</v>
      </c>
      <c r="L390" s="136"/>
      <c r="M390" s="136"/>
      <c r="N390" s="136"/>
    </row>
    <row r="391" spans="6:14">
      <c r="F391" s="136" t="s">
        <v>7164</v>
      </c>
      <c r="G391" s="136">
        <v>388</v>
      </c>
      <c r="H391" s="136" t="s">
        <v>7165</v>
      </c>
      <c r="I391" s="136" t="s">
        <v>7166</v>
      </c>
      <c r="J391" s="136" t="s">
        <v>7167</v>
      </c>
      <c r="L391" s="136"/>
      <c r="M391" s="136"/>
      <c r="N391" s="136"/>
    </row>
    <row r="392" spans="6:14">
      <c r="F392" s="136" t="s">
        <v>7168</v>
      </c>
      <c r="G392" s="136">
        <v>389</v>
      </c>
      <c r="H392" s="136" t="s">
        <v>7169</v>
      </c>
      <c r="I392" s="136" t="s">
        <v>7169</v>
      </c>
      <c r="J392" s="136" t="s">
        <v>7170</v>
      </c>
      <c r="L392" s="136"/>
      <c r="M392" s="136"/>
      <c r="N392" s="136"/>
    </row>
    <row r="393" spans="6:14">
      <c r="F393" s="136" t="s">
        <v>7171</v>
      </c>
      <c r="G393" s="136">
        <v>390</v>
      </c>
      <c r="H393" s="136" t="s">
        <v>7172</v>
      </c>
      <c r="I393" s="136" t="s">
        <v>7173</v>
      </c>
      <c r="J393" s="136" t="s">
        <v>7174</v>
      </c>
      <c r="L393" s="136"/>
      <c r="M393" s="136"/>
      <c r="N393" s="136"/>
    </row>
    <row r="394" spans="6:14">
      <c r="F394" s="136" t="s">
        <v>7175</v>
      </c>
      <c r="G394" s="136">
        <v>391</v>
      </c>
      <c r="H394" s="136" t="s">
        <v>7176</v>
      </c>
      <c r="I394" s="136" t="s">
        <v>7177</v>
      </c>
      <c r="J394" s="136" t="s">
        <v>7178</v>
      </c>
      <c r="L394" s="136"/>
      <c r="M394" s="136"/>
      <c r="N394" s="136"/>
    </row>
    <row r="395" spans="6:14">
      <c r="F395" s="136" t="s">
        <v>7179</v>
      </c>
      <c r="G395" s="136">
        <v>392</v>
      </c>
      <c r="H395" s="136" t="s">
        <v>7180</v>
      </c>
      <c r="I395" s="136" t="s">
        <v>7181</v>
      </c>
      <c r="J395" s="136" t="s">
        <v>7182</v>
      </c>
      <c r="L395" s="136"/>
      <c r="M395" s="136"/>
      <c r="N395" s="136"/>
    </row>
    <row r="396" spans="6:14">
      <c r="F396" s="136" t="s">
        <v>7183</v>
      </c>
      <c r="G396" s="136">
        <v>393</v>
      </c>
      <c r="H396" s="136" t="s">
        <v>7184</v>
      </c>
      <c r="I396" s="136" t="s">
        <v>7185</v>
      </c>
      <c r="J396" s="136" t="s">
        <v>7186</v>
      </c>
      <c r="L396" s="136"/>
      <c r="M396" s="136"/>
      <c r="N396" s="136"/>
    </row>
    <row r="397" spans="6:14">
      <c r="F397" s="136" t="s">
        <v>7187</v>
      </c>
      <c r="G397" s="136">
        <v>394</v>
      </c>
      <c r="H397" s="136" t="s">
        <v>7188</v>
      </c>
      <c r="I397" s="136" t="s">
        <v>7189</v>
      </c>
      <c r="J397" s="136" t="s">
        <v>7190</v>
      </c>
      <c r="L397" s="136"/>
      <c r="M397" s="136"/>
      <c r="N397" s="136"/>
    </row>
    <row r="398" spans="6:14">
      <c r="F398" s="136" t="s">
        <v>7191</v>
      </c>
      <c r="G398" s="136">
        <v>395</v>
      </c>
      <c r="H398" s="136" t="s">
        <v>7192</v>
      </c>
      <c r="I398" s="136" t="s">
        <v>7193</v>
      </c>
      <c r="J398" s="136" t="s">
        <v>7194</v>
      </c>
      <c r="L398" s="136"/>
      <c r="M398" s="136"/>
      <c r="N398" s="136"/>
    </row>
    <row r="399" spans="6:14">
      <c r="F399" s="136" t="s">
        <v>7195</v>
      </c>
      <c r="G399" s="136">
        <v>396</v>
      </c>
      <c r="H399" s="136" t="s">
        <v>7196</v>
      </c>
      <c r="I399" s="136" t="s">
        <v>7197</v>
      </c>
      <c r="J399" s="136" t="s">
        <v>7198</v>
      </c>
      <c r="L399" s="136"/>
      <c r="M399" s="136"/>
      <c r="N399" s="136"/>
    </row>
    <row r="400" spans="6:14">
      <c r="F400" s="136" t="s">
        <v>7199</v>
      </c>
      <c r="G400" s="136">
        <v>397</v>
      </c>
      <c r="H400" s="136" t="s">
        <v>7200</v>
      </c>
      <c r="I400" s="136" t="s">
        <v>7201</v>
      </c>
      <c r="J400" s="136" t="s">
        <v>7202</v>
      </c>
      <c r="L400" s="136"/>
      <c r="M400" s="136"/>
      <c r="N400" s="136"/>
    </row>
    <row r="401" spans="6:14">
      <c r="F401" s="136" t="s">
        <v>7203</v>
      </c>
      <c r="G401" s="136">
        <v>398</v>
      </c>
      <c r="H401" s="136" t="s">
        <v>7204</v>
      </c>
      <c r="I401" s="136" t="s">
        <v>7205</v>
      </c>
      <c r="J401" s="136" t="s">
        <v>7206</v>
      </c>
      <c r="L401" s="136"/>
      <c r="M401" s="136"/>
      <c r="N401" s="136"/>
    </row>
    <row r="402" spans="6:14">
      <c r="F402" s="136" t="s">
        <v>7207</v>
      </c>
      <c r="G402" s="136">
        <v>399</v>
      </c>
      <c r="H402" s="136" t="s">
        <v>7208</v>
      </c>
      <c r="I402" s="136" t="s">
        <v>7209</v>
      </c>
      <c r="J402" s="136" t="s">
        <v>7210</v>
      </c>
      <c r="L402" s="136"/>
      <c r="M402" s="136"/>
      <c r="N402" s="136"/>
    </row>
    <row r="403" spans="6:14">
      <c r="F403" s="136" t="s">
        <v>7211</v>
      </c>
      <c r="G403" s="136">
        <v>400</v>
      </c>
      <c r="H403" s="136" t="s">
        <v>7212</v>
      </c>
      <c r="I403" s="136" t="s">
        <v>7213</v>
      </c>
      <c r="J403" s="136" t="s">
        <v>7214</v>
      </c>
      <c r="L403" s="136"/>
      <c r="M403" s="136"/>
      <c r="N403" s="136"/>
    </row>
    <row r="404" spans="6:14">
      <c r="F404" s="136" t="s">
        <v>7215</v>
      </c>
      <c r="G404" s="136">
        <v>401</v>
      </c>
      <c r="H404" s="136" t="s">
        <v>7216</v>
      </c>
      <c r="I404" s="136" t="s">
        <v>7217</v>
      </c>
      <c r="J404" s="136" t="s">
        <v>7218</v>
      </c>
      <c r="L404" s="136"/>
      <c r="M404" s="136"/>
      <c r="N404" s="136"/>
    </row>
    <row r="405" spans="6:14">
      <c r="F405" s="136" t="s">
        <v>7219</v>
      </c>
      <c r="G405" s="136">
        <v>402</v>
      </c>
      <c r="H405" s="136" t="s">
        <v>1899</v>
      </c>
      <c r="I405" s="136" t="s">
        <v>1902</v>
      </c>
      <c r="J405" s="136" t="s">
        <v>7220</v>
      </c>
      <c r="L405" s="136"/>
      <c r="M405" s="136"/>
      <c r="N405" s="136"/>
    </row>
    <row r="406" spans="6:14">
      <c r="F406" s="136" t="s">
        <v>7221</v>
      </c>
      <c r="G406" s="136">
        <v>403</v>
      </c>
      <c r="H406" s="136" t="s">
        <v>7222</v>
      </c>
      <c r="I406" s="136" t="s">
        <v>7223</v>
      </c>
      <c r="J406" s="136" t="s">
        <v>7224</v>
      </c>
      <c r="L406" s="136"/>
      <c r="M406" s="136"/>
      <c r="N406" s="136"/>
    </row>
    <row r="407" spans="6:14">
      <c r="F407" s="136" t="s">
        <v>7225</v>
      </c>
      <c r="G407" s="136">
        <v>404</v>
      </c>
      <c r="H407" s="136" t="s">
        <v>7226</v>
      </c>
      <c r="I407" s="136" t="s">
        <v>7227</v>
      </c>
      <c r="J407" s="136" t="s">
        <v>7228</v>
      </c>
      <c r="L407" s="136"/>
      <c r="M407" s="136"/>
      <c r="N407" s="136"/>
    </row>
    <row r="408" spans="6:14">
      <c r="F408" s="136" t="s">
        <v>7229</v>
      </c>
      <c r="G408" s="136">
        <v>405</v>
      </c>
      <c r="H408" s="136" t="s">
        <v>7230</v>
      </c>
      <c r="I408" s="136" t="s">
        <v>7230</v>
      </c>
      <c r="J408" s="136" t="s">
        <v>7231</v>
      </c>
      <c r="L408" s="136"/>
      <c r="M408" s="136"/>
      <c r="N408" s="136"/>
    </row>
    <row r="409" spans="6:14">
      <c r="F409" s="136" t="s">
        <v>7232</v>
      </c>
      <c r="G409" s="136">
        <v>406</v>
      </c>
      <c r="H409" s="136" t="s">
        <v>7233</v>
      </c>
      <c r="I409" s="136" t="s">
        <v>7234</v>
      </c>
      <c r="J409" s="136" t="s">
        <v>7235</v>
      </c>
      <c r="L409" s="136"/>
      <c r="M409" s="136"/>
      <c r="N409" s="136"/>
    </row>
    <row r="410" spans="6:14">
      <c r="F410" s="136" t="s">
        <v>7236</v>
      </c>
      <c r="G410" s="136">
        <v>407</v>
      </c>
      <c r="H410" s="136" t="s">
        <v>7237</v>
      </c>
      <c r="I410" s="136" t="s">
        <v>7238</v>
      </c>
      <c r="J410" s="136" t="s">
        <v>7239</v>
      </c>
      <c r="L410" s="136"/>
      <c r="M410" s="136"/>
      <c r="N410" s="136"/>
    </row>
    <row r="411" spans="6:14">
      <c r="F411" s="136" t="s">
        <v>7240</v>
      </c>
      <c r="G411" s="136">
        <v>408</v>
      </c>
      <c r="H411" s="136" t="s">
        <v>7241</v>
      </c>
      <c r="I411" s="136" t="s">
        <v>7242</v>
      </c>
      <c r="J411" s="136" t="s">
        <v>7243</v>
      </c>
      <c r="L411" s="136"/>
      <c r="M411" s="136"/>
      <c r="N411" s="136"/>
    </row>
    <row r="412" spans="6:14">
      <c r="F412" s="136" t="s">
        <v>7244</v>
      </c>
      <c r="G412" s="136">
        <v>409</v>
      </c>
      <c r="H412" s="136" t="s">
        <v>7245</v>
      </c>
      <c r="I412" s="136" t="s">
        <v>7246</v>
      </c>
      <c r="J412" s="136" t="s">
        <v>7247</v>
      </c>
      <c r="L412" s="136"/>
      <c r="M412" s="136"/>
      <c r="N412" s="136"/>
    </row>
    <row r="413" spans="6:14">
      <c r="F413" s="136" t="s">
        <v>7248</v>
      </c>
      <c r="G413" s="136">
        <v>410</v>
      </c>
      <c r="H413" s="136" t="s">
        <v>7249</v>
      </c>
      <c r="I413" s="136" t="s">
        <v>7250</v>
      </c>
      <c r="J413" s="136" t="s">
        <v>7251</v>
      </c>
      <c r="L413" s="136"/>
      <c r="M413" s="136"/>
      <c r="N413" s="136"/>
    </row>
    <row r="414" spans="6:14">
      <c r="F414" s="136" t="s">
        <v>7252</v>
      </c>
      <c r="G414" s="136">
        <v>411</v>
      </c>
      <c r="H414" s="136" t="s">
        <v>7253</v>
      </c>
      <c r="I414" s="136" t="s">
        <v>7254</v>
      </c>
      <c r="J414" s="136" t="s">
        <v>7255</v>
      </c>
      <c r="L414" s="136"/>
      <c r="M414" s="136"/>
      <c r="N414" s="136"/>
    </row>
    <row r="415" spans="6:14">
      <c r="F415" s="136" t="s">
        <v>7256</v>
      </c>
      <c r="G415" s="136">
        <v>412</v>
      </c>
      <c r="H415" s="136" t="s">
        <v>7257</v>
      </c>
      <c r="I415" s="136" t="s">
        <v>7258</v>
      </c>
      <c r="J415" s="136" t="s">
        <v>7259</v>
      </c>
      <c r="L415" s="136"/>
      <c r="M415" s="136"/>
      <c r="N415" s="136"/>
    </row>
    <row r="416" spans="6:14">
      <c r="F416" s="136" t="s">
        <v>7260</v>
      </c>
      <c r="G416" s="136">
        <v>413</v>
      </c>
      <c r="H416" s="136" t="s">
        <v>7261</v>
      </c>
      <c r="I416" s="136" t="s">
        <v>7262</v>
      </c>
      <c r="J416" s="136" t="s">
        <v>7263</v>
      </c>
      <c r="L416" s="136"/>
      <c r="M416" s="136"/>
      <c r="N416" s="136"/>
    </row>
    <row r="417" spans="6:14">
      <c r="F417" s="136" t="s">
        <v>7264</v>
      </c>
      <c r="G417" s="136"/>
      <c r="H417" s="136" t="s">
        <v>7265</v>
      </c>
      <c r="I417" s="136" t="s">
        <v>7266</v>
      </c>
      <c r="J417" s="136" t="s">
        <v>7267</v>
      </c>
      <c r="L417" s="136"/>
      <c r="M417" s="136"/>
      <c r="N417" s="136"/>
    </row>
    <row r="418" spans="6:14">
      <c r="F418" s="136" t="s">
        <v>7268</v>
      </c>
      <c r="G418" s="136"/>
      <c r="H418" s="136" t="s">
        <v>7269</v>
      </c>
      <c r="I418" s="136" t="s">
        <v>7270</v>
      </c>
      <c r="J418" s="136" t="s">
        <v>7271</v>
      </c>
      <c r="L418" s="136"/>
      <c r="M418" s="136"/>
      <c r="N418" s="136"/>
    </row>
    <row r="419" spans="6:14">
      <c r="F419" s="136" t="s">
        <v>7272</v>
      </c>
      <c r="G419" s="136">
        <v>416</v>
      </c>
      <c r="H419" s="136" t="s">
        <v>7273</v>
      </c>
      <c r="I419" s="136" t="s">
        <v>7274</v>
      </c>
      <c r="J419" s="136" t="s">
        <v>7275</v>
      </c>
      <c r="L419" s="136"/>
      <c r="M419" s="136"/>
      <c r="N419" s="136"/>
    </row>
    <row r="420" spans="6:14">
      <c r="F420" s="136" t="s">
        <v>7276</v>
      </c>
      <c r="G420" s="136">
        <v>417</v>
      </c>
      <c r="H420" s="136" t="s">
        <v>5258</v>
      </c>
      <c r="I420" s="136" t="s">
        <v>5259</v>
      </c>
      <c r="J420" s="136" t="s">
        <v>7277</v>
      </c>
      <c r="L420" s="136"/>
      <c r="M420" s="136"/>
      <c r="N420" s="136"/>
    </row>
    <row r="421" spans="6:14">
      <c r="F421" s="136" t="s">
        <v>7278</v>
      </c>
      <c r="G421" s="136">
        <v>418</v>
      </c>
      <c r="H421" s="136" t="s">
        <v>7279</v>
      </c>
      <c r="I421" s="136" t="s">
        <v>7280</v>
      </c>
      <c r="J421" s="136" t="s">
        <v>7281</v>
      </c>
      <c r="L421" s="136"/>
      <c r="M421" s="136"/>
      <c r="N421" s="136"/>
    </row>
    <row r="422" spans="6:14">
      <c r="F422" s="136" t="s">
        <v>7282</v>
      </c>
      <c r="G422" s="136">
        <v>419</v>
      </c>
      <c r="H422" s="136" t="s">
        <v>7283</v>
      </c>
      <c r="I422" s="136" t="s">
        <v>7283</v>
      </c>
      <c r="J422" s="136" t="s">
        <v>7284</v>
      </c>
      <c r="L422" s="136"/>
      <c r="M422" s="136"/>
      <c r="N422" s="136"/>
    </row>
    <row r="423" spans="6:14">
      <c r="F423" s="136" t="s">
        <v>7285</v>
      </c>
      <c r="G423" s="136">
        <v>420</v>
      </c>
      <c r="H423" s="136" t="s">
        <v>7286</v>
      </c>
      <c r="I423" s="136" t="s">
        <v>7287</v>
      </c>
      <c r="J423" s="136" t="s">
        <v>7288</v>
      </c>
      <c r="L423" s="136"/>
      <c r="M423" s="136"/>
      <c r="N423" s="136"/>
    </row>
    <row r="424" spans="6:14">
      <c r="F424" s="136" t="s">
        <v>7289</v>
      </c>
      <c r="G424" s="136">
        <v>421</v>
      </c>
      <c r="H424" s="136" t="s">
        <v>7290</v>
      </c>
      <c r="I424" s="136" t="s">
        <v>7291</v>
      </c>
      <c r="J424" s="136" t="s">
        <v>7292</v>
      </c>
      <c r="L424" s="136"/>
      <c r="M424" s="136"/>
      <c r="N424" s="136"/>
    </row>
    <row r="425" spans="6:14">
      <c r="F425" s="136" t="s">
        <v>7293</v>
      </c>
      <c r="G425" s="136">
        <v>422</v>
      </c>
      <c r="H425" s="136" t="s">
        <v>7294</v>
      </c>
      <c r="I425" s="136" t="s">
        <v>7295</v>
      </c>
      <c r="J425" s="136" t="s">
        <v>7296</v>
      </c>
      <c r="L425" s="136"/>
      <c r="M425" s="136"/>
      <c r="N425" s="136"/>
    </row>
    <row r="426" spans="6:14">
      <c r="F426" s="136" t="s">
        <v>7297</v>
      </c>
      <c r="G426" s="136">
        <v>423</v>
      </c>
      <c r="H426" s="136" t="s">
        <v>7298</v>
      </c>
      <c r="I426" s="136" t="s">
        <v>7299</v>
      </c>
      <c r="J426" s="136" t="s">
        <v>7300</v>
      </c>
      <c r="L426" s="136"/>
      <c r="M426" s="136"/>
      <c r="N426" s="136"/>
    </row>
    <row r="427" spans="6:14">
      <c r="F427" s="136" t="s">
        <v>7301</v>
      </c>
      <c r="G427" s="136">
        <v>424</v>
      </c>
      <c r="H427" s="136" t="s">
        <v>7302</v>
      </c>
      <c r="I427" s="136" t="s">
        <v>7303</v>
      </c>
      <c r="J427" s="136" t="s">
        <v>7304</v>
      </c>
      <c r="L427" s="136"/>
      <c r="M427" s="136"/>
      <c r="N427" s="136"/>
    </row>
    <row r="428" spans="6:14">
      <c r="F428" s="136" t="s">
        <v>7305</v>
      </c>
      <c r="G428" s="136">
        <v>425</v>
      </c>
      <c r="H428" s="136" t="s">
        <v>7306</v>
      </c>
      <c r="I428" s="136" t="s">
        <v>7307</v>
      </c>
      <c r="J428" s="136" t="s">
        <v>7308</v>
      </c>
      <c r="L428" s="136"/>
      <c r="M428" s="136"/>
      <c r="N428" s="136"/>
    </row>
    <row r="429" spans="6:14">
      <c r="F429" s="136" t="s">
        <v>7309</v>
      </c>
      <c r="G429" s="136">
        <v>426</v>
      </c>
      <c r="H429" s="136" t="s">
        <v>7310</v>
      </c>
      <c r="I429" s="136" t="s">
        <v>7311</v>
      </c>
      <c r="J429" s="136" t="s">
        <v>7312</v>
      </c>
      <c r="L429" s="136"/>
      <c r="M429" s="136"/>
      <c r="N429" s="136"/>
    </row>
    <row r="430" spans="6:14">
      <c r="F430" s="136" t="s">
        <v>7313</v>
      </c>
      <c r="G430" s="136">
        <v>427</v>
      </c>
      <c r="H430" s="136" t="s">
        <v>7314</v>
      </c>
      <c r="I430" s="136" t="s">
        <v>7315</v>
      </c>
      <c r="J430" s="136" t="s">
        <v>7316</v>
      </c>
      <c r="L430" s="136"/>
      <c r="M430" s="136"/>
      <c r="N430" s="136"/>
    </row>
    <row r="431" spans="6:14">
      <c r="F431" s="136" t="s">
        <v>7317</v>
      </c>
      <c r="G431" s="136">
        <v>428</v>
      </c>
      <c r="H431" s="136" t="s">
        <v>7318</v>
      </c>
      <c r="I431" s="136" t="s">
        <v>7319</v>
      </c>
      <c r="J431" s="136" t="s">
        <v>7320</v>
      </c>
      <c r="L431" s="136"/>
      <c r="M431" s="136"/>
      <c r="N431" s="136"/>
    </row>
    <row r="432" spans="6:14">
      <c r="F432" s="136" t="s">
        <v>7321</v>
      </c>
      <c r="G432" s="136">
        <v>429</v>
      </c>
      <c r="H432" s="136" t="s">
        <v>7322</v>
      </c>
      <c r="I432" s="136" t="s">
        <v>7323</v>
      </c>
      <c r="J432" s="136" t="s">
        <v>7324</v>
      </c>
      <c r="L432" s="136"/>
      <c r="M432" s="136"/>
      <c r="N432" s="136"/>
    </row>
    <row r="433" spans="6:14">
      <c r="F433" s="136" t="s">
        <v>7325</v>
      </c>
      <c r="G433" s="136">
        <v>430</v>
      </c>
      <c r="H433" s="136" t="s">
        <v>7326</v>
      </c>
      <c r="I433" s="136" t="s">
        <v>7327</v>
      </c>
      <c r="J433" s="136" t="s">
        <v>7328</v>
      </c>
      <c r="L433" s="136"/>
      <c r="M433" s="136"/>
      <c r="N433" s="136"/>
    </row>
    <row r="434" spans="6:14">
      <c r="F434" s="136" t="s">
        <v>7329</v>
      </c>
      <c r="G434" s="136">
        <v>431</v>
      </c>
      <c r="H434" s="136" t="s">
        <v>7330</v>
      </c>
      <c r="I434" s="136" t="s">
        <v>7331</v>
      </c>
      <c r="J434" s="136" t="s">
        <v>7332</v>
      </c>
      <c r="L434" s="136"/>
      <c r="M434" s="136"/>
      <c r="N434" s="136"/>
    </row>
    <row r="435" spans="6:14">
      <c r="F435" s="136" t="s">
        <v>7333</v>
      </c>
      <c r="G435" s="136">
        <v>432</v>
      </c>
      <c r="H435" s="136" t="s">
        <v>7334</v>
      </c>
      <c r="I435" s="136" t="s">
        <v>7335</v>
      </c>
      <c r="J435" s="136" t="s">
        <v>7336</v>
      </c>
      <c r="L435" s="136"/>
      <c r="M435" s="136"/>
      <c r="N435" s="136"/>
    </row>
    <row r="436" spans="6:14">
      <c r="F436" s="136" t="s">
        <v>7337</v>
      </c>
      <c r="G436" s="136">
        <v>433</v>
      </c>
      <c r="H436" s="136" t="s">
        <v>7338</v>
      </c>
      <c r="I436" s="136" t="s">
        <v>7339</v>
      </c>
      <c r="J436" s="136" t="s">
        <v>7340</v>
      </c>
      <c r="L436" s="136"/>
      <c r="M436" s="136"/>
      <c r="N436" s="136"/>
    </row>
    <row r="437" spans="6:14">
      <c r="F437" s="136" t="s">
        <v>7341</v>
      </c>
      <c r="G437" s="136">
        <v>434</v>
      </c>
      <c r="H437" s="136" t="s">
        <v>7342</v>
      </c>
      <c r="I437" s="136" t="s">
        <v>7343</v>
      </c>
      <c r="J437" s="136" t="s">
        <v>7344</v>
      </c>
      <c r="L437" s="136"/>
      <c r="M437" s="136"/>
      <c r="N437" s="136"/>
    </row>
    <row r="438" spans="6:14">
      <c r="F438" s="136" t="s">
        <v>7345</v>
      </c>
      <c r="G438" s="136">
        <v>435</v>
      </c>
      <c r="H438" s="136" t="s">
        <v>7346</v>
      </c>
      <c r="I438" s="136" t="s">
        <v>7347</v>
      </c>
      <c r="J438" s="136" t="s">
        <v>7348</v>
      </c>
      <c r="L438" s="136"/>
      <c r="M438" s="136"/>
      <c r="N438" s="136"/>
    </row>
    <row r="439" spans="6:14">
      <c r="F439" s="136" t="s">
        <v>7349</v>
      </c>
      <c r="G439" s="136">
        <v>436</v>
      </c>
      <c r="H439" s="136" t="s">
        <v>2941</v>
      </c>
      <c r="I439" s="136" t="s">
        <v>2942</v>
      </c>
      <c r="J439" s="136" t="s">
        <v>7350</v>
      </c>
      <c r="L439" s="136"/>
      <c r="M439" s="136"/>
      <c r="N439" s="136"/>
    </row>
    <row r="440" spans="6:14">
      <c r="F440" s="136" t="s">
        <v>7351</v>
      </c>
      <c r="G440" s="136">
        <v>437</v>
      </c>
      <c r="H440" s="136" t="s">
        <v>7352</v>
      </c>
      <c r="I440" s="136" t="s">
        <v>7353</v>
      </c>
      <c r="J440" s="136" t="s">
        <v>7354</v>
      </c>
      <c r="L440" s="136"/>
      <c r="M440" s="136"/>
      <c r="N440" s="136"/>
    </row>
    <row r="441" spans="6:14">
      <c r="F441" s="136" t="s">
        <v>7355</v>
      </c>
      <c r="G441" s="136">
        <v>438</v>
      </c>
      <c r="H441" s="136" t="s">
        <v>7356</v>
      </c>
      <c r="I441" s="136" t="s">
        <v>7357</v>
      </c>
      <c r="J441" s="136" t="s">
        <v>7358</v>
      </c>
      <c r="L441" s="136"/>
      <c r="M441" s="136"/>
      <c r="N441" s="136"/>
    </row>
    <row r="442" spans="6:14">
      <c r="F442" s="136" t="s">
        <v>7359</v>
      </c>
      <c r="G442" s="136">
        <v>439</v>
      </c>
      <c r="H442" s="136" t="s">
        <v>7360</v>
      </c>
      <c r="I442" s="136" t="s">
        <v>7361</v>
      </c>
      <c r="J442" s="136" t="s">
        <v>7362</v>
      </c>
      <c r="L442" s="136"/>
      <c r="M442" s="136"/>
      <c r="N442" s="136"/>
    </row>
    <row r="443" spans="6:14">
      <c r="F443" s="136" t="s">
        <v>7363</v>
      </c>
      <c r="G443" s="136">
        <v>440</v>
      </c>
      <c r="H443" s="136" t="s">
        <v>7364</v>
      </c>
      <c r="I443" s="136" t="s">
        <v>7365</v>
      </c>
      <c r="J443" s="136" t="s">
        <v>7366</v>
      </c>
      <c r="L443" s="136"/>
      <c r="M443" s="136"/>
      <c r="N443" s="136"/>
    </row>
    <row r="444" spans="6:14">
      <c r="F444" s="136" t="s">
        <v>7367</v>
      </c>
      <c r="G444" s="136">
        <v>441</v>
      </c>
      <c r="H444" s="136" t="s">
        <v>7368</v>
      </c>
      <c r="I444" s="136" t="s">
        <v>7369</v>
      </c>
      <c r="J444" s="136" t="s">
        <v>7370</v>
      </c>
      <c r="L444" s="136"/>
      <c r="M444" s="136"/>
      <c r="N444" s="136"/>
    </row>
    <row r="445" spans="6:14">
      <c r="F445" s="136" t="s">
        <v>7371</v>
      </c>
      <c r="G445" s="136">
        <v>442</v>
      </c>
      <c r="H445" s="136" t="s">
        <v>7372</v>
      </c>
      <c r="I445" s="136" t="s">
        <v>7373</v>
      </c>
      <c r="J445" s="136" t="s">
        <v>7374</v>
      </c>
      <c r="L445" s="136"/>
      <c r="M445" s="136"/>
      <c r="N445" s="136"/>
    </row>
    <row r="446" spans="6:14">
      <c r="F446" s="136" t="s">
        <v>7375</v>
      </c>
      <c r="G446" s="136">
        <v>443</v>
      </c>
      <c r="H446" s="136" t="s">
        <v>7376</v>
      </c>
      <c r="I446" s="136" t="s">
        <v>7377</v>
      </c>
      <c r="J446" s="136" t="s">
        <v>7378</v>
      </c>
      <c r="L446" s="136"/>
      <c r="M446" s="136"/>
      <c r="N446" s="136"/>
    </row>
    <row r="447" spans="6:14">
      <c r="F447" s="136" t="s">
        <v>7379</v>
      </c>
      <c r="G447" s="136">
        <v>444</v>
      </c>
      <c r="H447" s="136" t="s">
        <v>7380</v>
      </c>
      <c r="I447" s="136" t="s">
        <v>7381</v>
      </c>
      <c r="J447" s="136" t="s">
        <v>7382</v>
      </c>
      <c r="L447" s="136"/>
      <c r="M447" s="136"/>
      <c r="N447" s="136"/>
    </row>
    <row r="448" spans="6:14">
      <c r="F448" s="136" t="s">
        <v>7383</v>
      </c>
      <c r="G448" s="136">
        <v>445</v>
      </c>
      <c r="H448" s="136" t="s">
        <v>7384</v>
      </c>
      <c r="I448" s="136" t="s">
        <v>7385</v>
      </c>
      <c r="J448" s="136" t="s">
        <v>7386</v>
      </c>
      <c r="L448" s="136"/>
      <c r="M448" s="136"/>
      <c r="N448" s="136"/>
    </row>
    <row r="449" spans="6:14">
      <c r="F449" s="136" t="s">
        <v>7387</v>
      </c>
      <c r="G449" s="136">
        <v>446</v>
      </c>
      <c r="H449" s="136" t="s">
        <v>7388</v>
      </c>
      <c r="I449" s="136" t="s">
        <v>7389</v>
      </c>
      <c r="J449" s="136" t="s">
        <v>7390</v>
      </c>
      <c r="L449" s="136"/>
      <c r="M449" s="136"/>
      <c r="N449" s="136"/>
    </row>
    <row r="450" spans="6:14">
      <c r="F450" s="136" t="s">
        <v>7391</v>
      </c>
      <c r="G450" s="136">
        <v>447</v>
      </c>
      <c r="H450" s="136" t="s">
        <v>7392</v>
      </c>
      <c r="I450" s="136" t="s">
        <v>7393</v>
      </c>
      <c r="J450" s="136" t="s">
        <v>7394</v>
      </c>
      <c r="L450" s="136"/>
      <c r="M450" s="136"/>
      <c r="N450" s="136"/>
    </row>
    <row r="451" spans="6:14">
      <c r="F451" s="136" t="s">
        <v>7395</v>
      </c>
      <c r="G451" s="136">
        <v>448</v>
      </c>
      <c r="H451" s="136" t="s">
        <v>7396</v>
      </c>
      <c r="I451" s="136" t="s">
        <v>7397</v>
      </c>
      <c r="J451" s="136" t="s">
        <v>7398</v>
      </c>
      <c r="L451" s="136"/>
      <c r="M451" s="136"/>
      <c r="N451" s="136"/>
    </row>
    <row r="452" spans="6:14">
      <c r="F452" s="136" t="s">
        <v>7399</v>
      </c>
      <c r="G452" s="136">
        <v>449</v>
      </c>
      <c r="H452" s="136" t="s">
        <v>7400</v>
      </c>
      <c r="I452" s="136" t="s">
        <v>7401</v>
      </c>
      <c r="J452" s="136" t="s">
        <v>7402</v>
      </c>
      <c r="L452" s="136"/>
      <c r="M452" s="136"/>
      <c r="N452" s="136"/>
    </row>
    <row r="453" spans="6:14">
      <c r="F453" s="136" t="s">
        <v>7403</v>
      </c>
      <c r="G453" s="136">
        <v>450</v>
      </c>
      <c r="H453" s="136" t="s">
        <v>7404</v>
      </c>
      <c r="I453" s="136" t="s">
        <v>7405</v>
      </c>
      <c r="J453" s="136" t="s">
        <v>7406</v>
      </c>
      <c r="L453" s="136"/>
      <c r="M453" s="136"/>
      <c r="N453" s="136"/>
    </row>
    <row r="454" spans="6:14">
      <c r="F454" s="136" t="s">
        <v>7407</v>
      </c>
      <c r="G454" s="136">
        <v>451</v>
      </c>
      <c r="H454" s="136" t="s">
        <v>7408</v>
      </c>
      <c r="I454" s="136" t="s">
        <v>7409</v>
      </c>
      <c r="J454" s="136" t="s">
        <v>7410</v>
      </c>
      <c r="L454" s="136"/>
      <c r="M454" s="136"/>
      <c r="N454" s="136"/>
    </row>
    <row r="455" spans="6:14">
      <c r="F455" s="136" t="s">
        <v>7411</v>
      </c>
      <c r="G455" s="136">
        <v>452</v>
      </c>
      <c r="H455" s="136" t="s">
        <v>7412</v>
      </c>
      <c r="I455" s="136" t="s">
        <v>7413</v>
      </c>
      <c r="J455" s="136" t="s">
        <v>7414</v>
      </c>
      <c r="L455" s="136"/>
      <c r="M455" s="136"/>
      <c r="N455" s="136"/>
    </row>
    <row r="456" spans="6:14">
      <c r="F456" s="136" t="s">
        <v>7415</v>
      </c>
      <c r="G456" s="136">
        <v>453</v>
      </c>
      <c r="H456" s="136" t="s">
        <v>7416</v>
      </c>
      <c r="I456" s="136" t="s">
        <v>7417</v>
      </c>
      <c r="J456" s="136" t="s">
        <v>7418</v>
      </c>
      <c r="L456" s="136"/>
      <c r="M456" s="136"/>
      <c r="N456" s="136"/>
    </row>
    <row r="457" spans="6:14">
      <c r="F457" s="136" t="s">
        <v>7419</v>
      </c>
      <c r="G457" s="136">
        <v>454</v>
      </c>
      <c r="H457" s="136" t="s">
        <v>7420</v>
      </c>
      <c r="I457" s="136" t="s">
        <v>7421</v>
      </c>
      <c r="J457" s="136" t="s">
        <v>7422</v>
      </c>
      <c r="L457" s="136"/>
      <c r="M457" s="136"/>
      <c r="N457" s="136"/>
    </row>
    <row r="458" spans="6:14">
      <c r="F458" s="136" t="s">
        <v>7423</v>
      </c>
      <c r="G458" s="136">
        <v>455</v>
      </c>
      <c r="H458" s="136" t="s">
        <v>7424</v>
      </c>
      <c r="I458" s="136" t="s">
        <v>7425</v>
      </c>
      <c r="J458" s="136" t="s">
        <v>7426</v>
      </c>
      <c r="L458" s="136"/>
      <c r="M458" s="136"/>
      <c r="N458" s="136"/>
    </row>
    <row r="459" spans="6:14">
      <c r="F459" s="136" t="s">
        <v>7427</v>
      </c>
      <c r="G459" s="136">
        <v>456</v>
      </c>
      <c r="H459" s="136" t="s">
        <v>7428</v>
      </c>
      <c r="I459" s="136" t="s">
        <v>7429</v>
      </c>
      <c r="J459" s="136" t="s">
        <v>7430</v>
      </c>
      <c r="L459" s="136"/>
      <c r="M459" s="136"/>
      <c r="N459" s="136"/>
    </row>
    <row r="460" spans="6:14">
      <c r="F460" s="136" t="s">
        <v>7431</v>
      </c>
      <c r="G460" s="136">
        <v>457</v>
      </c>
      <c r="H460" s="136" t="s">
        <v>7432</v>
      </c>
      <c r="I460" s="136" t="s">
        <v>7433</v>
      </c>
      <c r="J460" s="136" t="s">
        <v>7434</v>
      </c>
      <c r="L460" s="136"/>
      <c r="M460" s="136"/>
      <c r="N460" s="136"/>
    </row>
    <row r="461" spans="6:14">
      <c r="F461" s="136" t="s">
        <v>7435</v>
      </c>
      <c r="G461" s="136">
        <v>458</v>
      </c>
      <c r="H461" s="136" t="s">
        <v>7436</v>
      </c>
      <c r="I461" s="136" t="s">
        <v>7437</v>
      </c>
      <c r="J461" s="136" t="s">
        <v>7438</v>
      </c>
      <c r="L461" s="136"/>
      <c r="M461" s="136"/>
      <c r="N461" s="136"/>
    </row>
    <row r="462" spans="6:14">
      <c r="F462" s="136" t="s">
        <v>7439</v>
      </c>
      <c r="G462" s="136">
        <v>459</v>
      </c>
      <c r="H462" s="136" t="s">
        <v>7440</v>
      </c>
      <c r="I462" s="136" t="s">
        <v>7440</v>
      </c>
      <c r="J462" s="136" t="s">
        <v>7441</v>
      </c>
      <c r="L462" s="136"/>
      <c r="M462" s="136"/>
      <c r="N462" s="136"/>
    </row>
    <row r="463" spans="6:14">
      <c r="F463" s="136" t="s">
        <v>7442</v>
      </c>
      <c r="G463" s="136">
        <v>460</v>
      </c>
      <c r="H463" s="136" t="s">
        <v>7443</v>
      </c>
      <c r="I463" s="136" t="s">
        <v>7444</v>
      </c>
      <c r="J463" s="136" t="s">
        <v>7445</v>
      </c>
      <c r="L463" s="136"/>
      <c r="M463" s="136"/>
      <c r="N463" s="136"/>
    </row>
    <row r="464" spans="6:14">
      <c r="F464" s="136" t="s">
        <v>7446</v>
      </c>
      <c r="G464" s="136">
        <v>461</v>
      </c>
      <c r="H464" s="136" t="s">
        <v>7447</v>
      </c>
      <c r="I464" s="136" t="s">
        <v>7448</v>
      </c>
      <c r="J464" s="136" t="s">
        <v>7449</v>
      </c>
      <c r="L464" s="136"/>
      <c r="M464" s="136"/>
      <c r="N464" s="136"/>
    </row>
    <row r="465" spans="6:14">
      <c r="F465" s="136" t="s">
        <v>7450</v>
      </c>
      <c r="G465" s="136">
        <v>462</v>
      </c>
      <c r="H465" s="136" t="s">
        <v>7451</v>
      </c>
      <c r="I465" s="136" t="s">
        <v>7452</v>
      </c>
      <c r="J465" s="136" t="s">
        <v>7453</v>
      </c>
      <c r="L465" s="136"/>
      <c r="M465" s="136"/>
      <c r="N465" s="136"/>
    </row>
    <row r="466" spans="6:14">
      <c r="F466" s="136" t="s">
        <v>7454</v>
      </c>
      <c r="G466" s="136">
        <v>463</v>
      </c>
      <c r="H466" s="136" t="s">
        <v>7455</v>
      </c>
      <c r="I466" s="136" t="s">
        <v>7456</v>
      </c>
      <c r="J466" s="136" t="s">
        <v>7457</v>
      </c>
      <c r="L466" s="136"/>
      <c r="M466" s="136"/>
      <c r="N466" s="136"/>
    </row>
    <row r="467" spans="6:14">
      <c r="F467" s="136" t="s">
        <v>7458</v>
      </c>
      <c r="G467" s="136">
        <v>464</v>
      </c>
      <c r="H467" s="136" t="s">
        <v>7459</v>
      </c>
      <c r="I467" s="136" t="s">
        <v>7460</v>
      </c>
      <c r="J467" s="136" t="s">
        <v>7461</v>
      </c>
      <c r="L467" s="136"/>
      <c r="M467" s="136"/>
      <c r="N467" s="136"/>
    </row>
    <row r="468" spans="6:14">
      <c r="F468" s="136" t="s">
        <v>7462</v>
      </c>
      <c r="G468" s="136">
        <v>465</v>
      </c>
      <c r="H468" s="136" t="s">
        <v>7463</v>
      </c>
      <c r="I468" s="136" t="s">
        <v>7464</v>
      </c>
      <c r="J468" s="136" t="s">
        <v>7465</v>
      </c>
      <c r="L468" s="136"/>
      <c r="M468" s="136"/>
      <c r="N468" s="136"/>
    </row>
    <row r="469" spans="6:14">
      <c r="F469" s="136" t="s">
        <v>7466</v>
      </c>
      <c r="G469" s="136">
        <v>466</v>
      </c>
      <c r="H469" s="136" t="s">
        <v>7467</v>
      </c>
      <c r="I469" s="136" t="s">
        <v>7468</v>
      </c>
      <c r="J469" s="136" t="s">
        <v>7469</v>
      </c>
      <c r="L469" s="136"/>
      <c r="M469" s="136"/>
      <c r="N469" s="136"/>
    </row>
    <row r="470" spans="6:14">
      <c r="F470" s="136" t="s">
        <v>7470</v>
      </c>
      <c r="G470" s="136">
        <v>467</v>
      </c>
      <c r="H470" s="136" t="s">
        <v>7471</v>
      </c>
      <c r="I470" s="136" t="s">
        <v>7472</v>
      </c>
      <c r="J470" s="136" t="s">
        <v>7473</v>
      </c>
      <c r="L470" s="136"/>
      <c r="M470" s="136"/>
      <c r="N470" s="136"/>
    </row>
    <row r="471" spans="6:14">
      <c r="F471" s="136" t="s">
        <v>7474</v>
      </c>
      <c r="G471" s="136">
        <v>468</v>
      </c>
      <c r="H471" s="136" t="s">
        <v>7475</v>
      </c>
      <c r="I471" s="136" t="s">
        <v>7476</v>
      </c>
      <c r="J471" s="136" t="s">
        <v>7477</v>
      </c>
      <c r="L471" s="136"/>
      <c r="M471" s="136"/>
      <c r="N471" s="136"/>
    </row>
    <row r="472" spans="6:14">
      <c r="F472" s="136" t="s">
        <v>7478</v>
      </c>
      <c r="G472" s="136">
        <v>469</v>
      </c>
      <c r="H472" s="136" t="s">
        <v>7479</v>
      </c>
      <c r="I472" s="136" t="s">
        <v>7480</v>
      </c>
      <c r="J472" s="136" t="s">
        <v>7481</v>
      </c>
      <c r="L472" s="136"/>
      <c r="M472" s="136"/>
      <c r="N472" s="136"/>
    </row>
    <row r="473" spans="6:14">
      <c r="F473" s="136" t="s">
        <v>7482</v>
      </c>
      <c r="G473" s="136">
        <v>470</v>
      </c>
      <c r="H473" s="136" t="s">
        <v>7483</v>
      </c>
      <c r="I473" s="136" t="s">
        <v>7484</v>
      </c>
      <c r="J473" s="136" t="s">
        <v>7485</v>
      </c>
      <c r="L473" s="136"/>
      <c r="M473" s="136"/>
      <c r="N473" s="136"/>
    </row>
    <row r="474" spans="6:14">
      <c r="F474" s="136" t="s">
        <v>7486</v>
      </c>
      <c r="G474" s="136">
        <v>471</v>
      </c>
      <c r="H474" s="136" t="s">
        <v>7487</v>
      </c>
      <c r="I474" s="136" t="s">
        <v>7488</v>
      </c>
      <c r="J474" s="136" t="s">
        <v>7489</v>
      </c>
      <c r="L474" s="136"/>
      <c r="M474" s="136"/>
      <c r="N474" s="136"/>
    </row>
    <row r="475" spans="6:14">
      <c r="F475" s="136" t="s">
        <v>7490</v>
      </c>
      <c r="G475" s="136">
        <v>472</v>
      </c>
      <c r="H475" s="136" t="s">
        <v>7491</v>
      </c>
      <c r="I475" s="136" t="s">
        <v>7492</v>
      </c>
      <c r="J475" s="136" t="s">
        <v>7493</v>
      </c>
      <c r="L475" s="136"/>
      <c r="M475" s="136"/>
      <c r="N475" s="136"/>
    </row>
    <row r="476" spans="6:14">
      <c r="F476" s="136" t="s">
        <v>7494</v>
      </c>
      <c r="G476" s="136">
        <v>473</v>
      </c>
      <c r="H476" s="136" t="s">
        <v>7495</v>
      </c>
      <c r="I476" s="136" t="s">
        <v>7496</v>
      </c>
      <c r="J476" s="136" t="s">
        <v>7497</v>
      </c>
      <c r="L476" s="136"/>
      <c r="M476" s="136"/>
      <c r="N476" s="136"/>
    </row>
    <row r="477" spans="6:14">
      <c r="F477" s="136" t="s">
        <v>7498</v>
      </c>
      <c r="G477" s="136">
        <v>474</v>
      </c>
      <c r="H477" s="136" t="s">
        <v>7499</v>
      </c>
      <c r="I477" s="136" t="s">
        <v>7500</v>
      </c>
      <c r="J477" s="136" t="s">
        <v>7501</v>
      </c>
      <c r="L477" s="136"/>
      <c r="M477" s="136"/>
      <c r="N477" s="136"/>
    </row>
    <row r="478" spans="6:14">
      <c r="F478" s="136" t="s">
        <v>7502</v>
      </c>
      <c r="G478" s="136">
        <v>475</v>
      </c>
      <c r="H478" s="136" t="s">
        <v>7503</v>
      </c>
      <c r="I478" s="136" t="s">
        <v>7504</v>
      </c>
      <c r="J478" s="136" t="s">
        <v>7505</v>
      </c>
      <c r="L478" s="136"/>
      <c r="M478" s="136"/>
      <c r="N478" s="136"/>
    </row>
    <row r="479" spans="6:14">
      <c r="F479" s="136" t="s">
        <v>7506</v>
      </c>
      <c r="G479" s="136">
        <v>476</v>
      </c>
      <c r="H479" s="136" t="s">
        <v>7507</v>
      </c>
      <c r="I479" s="136" t="s">
        <v>7507</v>
      </c>
      <c r="J479" s="136" t="s">
        <v>7508</v>
      </c>
      <c r="L479" s="136"/>
      <c r="M479" s="136"/>
      <c r="N479" s="136"/>
    </row>
    <row r="480" spans="6:14">
      <c r="F480" s="136" t="s">
        <v>7509</v>
      </c>
      <c r="G480" s="136">
        <v>477</v>
      </c>
      <c r="H480" s="136" t="s">
        <v>7510</v>
      </c>
      <c r="I480" s="136" t="s">
        <v>7511</v>
      </c>
      <c r="J480" s="136" t="s">
        <v>7512</v>
      </c>
      <c r="L480" s="136"/>
      <c r="M480" s="136"/>
      <c r="N480" s="136"/>
    </row>
    <row r="481" spans="6:14">
      <c r="F481" s="136" t="s">
        <v>7513</v>
      </c>
      <c r="G481" s="136">
        <v>478</v>
      </c>
      <c r="H481" s="136" t="s">
        <v>7514</v>
      </c>
      <c r="I481" s="136" t="s">
        <v>7515</v>
      </c>
      <c r="J481" s="136" t="s">
        <v>7516</v>
      </c>
      <c r="L481" s="136"/>
      <c r="M481" s="136"/>
      <c r="N481" s="136"/>
    </row>
    <row r="482" spans="6:14">
      <c r="F482" s="136" t="s">
        <v>7517</v>
      </c>
      <c r="G482" s="136">
        <v>479</v>
      </c>
      <c r="H482" s="136" t="s">
        <v>7518</v>
      </c>
      <c r="I482" s="136" t="s">
        <v>7519</v>
      </c>
      <c r="J482" s="136" t="s">
        <v>7520</v>
      </c>
      <c r="L482" s="136"/>
      <c r="M482" s="136"/>
      <c r="N482" s="136"/>
    </row>
    <row r="483" spans="6:14">
      <c r="F483" s="136" t="s">
        <v>7521</v>
      </c>
      <c r="G483" s="136">
        <v>480</v>
      </c>
      <c r="H483" s="136" t="s">
        <v>7522</v>
      </c>
      <c r="I483" s="136" t="s">
        <v>7523</v>
      </c>
      <c r="J483" s="136" t="s">
        <v>7524</v>
      </c>
      <c r="L483" s="136"/>
      <c r="M483" s="136"/>
      <c r="N483" s="136"/>
    </row>
    <row r="484" spans="6:14">
      <c r="F484" s="136" t="s">
        <v>7525</v>
      </c>
      <c r="G484" s="136">
        <v>481</v>
      </c>
      <c r="H484" s="136" t="s">
        <v>7526</v>
      </c>
      <c r="I484" s="136" t="s">
        <v>7527</v>
      </c>
      <c r="J484" s="136" t="s">
        <v>7528</v>
      </c>
      <c r="L484" s="136"/>
      <c r="M484" s="136"/>
      <c r="N484" s="136"/>
    </row>
    <row r="485" spans="6:14">
      <c r="F485" s="136" t="s">
        <v>7529</v>
      </c>
      <c r="G485" s="136">
        <v>482</v>
      </c>
      <c r="H485" s="136" t="s">
        <v>7530</v>
      </c>
      <c r="I485" s="136" t="s">
        <v>7531</v>
      </c>
      <c r="J485" s="136" t="s">
        <v>7532</v>
      </c>
      <c r="L485" s="136"/>
      <c r="M485" s="136"/>
      <c r="N485" s="136"/>
    </row>
    <row r="486" spans="6:14">
      <c r="F486" s="136" t="s">
        <v>7533</v>
      </c>
      <c r="G486" s="136">
        <v>483</v>
      </c>
      <c r="H486" s="136" t="s">
        <v>7534</v>
      </c>
      <c r="I486" s="136" t="s">
        <v>7535</v>
      </c>
      <c r="J486" s="136" t="s">
        <v>7536</v>
      </c>
      <c r="L486" s="136"/>
      <c r="M486" s="136"/>
      <c r="N486" s="136"/>
    </row>
    <row r="487" spans="6:14">
      <c r="F487" s="136" t="s">
        <v>7537</v>
      </c>
      <c r="G487" s="136">
        <v>484</v>
      </c>
      <c r="H487" s="136" t="s">
        <v>7538</v>
      </c>
      <c r="I487" s="136" t="s">
        <v>7539</v>
      </c>
      <c r="J487" s="136" t="s">
        <v>7540</v>
      </c>
      <c r="L487" s="136"/>
      <c r="M487" s="136"/>
      <c r="N487" s="136"/>
    </row>
    <row r="488" spans="6:14">
      <c r="F488" s="136" t="s">
        <v>7541</v>
      </c>
      <c r="G488" s="136">
        <v>485</v>
      </c>
      <c r="H488" s="136" t="s">
        <v>7542</v>
      </c>
      <c r="I488" s="136" t="s">
        <v>7543</v>
      </c>
      <c r="J488" s="136" t="s">
        <v>7544</v>
      </c>
      <c r="L488" s="136"/>
      <c r="M488" s="136"/>
      <c r="N488" s="136"/>
    </row>
    <row r="489" spans="6:14">
      <c r="F489" s="136" t="s">
        <v>7545</v>
      </c>
      <c r="G489" s="136">
        <v>486</v>
      </c>
      <c r="H489" s="136" t="s">
        <v>7546</v>
      </c>
      <c r="I489" s="136" t="s">
        <v>7547</v>
      </c>
      <c r="J489" s="136" t="s">
        <v>7548</v>
      </c>
      <c r="L489" s="136"/>
      <c r="M489" s="136"/>
      <c r="N489" s="136"/>
    </row>
    <row r="490" spans="6:14">
      <c r="F490" s="136" t="s">
        <v>7549</v>
      </c>
      <c r="G490" s="136">
        <v>487</v>
      </c>
      <c r="H490" s="136" t="s">
        <v>7550</v>
      </c>
      <c r="I490" s="136" t="s">
        <v>7551</v>
      </c>
      <c r="J490" s="136" t="s">
        <v>7552</v>
      </c>
      <c r="L490" s="136"/>
      <c r="M490" s="136"/>
      <c r="N490" s="136"/>
    </row>
    <row r="491" spans="6:14">
      <c r="F491" s="136" t="s">
        <v>7553</v>
      </c>
      <c r="G491" s="136">
        <v>488</v>
      </c>
      <c r="H491" s="136" t="s">
        <v>7554</v>
      </c>
      <c r="I491" s="136" t="s">
        <v>7555</v>
      </c>
      <c r="J491" s="136" t="s">
        <v>7556</v>
      </c>
      <c r="L491" s="136"/>
      <c r="M491" s="136"/>
      <c r="N491" s="136"/>
    </row>
    <row r="492" spans="6:14">
      <c r="F492" s="136" t="s">
        <v>7557</v>
      </c>
      <c r="G492" s="136">
        <v>489</v>
      </c>
      <c r="H492" s="136" t="s">
        <v>7558</v>
      </c>
      <c r="I492" s="136" t="s">
        <v>7559</v>
      </c>
      <c r="J492" s="136" t="s">
        <v>7560</v>
      </c>
      <c r="L492" s="136"/>
      <c r="M492" s="136"/>
      <c r="N492" s="136"/>
    </row>
    <row r="493" spans="6:14">
      <c r="F493" s="136" t="s">
        <v>7561</v>
      </c>
      <c r="G493" s="136">
        <v>490</v>
      </c>
      <c r="H493" s="136" t="s">
        <v>7562</v>
      </c>
      <c r="I493" s="136" t="s">
        <v>7563</v>
      </c>
      <c r="J493" s="136" t="s">
        <v>7564</v>
      </c>
      <c r="L493" s="136"/>
      <c r="M493" s="136"/>
      <c r="N493" s="136"/>
    </row>
    <row r="494" spans="6:14">
      <c r="F494" s="136" t="s">
        <v>7565</v>
      </c>
      <c r="G494" s="136">
        <v>491</v>
      </c>
      <c r="H494" s="136" t="s">
        <v>7566</v>
      </c>
      <c r="I494" s="136" t="s">
        <v>7567</v>
      </c>
      <c r="J494" s="136" t="s">
        <v>7568</v>
      </c>
      <c r="L494" s="136"/>
      <c r="M494" s="136"/>
      <c r="N494" s="136"/>
    </row>
    <row r="495" spans="6:14">
      <c r="F495" s="136" t="s">
        <v>7569</v>
      </c>
      <c r="G495" s="136">
        <v>492</v>
      </c>
      <c r="H495" s="136" t="s">
        <v>7570</v>
      </c>
      <c r="I495" s="136" t="s">
        <v>7571</v>
      </c>
      <c r="J495" s="136" t="s">
        <v>7572</v>
      </c>
      <c r="L495" s="136"/>
      <c r="M495" s="136"/>
      <c r="N495" s="136"/>
    </row>
    <row r="496" spans="6:14">
      <c r="F496" s="136" t="s">
        <v>7573</v>
      </c>
      <c r="G496" s="136">
        <v>493</v>
      </c>
      <c r="H496" s="136" t="s">
        <v>548</v>
      </c>
      <c r="I496" s="136" t="s">
        <v>7574</v>
      </c>
      <c r="J496" s="136" t="s">
        <v>7575</v>
      </c>
      <c r="L496" s="136"/>
      <c r="M496" s="136"/>
      <c r="N496" s="136"/>
    </row>
    <row r="497" spans="6:14">
      <c r="F497" s="136" t="s">
        <v>7576</v>
      </c>
      <c r="G497" s="136">
        <v>494</v>
      </c>
      <c r="H497" s="136" t="s">
        <v>5490</v>
      </c>
      <c r="I497" s="136" t="s">
        <v>7577</v>
      </c>
      <c r="J497" s="136" t="s">
        <v>7578</v>
      </c>
      <c r="L497" s="136"/>
      <c r="M497" s="136"/>
      <c r="N497" s="136"/>
    </row>
    <row r="498" spans="6:14">
      <c r="F498" s="136" t="s">
        <v>7579</v>
      </c>
      <c r="G498" s="136">
        <v>495</v>
      </c>
      <c r="H498" s="136" t="s">
        <v>7580</v>
      </c>
      <c r="I498" s="136" t="s">
        <v>7581</v>
      </c>
      <c r="J498" s="136" t="s">
        <v>7582</v>
      </c>
      <c r="L498" s="136"/>
      <c r="M498" s="136"/>
      <c r="N498" s="136"/>
    </row>
    <row r="499" spans="6:14">
      <c r="F499" s="136" t="s">
        <v>7583</v>
      </c>
      <c r="G499" s="136">
        <v>496</v>
      </c>
      <c r="H499" s="136" t="s">
        <v>7584</v>
      </c>
      <c r="I499" s="136" t="s">
        <v>7584</v>
      </c>
      <c r="J499" s="136" t="s">
        <v>7585</v>
      </c>
      <c r="L499" s="136"/>
      <c r="M499" s="136"/>
      <c r="N499" s="136"/>
    </row>
    <row r="500" spans="6:14">
      <c r="F500" s="136" t="s">
        <v>7586</v>
      </c>
      <c r="G500" s="136">
        <v>497</v>
      </c>
      <c r="H500" s="136" t="s">
        <v>7587</v>
      </c>
      <c r="I500" s="136" t="s">
        <v>7587</v>
      </c>
      <c r="J500" s="136" t="s">
        <v>7588</v>
      </c>
      <c r="L500" s="136"/>
      <c r="M500" s="136"/>
      <c r="N500" s="136"/>
    </row>
    <row r="501" spans="6:14">
      <c r="F501" s="136" t="s">
        <v>7589</v>
      </c>
      <c r="G501" s="136">
        <v>498</v>
      </c>
      <c r="H501" s="136" t="s">
        <v>7590</v>
      </c>
      <c r="I501" s="136" t="s">
        <v>7591</v>
      </c>
      <c r="J501" s="136" t="s">
        <v>7592</v>
      </c>
      <c r="L501" s="136"/>
      <c r="M501" s="136"/>
      <c r="N501" s="136"/>
    </row>
    <row r="502" spans="6:14">
      <c r="F502" s="136" t="s">
        <v>7593</v>
      </c>
      <c r="G502" s="136">
        <v>499</v>
      </c>
      <c r="H502" s="136" t="s">
        <v>7594</v>
      </c>
      <c r="I502" s="136" t="s">
        <v>7595</v>
      </c>
      <c r="J502" s="136" t="s">
        <v>7596</v>
      </c>
      <c r="L502" s="136"/>
      <c r="M502" s="136"/>
      <c r="N502" s="136"/>
    </row>
    <row r="503" spans="6:14">
      <c r="F503" s="136" t="s">
        <v>7597</v>
      </c>
      <c r="G503" s="136">
        <v>500</v>
      </c>
      <c r="H503" s="136" t="s">
        <v>7598</v>
      </c>
      <c r="I503" s="136" t="s">
        <v>7599</v>
      </c>
      <c r="J503" s="136" t="s">
        <v>7600</v>
      </c>
      <c r="L503" s="136"/>
      <c r="M503" s="136"/>
      <c r="N503" s="136"/>
    </row>
    <row r="504" spans="6:14">
      <c r="F504" s="136" t="s">
        <v>7601</v>
      </c>
      <c r="G504" s="136">
        <v>501</v>
      </c>
      <c r="H504" s="136" t="s">
        <v>7602</v>
      </c>
      <c r="I504" s="136" t="s">
        <v>7603</v>
      </c>
      <c r="J504" s="136" t="s">
        <v>7604</v>
      </c>
      <c r="L504" s="136"/>
      <c r="M504" s="136"/>
      <c r="N504" s="136"/>
    </row>
    <row r="505" spans="6:14">
      <c r="F505" s="136" t="s">
        <v>7605</v>
      </c>
      <c r="G505" s="136">
        <v>502</v>
      </c>
      <c r="H505" s="136" t="s">
        <v>7606</v>
      </c>
      <c r="I505" s="136" t="s">
        <v>7607</v>
      </c>
      <c r="J505" s="136" t="s">
        <v>7608</v>
      </c>
      <c r="L505" s="136"/>
      <c r="M505" s="136"/>
      <c r="N505" s="136"/>
    </row>
    <row r="506" spans="6:14">
      <c r="F506" s="136" t="s">
        <v>7609</v>
      </c>
      <c r="G506" s="136">
        <v>503</v>
      </c>
      <c r="H506" s="136" t="s">
        <v>7610</v>
      </c>
      <c r="I506" s="136" t="s">
        <v>7611</v>
      </c>
      <c r="J506" s="136" t="s">
        <v>7612</v>
      </c>
      <c r="L506" s="136"/>
      <c r="M506" s="136"/>
      <c r="N506" s="136"/>
    </row>
    <row r="507" spans="6:14">
      <c r="F507" s="136" t="s">
        <v>7613</v>
      </c>
      <c r="G507" s="136">
        <v>504</v>
      </c>
      <c r="H507" s="136" t="s">
        <v>7614</v>
      </c>
      <c r="I507" s="136" t="s">
        <v>7614</v>
      </c>
      <c r="J507" s="136" t="s">
        <v>7615</v>
      </c>
      <c r="L507" s="136"/>
      <c r="M507" s="136"/>
      <c r="N507" s="136"/>
    </row>
    <row r="508" spans="6:14">
      <c r="F508" s="136" t="s">
        <v>7616</v>
      </c>
      <c r="G508" s="136">
        <v>505</v>
      </c>
      <c r="H508" s="136" t="s">
        <v>7617</v>
      </c>
      <c r="I508" s="136" t="s">
        <v>7618</v>
      </c>
      <c r="J508" s="136" t="s">
        <v>7619</v>
      </c>
      <c r="L508" s="136"/>
      <c r="M508" s="136"/>
      <c r="N508" s="136"/>
    </row>
    <row r="509" spans="6:14">
      <c r="F509" s="136" t="s">
        <v>7620</v>
      </c>
      <c r="G509" s="136">
        <v>506</v>
      </c>
      <c r="H509" s="136" t="s">
        <v>7621</v>
      </c>
      <c r="I509" s="136" t="s">
        <v>7622</v>
      </c>
      <c r="J509" s="136" t="s">
        <v>7623</v>
      </c>
      <c r="L509" s="136"/>
      <c r="M509" s="136"/>
      <c r="N509" s="136"/>
    </row>
    <row r="510" spans="6:14">
      <c r="F510" s="136" t="s">
        <v>7624</v>
      </c>
      <c r="G510" s="136">
        <v>507</v>
      </c>
      <c r="H510" s="136" t="s">
        <v>7625</v>
      </c>
      <c r="I510" s="136" t="s">
        <v>7626</v>
      </c>
      <c r="J510" s="136" t="s">
        <v>7627</v>
      </c>
      <c r="L510" s="136"/>
      <c r="M510" s="136"/>
      <c r="N510" s="136"/>
    </row>
    <row r="511" spans="6:14">
      <c r="F511" s="136" t="s">
        <v>7628</v>
      </c>
      <c r="G511" s="136">
        <v>508</v>
      </c>
      <c r="H511" s="136" t="s">
        <v>4663</v>
      </c>
      <c r="I511" s="136" t="s">
        <v>4664</v>
      </c>
      <c r="J511" s="136" t="s">
        <v>7629</v>
      </c>
      <c r="L511" s="136"/>
      <c r="M511" s="136"/>
      <c r="N511" s="136"/>
    </row>
    <row r="512" spans="6:14">
      <c r="F512" s="136" t="s">
        <v>7630</v>
      </c>
      <c r="G512" s="136">
        <v>509</v>
      </c>
      <c r="H512" s="136" t="s">
        <v>7631</v>
      </c>
      <c r="I512" s="136" t="s">
        <v>7632</v>
      </c>
      <c r="J512" s="136" t="s">
        <v>7633</v>
      </c>
      <c r="L512" s="136"/>
      <c r="M512" s="136"/>
      <c r="N512" s="136"/>
    </row>
    <row r="513" spans="6:14">
      <c r="F513" s="136" t="s">
        <v>7634</v>
      </c>
      <c r="G513" s="136">
        <v>510</v>
      </c>
      <c r="H513" s="136" t="s">
        <v>7635</v>
      </c>
      <c r="I513" s="136" t="s">
        <v>7636</v>
      </c>
      <c r="J513" s="136" t="s">
        <v>7637</v>
      </c>
      <c r="L513" s="136"/>
      <c r="M513" s="136"/>
      <c r="N513" s="136"/>
    </row>
    <row r="514" spans="6:14">
      <c r="F514" s="136" t="s">
        <v>7638</v>
      </c>
      <c r="G514" s="136">
        <v>511</v>
      </c>
      <c r="H514" s="136" t="s">
        <v>5769</v>
      </c>
      <c r="I514" s="136" t="s">
        <v>5770</v>
      </c>
      <c r="J514" s="136" t="s">
        <v>7639</v>
      </c>
      <c r="L514" s="136"/>
      <c r="M514" s="136"/>
      <c r="N514" s="136"/>
    </row>
    <row r="515" spans="6:14">
      <c r="F515" s="136" t="s">
        <v>7640</v>
      </c>
      <c r="G515" s="136">
        <v>512</v>
      </c>
      <c r="H515" s="136" t="s">
        <v>7641</v>
      </c>
      <c r="I515" s="136" t="s">
        <v>7642</v>
      </c>
      <c r="J515" s="136" t="s">
        <v>7643</v>
      </c>
      <c r="L515" s="136"/>
      <c r="M515" s="136"/>
      <c r="N515" s="136"/>
    </row>
    <row r="516" spans="6:14">
      <c r="F516" s="136" t="s">
        <v>7644</v>
      </c>
      <c r="G516" s="136">
        <v>513</v>
      </c>
      <c r="H516" s="136" t="s">
        <v>7645</v>
      </c>
      <c r="I516" s="136" t="s">
        <v>7646</v>
      </c>
      <c r="J516" s="136" t="s">
        <v>7647</v>
      </c>
      <c r="L516" s="136"/>
      <c r="M516" s="136"/>
      <c r="N516" s="136"/>
    </row>
    <row r="517" spans="6:14">
      <c r="F517" s="136" t="s">
        <v>7648</v>
      </c>
      <c r="G517" s="136">
        <v>514</v>
      </c>
      <c r="H517" s="136" t="s">
        <v>7649</v>
      </c>
      <c r="I517" s="136" t="s">
        <v>7650</v>
      </c>
      <c r="J517" s="136" t="s">
        <v>7651</v>
      </c>
      <c r="L517" s="136"/>
      <c r="M517" s="136"/>
      <c r="N517" s="136"/>
    </row>
    <row r="518" spans="6:14">
      <c r="F518" s="136" t="s">
        <v>7652</v>
      </c>
      <c r="G518" s="136">
        <v>515</v>
      </c>
      <c r="H518" s="136" t="s">
        <v>7653</v>
      </c>
      <c r="I518" s="136" t="s">
        <v>7654</v>
      </c>
      <c r="J518" s="136" t="s">
        <v>7655</v>
      </c>
      <c r="L518" s="136"/>
      <c r="M518" s="136"/>
      <c r="N518" s="136"/>
    </row>
    <row r="519" spans="6:14">
      <c r="F519" s="136" t="s">
        <v>7656</v>
      </c>
      <c r="G519" s="136">
        <v>516</v>
      </c>
      <c r="H519" s="136" t="s">
        <v>2050</v>
      </c>
      <c r="I519" s="136" t="s">
        <v>2051</v>
      </c>
      <c r="J519" s="136" t="s">
        <v>7657</v>
      </c>
      <c r="L519" s="136"/>
      <c r="M519" s="136"/>
      <c r="N519" s="136"/>
    </row>
    <row r="520" spans="6:14">
      <c r="F520" s="136" t="s">
        <v>7658</v>
      </c>
      <c r="G520" s="136">
        <v>517</v>
      </c>
      <c r="H520" s="136" t="s">
        <v>7659</v>
      </c>
      <c r="I520" s="136" t="s">
        <v>7660</v>
      </c>
      <c r="J520" s="136" t="s">
        <v>7661</v>
      </c>
      <c r="L520" s="136"/>
      <c r="M520" s="136"/>
      <c r="N520" s="136"/>
    </row>
    <row r="521" spans="6:14">
      <c r="F521" s="136" t="s">
        <v>7662</v>
      </c>
      <c r="G521" s="136">
        <v>518</v>
      </c>
      <c r="H521" s="136" t="s">
        <v>7663</v>
      </c>
      <c r="I521" s="136" t="s">
        <v>7664</v>
      </c>
      <c r="J521" s="136" t="s">
        <v>7665</v>
      </c>
      <c r="L521" s="136"/>
      <c r="M521" s="136"/>
      <c r="N521" s="136"/>
    </row>
    <row r="522" spans="6:14">
      <c r="F522" s="136" t="s">
        <v>7666</v>
      </c>
      <c r="G522" s="136">
        <v>519</v>
      </c>
      <c r="H522" s="136" t="s">
        <v>738</v>
      </c>
      <c r="I522" s="136" t="s">
        <v>740</v>
      </c>
      <c r="J522" s="136" t="s">
        <v>7667</v>
      </c>
      <c r="L522" s="136"/>
      <c r="M522" s="136"/>
      <c r="N522" s="136"/>
    </row>
    <row r="523" spans="6:14">
      <c r="F523" s="136" t="s">
        <v>7668</v>
      </c>
      <c r="G523" s="136">
        <v>520</v>
      </c>
      <c r="H523" s="136" t="s">
        <v>7669</v>
      </c>
      <c r="I523" s="136" t="s">
        <v>7670</v>
      </c>
      <c r="J523" s="136" t="s">
        <v>7671</v>
      </c>
      <c r="L523" s="136"/>
      <c r="M523" s="136"/>
      <c r="N523" s="136"/>
    </row>
    <row r="524" spans="6:14">
      <c r="F524" s="136" t="s">
        <v>7672</v>
      </c>
      <c r="G524" s="136">
        <v>521</v>
      </c>
      <c r="H524" s="136" t="s">
        <v>7673</v>
      </c>
      <c r="I524" s="136" t="s">
        <v>7674</v>
      </c>
      <c r="J524" s="136" t="s">
        <v>7675</v>
      </c>
      <c r="L524" s="136"/>
      <c r="M524" s="136"/>
      <c r="N524" s="136"/>
    </row>
    <row r="525" spans="6:14">
      <c r="F525" s="136" t="s">
        <v>7676</v>
      </c>
      <c r="G525" s="136">
        <v>522</v>
      </c>
      <c r="H525" s="136" t="s">
        <v>4255</v>
      </c>
      <c r="I525" s="136" t="s">
        <v>4256</v>
      </c>
      <c r="J525" s="136" t="s">
        <v>7677</v>
      </c>
      <c r="L525" s="136"/>
      <c r="M525" s="136"/>
      <c r="N525" s="136"/>
    </row>
    <row r="526" spans="6:14">
      <c r="F526" s="136" t="s">
        <v>7678</v>
      </c>
      <c r="G526" s="136">
        <v>523</v>
      </c>
      <c r="H526" s="136" t="s">
        <v>1894</v>
      </c>
      <c r="I526" s="136" t="s">
        <v>1895</v>
      </c>
      <c r="J526" s="136" t="s">
        <v>7679</v>
      </c>
      <c r="L526" s="136"/>
      <c r="M526" s="136"/>
      <c r="N526" s="136"/>
    </row>
    <row r="527" spans="6:14">
      <c r="F527" s="136" t="s">
        <v>7680</v>
      </c>
      <c r="G527" s="136">
        <v>524</v>
      </c>
      <c r="H527" s="136" t="s">
        <v>999</v>
      </c>
      <c r="I527" s="136" t="s">
        <v>1000</v>
      </c>
      <c r="J527" s="136" t="s">
        <v>7681</v>
      </c>
      <c r="L527" s="136"/>
      <c r="M527" s="136"/>
      <c r="N527" s="136"/>
    </row>
    <row r="528" spans="6:14">
      <c r="F528" s="136" t="s">
        <v>7682</v>
      </c>
      <c r="G528" s="136">
        <v>525</v>
      </c>
      <c r="H528" s="136" t="s">
        <v>2594</v>
      </c>
      <c r="I528" s="136" t="s">
        <v>2595</v>
      </c>
      <c r="J528" s="136" t="s">
        <v>7683</v>
      </c>
      <c r="L528" s="136"/>
      <c r="M528" s="136"/>
      <c r="N528" s="136"/>
    </row>
    <row r="529" spans="6:14">
      <c r="F529" s="136" t="s">
        <v>7684</v>
      </c>
      <c r="G529" s="136">
        <v>526</v>
      </c>
      <c r="H529" s="136" t="s">
        <v>602</v>
      </c>
      <c r="I529" s="136" t="s">
        <v>605</v>
      </c>
      <c r="J529" s="136" t="s">
        <v>7685</v>
      </c>
      <c r="L529" s="136"/>
      <c r="M529" s="136"/>
      <c r="N529" s="136"/>
    </row>
    <row r="530" spans="6:14">
      <c r="F530" s="136" t="s">
        <v>7686</v>
      </c>
      <c r="G530" s="136">
        <v>527</v>
      </c>
      <c r="H530" s="136" t="s">
        <v>5927</v>
      </c>
      <c r="I530" s="136" t="s">
        <v>5928</v>
      </c>
      <c r="J530" s="136" t="s">
        <v>7687</v>
      </c>
      <c r="L530" s="136"/>
      <c r="M530" s="136"/>
      <c r="N530" s="136"/>
    </row>
    <row r="531" spans="6:14">
      <c r="F531" s="136" t="s">
        <v>7688</v>
      </c>
      <c r="G531" s="136">
        <v>528</v>
      </c>
      <c r="H531" s="136" t="s">
        <v>548</v>
      </c>
      <c r="I531" s="136" t="s">
        <v>554</v>
      </c>
      <c r="J531" s="136" t="s">
        <v>7689</v>
      </c>
      <c r="L531" s="136"/>
      <c r="M531" s="136"/>
      <c r="N531" s="136"/>
    </row>
    <row r="532" spans="6:14">
      <c r="F532" s="136" t="s">
        <v>7690</v>
      </c>
      <c r="G532" s="136">
        <v>529</v>
      </c>
      <c r="H532" s="136" t="s">
        <v>2720</v>
      </c>
      <c r="I532" s="136" t="s">
        <v>2721</v>
      </c>
      <c r="J532" s="136" t="s">
        <v>7691</v>
      </c>
      <c r="L532" s="136"/>
      <c r="M532" s="136"/>
      <c r="N532" s="136"/>
    </row>
    <row r="533" spans="6:14">
      <c r="F533" s="136" t="s">
        <v>7692</v>
      </c>
      <c r="G533" s="136">
        <v>530</v>
      </c>
      <c r="H533" s="136" t="s">
        <v>4632</v>
      </c>
      <c r="I533" s="136" t="s">
        <v>4633</v>
      </c>
      <c r="J533" s="136" t="s">
        <v>7693</v>
      </c>
      <c r="L533" s="136"/>
      <c r="M533" s="136"/>
      <c r="N533" s="136"/>
    </row>
    <row r="534" spans="6:14">
      <c r="F534" s="136" t="s">
        <v>7694</v>
      </c>
      <c r="G534" s="136">
        <v>531</v>
      </c>
      <c r="H534" s="136" t="s">
        <v>5820</v>
      </c>
      <c r="I534" s="136" t="s">
        <v>5821</v>
      </c>
      <c r="J534" s="136" t="s">
        <v>7695</v>
      </c>
      <c r="L534" s="136"/>
      <c r="M534" s="136"/>
      <c r="N534" s="136"/>
    </row>
    <row r="535" spans="6:14">
      <c r="F535" s="136" t="s">
        <v>7696</v>
      </c>
      <c r="G535" s="136">
        <v>532</v>
      </c>
      <c r="H535" s="136" t="s">
        <v>600</v>
      </c>
      <c r="I535" s="136" t="s">
        <v>601</v>
      </c>
      <c r="J535" s="136" t="s">
        <v>7697</v>
      </c>
      <c r="L535" s="136"/>
      <c r="M535" s="136"/>
      <c r="N535" s="136"/>
    </row>
    <row r="536" spans="6:14">
      <c r="F536" s="136" t="s">
        <v>7698</v>
      </c>
      <c r="G536" s="136">
        <v>533</v>
      </c>
      <c r="H536" s="136" t="s">
        <v>1285</v>
      </c>
      <c r="I536" s="136" t="s">
        <v>1286</v>
      </c>
      <c r="J536" s="136" t="s">
        <v>7699</v>
      </c>
      <c r="L536" s="136"/>
      <c r="M536" s="136"/>
      <c r="N536" s="136"/>
    </row>
    <row r="537" spans="6:14">
      <c r="F537" s="136" t="s">
        <v>7700</v>
      </c>
      <c r="G537" s="136">
        <v>534</v>
      </c>
      <c r="H537" s="136" t="s">
        <v>3548</v>
      </c>
      <c r="I537" s="136" t="s">
        <v>3549</v>
      </c>
      <c r="J537" s="136" t="s">
        <v>7701</v>
      </c>
      <c r="L537" s="136"/>
      <c r="M537" s="136"/>
      <c r="N537" s="136"/>
    </row>
    <row r="538" spans="6:14">
      <c r="F538" s="136" t="s">
        <v>7702</v>
      </c>
      <c r="G538" s="136">
        <v>535</v>
      </c>
      <c r="H538" s="136" t="s">
        <v>3391</v>
      </c>
      <c r="I538" s="136" t="s">
        <v>3392</v>
      </c>
      <c r="J538" s="136" t="s">
        <v>7703</v>
      </c>
      <c r="L538" s="136"/>
      <c r="M538" s="136"/>
      <c r="N538" s="136"/>
    </row>
    <row r="539" spans="6:14">
      <c r="F539" s="136" t="s">
        <v>7704</v>
      </c>
      <c r="G539" s="136">
        <v>536</v>
      </c>
      <c r="H539" s="136" t="s">
        <v>1878</v>
      </c>
      <c r="I539" s="136" t="s">
        <v>1879</v>
      </c>
      <c r="J539" s="136" t="s">
        <v>7705</v>
      </c>
      <c r="L539" s="136"/>
      <c r="M539" s="136"/>
      <c r="N539" s="136"/>
    </row>
    <row r="540" spans="6:14">
      <c r="F540" s="136" t="s">
        <v>7706</v>
      </c>
      <c r="G540" s="136">
        <v>537</v>
      </c>
      <c r="H540" s="136" t="s">
        <v>1864</v>
      </c>
      <c r="I540" s="136" t="s">
        <v>1865</v>
      </c>
      <c r="J540" s="136" t="s">
        <v>7707</v>
      </c>
      <c r="L540" s="136"/>
      <c r="M540" s="136"/>
      <c r="N540" s="136"/>
    </row>
    <row r="541" spans="6:14">
      <c r="F541" s="136" t="s">
        <v>7708</v>
      </c>
      <c r="G541" s="136">
        <v>538</v>
      </c>
      <c r="H541" s="136" t="s">
        <v>450</v>
      </c>
      <c r="I541" s="136" t="s">
        <v>451</v>
      </c>
      <c r="J541" s="136" t="s">
        <v>7709</v>
      </c>
      <c r="L541" s="136"/>
      <c r="M541" s="136"/>
      <c r="N541" s="136"/>
    </row>
    <row r="542" spans="6:14">
      <c r="F542" s="136" t="s">
        <v>7710</v>
      </c>
      <c r="G542" s="136">
        <v>539</v>
      </c>
      <c r="H542" s="136" t="s">
        <v>7711</v>
      </c>
      <c r="I542" s="136" t="s">
        <v>7712</v>
      </c>
      <c r="J542" s="136" t="s">
        <v>7713</v>
      </c>
      <c r="L542" s="136"/>
      <c r="M542" s="136"/>
      <c r="N542" s="136"/>
    </row>
    <row r="543" spans="6:14">
      <c r="F543" s="136" t="s">
        <v>7714</v>
      </c>
      <c r="G543" s="136">
        <v>540</v>
      </c>
      <c r="H543" s="136" t="s">
        <v>7715</v>
      </c>
      <c r="I543" s="136" t="s">
        <v>7716</v>
      </c>
      <c r="J543" s="136" t="s">
        <v>7717</v>
      </c>
      <c r="L543" s="136"/>
      <c r="M543" s="136"/>
      <c r="N543" s="136"/>
    </row>
    <row r="544" spans="6:14">
      <c r="F544" s="136" t="s">
        <v>7718</v>
      </c>
      <c r="G544" s="136">
        <v>541</v>
      </c>
      <c r="H544" s="136" t="s">
        <v>7719</v>
      </c>
      <c r="I544" s="136" t="s">
        <v>7720</v>
      </c>
      <c r="J544" s="136" t="s">
        <v>7721</v>
      </c>
      <c r="L544" s="136"/>
      <c r="M544" s="136"/>
      <c r="N544" s="136"/>
    </row>
    <row r="545" spans="6:14">
      <c r="F545" s="136" t="s">
        <v>7722</v>
      </c>
      <c r="G545" s="136">
        <v>542</v>
      </c>
      <c r="H545" s="136" t="s">
        <v>7723</v>
      </c>
      <c r="I545" s="136" t="s">
        <v>7724</v>
      </c>
      <c r="J545" s="136" t="s">
        <v>7725</v>
      </c>
      <c r="L545" s="136"/>
      <c r="M545" s="136"/>
      <c r="N545" s="136"/>
    </row>
    <row r="546" spans="6:14">
      <c r="F546" s="136" t="s">
        <v>7726</v>
      </c>
      <c r="G546" s="136">
        <v>543</v>
      </c>
      <c r="H546" s="136" t="s">
        <v>7727</v>
      </c>
      <c r="I546" s="136" t="s">
        <v>7728</v>
      </c>
      <c r="J546" s="136" t="s">
        <v>7729</v>
      </c>
      <c r="L546" s="136"/>
      <c r="M546" s="136"/>
      <c r="N546" s="136"/>
    </row>
    <row r="547" spans="6:14">
      <c r="F547" s="136" t="s">
        <v>7730</v>
      </c>
      <c r="G547" s="136">
        <v>544</v>
      </c>
      <c r="H547" s="136" t="s">
        <v>7731</v>
      </c>
      <c r="I547" s="136" t="s">
        <v>7732</v>
      </c>
      <c r="J547" s="136" t="s">
        <v>7733</v>
      </c>
      <c r="L547" s="136"/>
      <c r="M547" s="136"/>
      <c r="N547" s="136"/>
    </row>
    <row r="548" spans="6:14">
      <c r="F548" s="136" t="s">
        <v>7734</v>
      </c>
      <c r="G548" s="136">
        <v>545</v>
      </c>
      <c r="H548" s="136" t="s">
        <v>7735</v>
      </c>
      <c r="I548" s="136" t="s">
        <v>7736</v>
      </c>
      <c r="J548" s="136" t="s">
        <v>7737</v>
      </c>
      <c r="L548" s="136"/>
      <c r="M548" s="136"/>
      <c r="N548" s="136"/>
    </row>
    <row r="549" spans="6:14">
      <c r="F549" s="136" t="s">
        <v>7738</v>
      </c>
      <c r="G549" s="136">
        <v>546</v>
      </c>
      <c r="H549" s="136" t="s">
        <v>7739</v>
      </c>
      <c r="I549" s="136" t="s">
        <v>7740</v>
      </c>
      <c r="J549" s="136" t="s">
        <v>7741</v>
      </c>
      <c r="L549" s="136"/>
      <c r="M549" s="136"/>
      <c r="N549" s="136"/>
    </row>
    <row r="550" spans="6:14">
      <c r="F550" s="136" t="s">
        <v>7742</v>
      </c>
      <c r="G550" s="136">
        <v>547</v>
      </c>
      <c r="H550" s="136" t="s">
        <v>7743</v>
      </c>
      <c r="I550" s="136" t="s">
        <v>7744</v>
      </c>
      <c r="J550" s="136" t="s">
        <v>7745</v>
      </c>
      <c r="L550" s="136"/>
      <c r="M550" s="136"/>
      <c r="N550" s="136"/>
    </row>
    <row r="551" spans="6:14">
      <c r="F551" s="136" t="s">
        <v>7746</v>
      </c>
      <c r="G551" s="136">
        <v>548</v>
      </c>
      <c r="H551" s="136" t="s">
        <v>7747</v>
      </c>
      <c r="I551" s="136" t="s">
        <v>7748</v>
      </c>
      <c r="J551" s="136" t="s">
        <v>7749</v>
      </c>
      <c r="L551" s="136"/>
      <c r="M551" s="136"/>
      <c r="N551" s="136"/>
    </row>
    <row r="552" spans="6:14">
      <c r="F552" s="136" t="s">
        <v>7750</v>
      </c>
      <c r="G552" s="136">
        <v>549</v>
      </c>
      <c r="H552" s="136" t="s">
        <v>7751</v>
      </c>
      <c r="I552" s="136" t="s">
        <v>7752</v>
      </c>
      <c r="J552" s="136" t="s">
        <v>7753</v>
      </c>
      <c r="L552" s="136"/>
      <c r="M552" s="136"/>
      <c r="N552" s="136"/>
    </row>
    <row r="553" spans="6:14">
      <c r="F553" s="136" t="s">
        <v>7754</v>
      </c>
      <c r="G553" s="136">
        <v>550</v>
      </c>
      <c r="H553" s="136" t="s">
        <v>4263</v>
      </c>
      <c r="I553" s="136" t="s">
        <v>4263</v>
      </c>
      <c r="J553" s="136" t="s">
        <v>7755</v>
      </c>
      <c r="L553" s="136"/>
      <c r="M553" s="136"/>
      <c r="N553" s="136"/>
    </row>
    <row r="554" spans="6:14">
      <c r="F554" s="136" t="s">
        <v>7756</v>
      </c>
      <c r="G554" s="136">
        <v>551</v>
      </c>
      <c r="H554" s="136" t="s">
        <v>5881</v>
      </c>
      <c r="I554" s="136" t="s">
        <v>5882</v>
      </c>
      <c r="J554" s="136" t="s">
        <v>7757</v>
      </c>
      <c r="L554" s="136"/>
      <c r="M554" s="136"/>
      <c r="N554" s="136"/>
    </row>
    <row r="555" spans="6:14">
      <c r="F555" s="136" t="s">
        <v>7758</v>
      </c>
      <c r="G555" s="136">
        <v>552</v>
      </c>
      <c r="H555" s="136" t="s">
        <v>7759</v>
      </c>
      <c r="I555" s="136" t="s">
        <v>7760</v>
      </c>
      <c r="J555" s="136" t="s">
        <v>7761</v>
      </c>
      <c r="L555" s="136"/>
      <c r="M555" s="136"/>
      <c r="N555" s="136"/>
    </row>
    <row r="556" spans="6:14">
      <c r="F556" s="136" t="s">
        <v>7762</v>
      </c>
      <c r="G556" s="136">
        <v>553</v>
      </c>
      <c r="H556" s="136" t="s">
        <v>1608</v>
      </c>
      <c r="I556" s="136" t="s">
        <v>1609</v>
      </c>
      <c r="J556" s="136" t="s">
        <v>7763</v>
      </c>
      <c r="L556" s="136"/>
      <c r="M556" s="136"/>
      <c r="N556" s="136"/>
    </row>
    <row r="557" spans="6:14">
      <c r="F557" s="136" t="s">
        <v>7764</v>
      </c>
      <c r="G557" s="136">
        <v>554</v>
      </c>
      <c r="H557" s="136" t="s">
        <v>7765</v>
      </c>
      <c r="I557" s="136" t="s">
        <v>7766</v>
      </c>
      <c r="J557" s="136" t="s">
        <v>7767</v>
      </c>
      <c r="L557" s="136"/>
      <c r="M557" s="136"/>
      <c r="N557" s="136"/>
    </row>
    <row r="558" spans="6:14">
      <c r="F558" s="136" t="s">
        <v>7768</v>
      </c>
      <c r="G558" s="136">
        <v>555</v>
      </c>
      <c r="H558" s="136" t="s">
        <v>7769</v>
      </c>
      <c r="I558" s="136" t="s">
        <v>7770</v>
      </c>
      <c r="J558" s="136" t="s">
        <v>7771</v>
      </c>
      <c r="L558" s="136"/>
      <c r="M558" s="136"/>
      <c r="N558" s="136"/>
    </row>
    <row r="559" spans="6:14">
      <c r="F559" s="136" t="s">
        <v>7772</v>
      </c>
      <c r="G559" s="136">
        <v>556</v>
      </c>
      <c r="H559" s="136" t="s">
        <v>3178</v>
      </c>
      <c r="I559" s="136" t="s">
        <v>834</v>
      </c>
      <c r="J559" s="136" t="s">
        <v>7773</v>
      </c>
      <c r="L559" s="136"/>
      <c r="M559" s="136"/>
      <c r="N559" s="136"/>
    </row>
    <row r="560" spans="6:14">
      <c r="F560" s="136" t="s">
        <v>7774</v>
      </c>
      <c r="G560" s="136">
        <v>557</v>
      </c>
      <c r="H560" s="136" t="s">
        <v>3767</v>
      </c>
      <c r="I560" s="136" t="s">
        <v>3768</v>
      </c>
      <c r="J560" s="136" t="s">
        <v>7775</v>
      </c>
      <c r="L560" s="136"/>
      <c r="M560" s="136"/>
      <c r="N560" s="136"/>
    </row>
    <row r="561" spans="6:14">
      <c r="F561" s="136" t="s">
        <v>7776</v>
      </c>
      <c r="G561" s="136">
        <v>558</v>
      </c>
      <c r="H561" s="136" t="s">
        <v>7777</v>
      </c>
      <c r="I561" s="136" t="s">
        <v>7777</v>
      </c>
      <c r="J561" s="136" t="s">
        <v>7778</v>
      </c>
      <c r="L561" s="136"/>
      <c r="M561" s="136"/>
      <c r="N561" s="136"/>
    </row>
    <row r="562" spans="6:14">
      <c r="F562" s="136" t="s">
        <v>7779</v>
      </c>
      <c r="G562" s="136">
        <v>559</v>
      </c>
      <c r="H562" s="136" t="s">
        <v>490</v>
      </c>
      <c r="I562" s="136" t="s">
        <v>491</v>
      </c>
      <c r="J562" s="136" t="s">
        <v>7780</v>
      </c>
      <c r="L562" s="136"/>
      <c r="M562" s="136"/>
      <c r="N562" s="136"/>
    </row>
    <row r="563" spans="6:14">
      <c r="F563" s="136" t="s">
        <v>7781</v>
      </c>
      <c r="G563" s="136">
        <v>560</v>
      </c>
      <c r="H563" s="136" t="s">
        <v>271</v>
      </c>
      <c r="I563" s="136" t="s">
        <v>272</v>
      </c>
      <c r="J563" s="136" t="s">
        <v>7782</v>
      </c>
      <c r="L563" s="136"/>
      <c r="M563" s="136"/>
      <c r="N563" s="136"/>
    </row>
    <row r="564" spans="6:14">
      <c r="F564" s="136" t="s">
        <v>7783</v>
      </c>
      <c r="G564" s="136">
        <v>561</v>
      </c>
      <c r="H564" s="136" t="s">
        <v>3482</v>
      </c>
      <c r="I564" s="136" t="s">
        <v>3484</v>
      </c>
      <c r="J564" s="136" t="s">
        <v>7784</v>
      </c>
      <c r="L564" s="136"/>
      <c r="M564" s="136"/>
      <c r="N564" s="136"/>
    </row>
    <row r="565" spans="6:14">
      <c r="F565" s="136" t="s">
        <v>7785</v>
      </c>
      <c r="G565" s="136">
        <v>562</v>
      </c>
      <c r="H565" s="136" t="s">
        <v>7786</v>
      </c>
      <c r="I565" s="136" t="s">
        <v>7787</v>
      </c>
      <c r="J565" s="136" t="s">
        <v>7788</v>
      </c>
      <c r="L565" s="136"/>
      <c r="M565" s="136"/>
      <c r="N565" s="136"/>
    </row>
    <row r="566" spans="6:14">
      <c r="F566" s="136" t="s">
        <v>7789</v>
      </c>
      <c r="G566" s="136">
        <v>563</v>
      </c>
      <c r="H566" s="136" t="s">
        <v>2961</v>
      </c>
      <c r="I566" s="136" t="s">
        <v>2962</v>
      </c>
      <c r="J566" s="136" t="s">
        <v>7790</v>
      </c>
      <c r="L566" s="136"/>
      <c r="M566" s="136"/>
      <c r="N566" s="136"/>
    </row>
    <row r="567" spans="6:14">
      <c r="F567" s="136" t="s">
        <v>7791</v>
      </c>
      <c r="G567" s="136">
        <v>564</v>
      </c>
      <c r="H567" s="136" t="s">
        <v>7792</v>
      </c>
      <c r="I567" s="136" t="s">
        <v>7793</v>
      </c>
      <c r="J567" s="136" t="s">
        <v>7794</v>
      </c>
      <c r="L567" s="136"/>
      <c r="M567" s="136"/>
      <c r="N567" s="136"/>
    </row>
    <row r="568" spans="6:14">
      <c r="F568" s="136" t="s">
        <v>7795</v>
      </c>
      <c r="G568" s="136">
        <v>565</v>
      </c>
      <c r="H568" s="136" t="s">
        <v>7796</v>
      </c>
      <c r="I568" s="136" t="s">
        <v>7797</v>
      </c>
      <c r="J568" s="136" t="s">
        <v>7798</v>
      </c>
      <c r="L568" s="136"/>
      <c r="M568" s="136"/>
      <c r="N568" s="136"/>
    </row>
    <row r="569" spans="6:14">
      <c r="F569" s="136" t="s">
        <v>7799</v>
      </c>
      <c r="G569" s="136">
        <v>566</v>
      </c>
      <c r="H569" s="136" t="s">
        <v>482</v>
      </c>
      <c r="I569" s="136" t="s">
        <v>483</v>
      </c>
      <c r="J569" s="136" t="s">
        <v>7800</v>
      </c>
      <c r="L569" s="136"/>
      <c r="M569" s="136"/>
      <c r="N569" s="136"/>
    </row>
    <row r="570" spans="6:14">
      <c r="F570" s="136" t="s">
        <v>7801</v>
      </c>
      <c r="G570" s="136">
        <v>567</v>
      </c>
      <c r="H570" s="136" t="s">
        <v>7802</v>
      </c>
      <c r="I570" s="136" t="s">
        <v>7803</v>
      </c>
      <c r="J570" s="136" t="s">
        <v>7804</v>
      </c>
      <c r="L570" s="136"/>
      <c r="M570" s="136"/>
      <c r="N570" s="136"/>
    </row>
    <row r="571" spans="6:14">
      <c r="F571" s="136" t="s">
        <v>7805</v>
      </c>
      <c r="G571" s="136">
        <v>568</v>
      </c>
      <c r="H571" s="136" t="s">
        <v>2959</v>
      </c>
      <c r="I571" s="136" t="s">
        <v>2960</v>
      </c>
      <c r="J571" s="136" t="s">
        <v>7806</v>
      </c>
      <c r="L571" s="136"/>
      <c r="M571" s="136"/>
      <c r="N571" s="136"/>
    </row>
    <row r="572" spans="6:14">
      <c r="F572" s="136" t="s">
        <v>7807</v>
      </c>
      <c r="G572" s="136">
        <v>569</v>
      </c>
      <c r="H572" s="136" t="s">
        <v>2483</v>
      </c>
      <c r="I572" s="136" t="s">
        <v>2484</v>
      </c>
      <c r="J572" s="136" t="s">
        <v>7808</v>
      </c>
      <c r="L572" s="136"/>
      <c r="M572" s="136"/>
      <c r="N572" s="136"/>
    </row>
    <row r="573" spans="6:14">
      <c r="F573" s="136" t="s">
        <v>7809</v>
      </c>
      <c r="G573" s="136">
        <v>570</v>
      </c>
      <c r="H573" s="136" t="s">
        <v>7810</v>
      </c>
      <c r="I573" s="136" t="s">
        <v>7811</v>
      </c>
      <c r="J573" s="136" t="s">
        <v>7812</v>
      </c>
      <c r="L573" s="136"/>
      <c r="M573" s="136"/>
      <c r="N573" s="136"/>
    </row>
    <row r="574" spans="6:14">
      <c r="F574" s="136" t="s">
        <v>7813</v>
      </c>
      <c r="G574" s="136">
        <v>571</v>
      </c>
      <c r="H574" s="136" t="s">
        <v>7814</v>
      </c>
      <c r="I574" s="136" t="s">
        <v>7815</v>
      </c>
      <c r="J574" s="136" t="s">
        <v>7816</v>
      </c>
      <c r="L574" s="136"/>
      <c r="M574" s="136"/>
      <c r="N574" s="136"/>
    </row>
    <row r="575" spans="6:14">
      <c r="F575" s="136" t="s">
        <v>7817</v>
      </c>
      <c r="G575" s="136">
        <v>572</v>
      </c>
      <c r="H575" s="136" t="s">
        <v>7818</v>
      </c>
      <c r="I575" s="136" t="s">
        <v>7819</v>
      </c>
      <c r="J575" s="136" t="s">
        <v>7820</v>
      </c>
      <c r="L575" s="136"/>
      <c r="M575" s="136"/>
      <c r="N575" s="136"/>
    </row>
    <row r="576" spans="6:14">
      <c r="F576" s="136" t="s">
        <v>7821</v>
      </c>
      <c r="G576" s="136">
        <v>573</v>
      </c>
      <c r="H576" s="136" t="s">
        <v>7822</v>
      </c>
      <c r="I576" s="136" t="s">
        <v>7823</v>
      </c>
      <c r="J576" s="136" t="s">
        <v>7824</v>
      </c>
      <c r="L576" s="136"/>
      <c r="M576" s="136"/>
      <c r="N576" s="136"/>
    </row>
    <row r="577" spans="6:14">
      <c r="F577" s="136" t="s">
        <v>7825</v>
      </c>
      <c r="G577" s="136">
        <v>574</v>
      </c>
      <c r="H577" s="136" t="s">
        <v>5182</v>
      </c>
      <c r="I577" s="136" t="s">
        <v>5183</v>
      </c>
      <c r="J577" s="136" t="s">
        <v>7826</v>
      </c>
      <c r="L577" s="136"/>
      <c r="M577" s="136"/>
      <c r="N577" s="136"/>
    </row>
    <row r="578" spans="6:14">
      <c r="F578" s="136" t="s">
        <v>7827</v>
      </c>
      <c r="G578" s="136">
        <v>575</v>
      </c>
      <c r="H578" s="136" t="s">
        <v>7828</v>
      </c>
      <c r="I578" s="136" t="s">
        <v>7829</v>
      </c>
      <c r="J578" s="136" t="s">
        <v>7830</v>
      </c>
      <c r="L578" s="136"/>
      <c r="M578" s="136"/>
      <c r="N578" s="136"/>
    </row>
    <row r="579" spans="6:14">
      <c r="F579" s="136" t="s">
        <v>7831</v>
      </c>
      <c r="G579" s="136">
        <v>576</v>
      </c>
      <c r="H579" s="136" t="s">
        <v>4937</v>
      </c>
      <c r="I579" s="136" t="s">
        <v>4938</v>
      </c>
      <c r="J579" s="136" t="s">
        <v>7832</v>
      </c>
      <c r="L579" s="136"/>
      <c r="M579" s="136"/>
      <c r="N579" s="136"/>
    </row>
    <row r="580" spans="6:14">
      <c r="F580" s="136" t="s">
        <v>7833</v>
      </c>
      <c r="G580" s="136">
        <v>577</v>
      </c>
      <c r="H580" s="136" t="s">
        <v>2445</v>
      </c>
      <c r="I580" s="136" t="s">
        <v>2446</v>
      </c>
      <c r="J580" s="136" t="s">
        <v>7834</v>
      </c>
      <c r="L580" s="136"/>
      <c r="M580" s="136"/>
      <c r="N580" s="136"/>
    </row>
    <row r="581" spans="6:14">
      <c r="F581" s="136" t="s">
        <v>7835</v>
      </c>
      <c r="G581" s="136">
        <v>578</v>
      </c>
      <c r="H581" s="136" t="s">
        <v>7836</v>
      </c>
      <c r="I581" s="136" t="s">
        <v>7837</v>
      </c>
      <c r="J581" s="136" t="s">
        <v>7838</v>
      </c>
      <c r="L581" s="136"/>
      <c r="M581" s="136"/>
      <c r="N581" s="136"/>
    </row>
    <row r="582" spans="6:14">
      <c r="F582" s="136" t="s">
        <v>7839</v>
      </c>
      <c r="G582" s="136">
        <v>579</v>
      </c>
      <c r="H582" s="136" t="s">
        <v>7840</v>
      </c>
      <c r="I582" s="136" t="s">
        <v>7841</v>
      </c>
      <c r="J582" s="136" t="s">
        <v>7842</v>
      </c>
      <c r="L582" s="136"/>
      <c r="M582" s="136"/>
      <c r="N582" s="136"/>
    </row>
    <row r="583" spans="6:14">
      <c r="F583" s="136" t="s">
        <v>7843</v>
      </c>
      <c r="G583" s="136">
        <v>580</v>
      </c>
      <c r="H583" s="136" t="s">
        <v>7844</v>
      </c>
      <c r="I583" s="136" t="s">
        <v>7844</v>
      </c>
      <c r="J583" s="136" t="s">
        <v>7845</v>
      </c>
      <c r="L583" s="136"/>
      <c r="M583" s="136"/>
      <c r="N583" s="136"/>
    </row>
    <row r="584" spans="6:14">
      <c r="F584" s="136" t="s">
        <v>7846</v>
      </c>
      <c r="G584" s="136">
        <v>581</v>
      </c>
      <c r="H584" s="136" t="s">
        <v>494</v>
      </c>
      <c r="I584" s="136" t="s">
        <v>495</v>
      </c>
      <c r="J584" s="136" t="s">
        <v>7847</v>
      </c>
      <c r="L584" s="136"/>
      <c r="M584" s="136"/>
      <c r="N584" s="136"/>
    </row>
    <row r="585" spans="6:14">
      <c r="F585" s="136" t="s">
        <v>7848</v>
      </c>
      <c r="G585" s="136">
        <v>582</v>
      </c>
      <c r="H585" s="136" t="s">
        <v>2880</v>
      </c>
      <c r="I585" s="136" t="s">
        <v>2881</v>
      </c>
      <c r="J585" s="136" t="s">
        <v>7849</v>
      </c>
      <c r="L585" s="136"/>
      <c r="M585" s="136"/>
      <c r="N585" s="136"/>
    </row>
    <row r="586" spans="6:14">
      <c r="F586" s="136" t="s">
        <v>7850</v>
      </c>
      <c r="G586" s="136">
        <v>583</v>
      </c>
      <c r="H586" s="136" t="s">
        <v>4292</v>
      </c>
      <c r="I586" s="136" t="s">
        <v>4293</v>
      </c>
      <c r="J586" s="136" t="s">
        <v>7851</v>
      </c>
      <c r="L586" s="136"/>
      <c r="M586" s="136"/>
      <c r="N586" s="136"/>
    </row>
    <row r="587" spans="6:14">
      <c r="F587" s="136" t="s">
        <v>7852</v>
      </c>
      <c r="G587" s="136">
        <v>584</v>
      </c>
      <c r="H587" s="136" t="s">
        <v>7853</v>
      </c>
      <c r="I587" s="136" t="s">
        <v>7854</v>
      </c>
      <c r="J587" s="136" t="s">
        <v>7855</v>
      </c>
      <c r="L587" s="136"/>
      <c r="M587" s="136"/>
      <c r="N587" s="136"/>
    </row>
    <row r="588" spans="6:14">
      <c r="F588" s="136" t="s">
        <v>7856</v>
      </c>
      <c r="G588" s="136">
        <v>585</v>
      </c>
      <c r="H588" s="136" t="s">
        <v>5822</v>
      </c>
      <c r="I588" s="136" t="s">
        <v>5823</v>
      </c>
      <c r="J588" s="136" t="s">
        <v>7857</v>
      </c>
      <c r="L588" s="136"/>
      <c r="M588" s="136"/>
      <c r="N588" s="136"/>
    </row>
    <row r="589" spans="6:14">
      <c r="F589" s="136" t="s">
        <v>7858</v>
      </c>
      <c r="G589" s="136">
        <v>586</v>
      </c>
      <c r="H589" s="136" t="s">
        <v>2818</v>
      </c>
      <c r="I589" s="136" t="s">
        <v>2821</v>
      </c>
      <c r="J589" s="136" t="s">
        <v>7859</v>
      </c>
      <c r="L589" s="136"/>
      <c r="M589" s="136"/>
      <c r="N589" s="136"/>
    </row>
    <row r="590" spans="6:14">
      <c r="F590" s="136" t="s">
        <v>7860</v>
      </c>
      <c r="G590" s="136">
        <v>587</v>
      </c>
      <c r="H590" s="136" t="s">
        <v>7861</v>
      </c>
      <c r="I590" s="136" t="s">
        <v>7862</v>
      </c>
      <c r="J590" s="136" t="s">
        <v>7863</v>
      </c>
      <c r="L590" s="136"/>
      <c r="M590" s="136"/>
      <c r="N590" s="136"/>
    </row>
    <row r="591" spans="6:14">
      <c r="F591" s="136" t="s">
        <v>7864</v>
      </c>
      <c r="G591" s="136">
        <v>588</v>
      </c>
      <c r="H591" s="136" t="s">
        <v>5146</v>
      </c>
      <c r="I591" s="136" t="s">
        <v>5147</v>
      </c>
      <c r="J591" s="136" t="s">
        <v>7865</v>
      </c>
      <c r="L591" s="136"/>
      <c r="M591" s="136"/>
      <c r="N591" s="136"/>
    </row>
    <row r="592" spans="6:14">
      <c r="F592" s="136" t="s">
        <v>7866</v>
      </c>
      <c r="G592" s="136">
        <v>589</v>
      </c>
      <c r="H592" s="136" t="s">
        <v>7867</v>
      </c>
      <c r="I592" s="136" t="s">
        <v>7868</v>
      </c>
      <c r="J592" s="136" t="s">
        <v>7869</v>
      </c>
      <c r="L592" s="136"/>
      <c r="M592" s="136"/>
      <c r="N592" s="136"/>
    </row>
    <row r="593" spans="6:14">
      <c r="F593" s="136" t="s">
        <v>7870</v>
      </c>
      <c r="G593" s="136">
        <v>590</v>
      </c>
      <c r="H593" s="136" t="s">
        <v>7871</v>
      </c>
      <c r="I593" s="136" t="s">
        <v>7872</v>
      </c>
      <c r="J593" s="136" t="s">
        <v>7873</v>
      </c>
      <c r="L593" s="136"/>
      <c r="M593" s="136"/>
      <c r="N593" s="136"/>
    </row>
    <row r="594" spans="6:14">
      <c r="F594" s="136" t="s">
        <v>7874</v>
      </c>
      <c r="G594" s="136">
        <v>591</v>
      </c>
      <c r="H594" s="136" t="s">
        <v>7875</v>
      </c>
      <c r="I594" s="136" t="s">
        <v>7876</v>
      </c>
      <c r="J594" s="136" t="s">
        <v>7877</v>
      </c>
      <c r="L594" s="136"/>
      <c r="M594" s="136"/>
      <c r="N594" s="136"/>
    </row>
    <row r="595" spans="6:14">
      <c r="F595" s="136" t="s">
        <v>7878</v>
      </c>
      <c r="G595" s="136">
        <v>592</v>
      </c>
      <c r="H595" s="136" t="s">
        <v>7879</v>
      </c>
      <c r="I595" s="136" t="s">
        <v>7880</v>
      </c>
      <c r="J595" s="136" t="s">
        <v>7881</v>
      </c>
      <c r="L595" s="136"/>
      <c r="M595" s="136"/>
      <c r="N595" s="136"/>
    </row>
    <row r="596" spans="6:14">
      <c r="F596" s="136" t="s">
        <v>7882</v>
      </c>
      <c r="G596" s="136">
        <v>593</v>
      </c>
      <c r="H596" s="136" t="s">
        <v>2839</v>
      </c>
      <c r="I596" s="136" t="s">
        <v>2840</v>
      </c>
      <c r="J596" s="136" t="s">
        <v>7883</v>
      </c>
      <c r="L596" s="136"/>
      <c r="M596" s="136"/>
      <c r="N596" s="136"/>
    </row>
    <row r="597" spans="6:14">
      <c r="F597" s="136" t="s">
        <v>7884</v>
      </c>
      <c r="G597" s="136">
        <v>594</v>
      </c>
      <c r="H597" s="136" t="s">
        <v>7885</v>
      </c>
      <c r="I597" s="136" t="s">
        <v>7886</v>
      </c>
      <c r="J597" s="136" t="s">
        <v>7887</v>
      </c>
      <c r="L597" s="136"/>
      <c r="M597" s="136"/>
      <c r="N597" s="136"/>
    </row>
    <row r="598" spans="6:14">
      <c r="F598" s="136" t="s">
        <v>7888</v>
      </c>
      <c r="G598" s="136">
        <v>595</v>
      </c>
      <c r="H598" s="136" t="s">
        <v>7889</v>
      </c>
      <c r="I598" s="136" t="s">
        <v>7890</v>
      </c>
      <c r="J598" s="136" t="s">
        <v>7891</v>
      </c>
      <c r="L598" s="136"/>
      <c r="M598" s="136"/>
      <c r="N598" s="136"/>
    </row>
    <row r="599" spans="6:14">
      <c r="F599" s="136" t="s">
        <v>7892</v>
      </c>
      <c r="G599" s="136">
        <v>596</v>
      </c>
      <c r="H599" s="136" t="s">
        <v>7893</v>
      </c>
      <c r="I599" s="136" t="s">
        <v>7894</v>
      </c>
      <c r="J599" s="136" t="s">
        <v>7895</v>
      </c>
      <c r="L599" s="136"/>
      <c r="M599" s="136"/>
      <c r="N599" s="136"/>
    </row>
    <row r="600" spans="6:14">
      <c r="F600" s="136" t="s">
        <v>7896</v>
      </c>
      <c r="G600" s="136">
        <v>597</v>
      </c>
      <c r="H600" s="136" t="s">
        <v>5347</v>
      </c>
      <c r="I600" s="136" t="s">
        <v>5348</v>
      </c>
      <c r="J600" s="136" t="s">
        <v>7897</v>
      </c>
      <c r="L600" s="136"/>
      <c r="M600" s="136"/>
      <c r="N600" s="136"/>
    </row>
    <row r="601" spans="6:14">
      <c r="F601" s="136" t="s">
        <v>7898</v>
      </c>
      <c r="G601" s="136">
        <v>598</v>
      </c>
      <c r="H601" s="136" t="s">
        <v>7899</v>
      </c>
      <c r="I601" s="136" t="s">
        <v>7900</v>
      </c>
      <c r="J601" s="136" t="s">
        <v>7901</v>
      </c>
      <c r="L601" s="136"/>
      <c r="M601" s="136"/>
      <c r="N601" s="136"/>
    </row>
    <row r="602" spans="6:14">
      <c r="F602" s="136" t="s">
        <v>7902</v>
      </c>
      <c r="G602" s="136">
        <v>599</v>
      </c>
      <c r="H602" s="136" t="s">
        <v>7903</v>
      </c>
      <c r="I602" s="136" t="s">
        <v>7904</v>
      </c>
      <c r="J602" s="136" t="s">
        <v>7905</v>
      </c>
      <c r="L602" s="136"/>
      <c r="M602" s="136"/>
      <c r="N602" s="136"/>
    </row>
    <row r="603" spans="6:14">
      <c r="F603" s="136" t="s">
        <v>7906</v>
      </c>
      <c r="G603" s="136">
        <v>600</v>
      </c>
      <c r="H603" s="136" t="s">
        <v>602</v>
      </c>
      <c r="I603" s="136" t="s">
        <v>606</v>
      </c>
      <c r="J603" s="136" t="s">
        <v>7907</v>
      </c>
      <c r="L603" s="136"/>
      <c r="M603" s="136"/>
      <c r="N603" s="136"/>
    </row>
    <row r="604" spans="6:14">
      <c r="F604" s="136" t="s">
        <v>7908</v>
      </c>
      <c r="G604" s="136">
        <v>601</v>
      </c>
      <c r="H604" s="136" t="s">
        <v>7909</v>
      </c>
      <c r="I604" s="136" t="s">
        <v>7910</v>
      </c>
      <c r="J604" s="136" t="s">
        <v>7911</v>
      </c>
      <c r="L604" s="136"/>
      <c r="M604" s="136"/>
      <c r="N604" s="136"/>
    </row>
    <row r="605" spans="6:14">
      <c r="F605" s="136" t="s">
        <v>7912</v>
      </c>
      <c r="G605" s="136">
        <v>602</v>
      </c>
      <c r="H605" s="136" t="s">
        <v>7913</v>
      </c>
      <c r="I605" s="136" t="s">
        <v>7914</v>
      </c>
      <c r="J605" s="136" t="s">
        <v>7915</v>
      </c>
      <c r="L605" s="136"/>
      <c r="M605" s="136"/>
      <c r="N605" s="136"/>
    </row>
    <row r="606" spans="6:14">
      <c r="F606" s="136" t="s">
        <v>7916</v>
      </c>
      <c r="G606" s="136">
        <v>603</v>
      </c>
      <c r="H606" s="136" t="s">
        <v>2957</v>
      </c>
      <c r="I606" s="136" t="s">
        <v>2958</v>
      </c>
      <c r="J606" s="136" t="s">
        <v>7917</v>
      </c>
      <c r="L606" s="136"/>
      <c r="M606" s="136"/>
      <c r="N606" s="136"/>
    </row>
    <row r="607" spans="6:14">
      <c r="F607" s="136" t="s">
        <v>7918</v>
      </c>
      <c r="G607" s="136">
        <v>604</v>
      </c>
      <c r="H607" s="136" t="s">
        <v>2634</v>
      </c>
      <c r="I607" s="136" t="s">
        <v>2635</v>
      </c>
      <c r="J607" s="136" t="s">
        <v>7919</v>
      </c>
      <c r="L607" s="136"/>
      <c r="M607" s="136"/>
      <c r="N607" s="136"/>
    </row>
    <row r="608" spans="6:14">
      <c r="F608" s="136" t="s">
        <v>7920</v>
      </c>
      <c r="G608" s="136">
        <v>605</v>
      </c>
      <c r="H608" s="136" t="s">
        <v>4830</v>
      </c>
      <c r="I608" s="136" t="s">
        <v>4831</v>
      </c>
      <c r="J608" s="136" t="s">
        <v>7921</v>
      </c>
      <c r="L608" s="136"/>
      <c r="M608" s="136"/>
      <c r="N608" s="136"/>
    </row>
    <row r="609" spans="6:14">
      <c r="F609" s="136" t="s">
        <v>7922</v>
      </c>
      <c r="G609" s="136">
        <v>606</v>
      </c>
      <c r="H609" s="136" t="s">
        <v>7923</v>
      </c>
      <c r="I609" s="136" t="s">
        <v>7924</v>
      </c>
      <c r="J609" s="136" t="s">
        <v>7925</v>
      </c>
      <c r="L609" s="136"/>
      <c r="M609" s="136"/>
      <c r="N609" s="136"/>
    </row>
    <row r="610" spans="6:14">
      <c r="F610" s="136" t="s">
        <v>7926</v>
      </c>
      <c r="G610" s="136">
        <v>607</v>
      </c>
      <c r="H610" s="136" t="s">
        <v>2951</v>
      </c>
      <c r="I610" s="136" t="s">
        <v>2952</v>
      </c>
      <c r="J610" s="136" t="s">
        <v>7927</v>
      </c>
      <c r="L610" s="136"/>
      <c r="M610" s="136"/>
      <c r="N610" s="136"/>
    </row>
    <row r="611" spans="6:14">
      <c r="F611" s="136" t="s">
        <v>7928</v>
      </c>
      <c r="G611" s="136">
        <v>608</v>
      </c>
      <c r="H611" s="136" t="s">
        <v>4982</v>
      </c>
      <c r="I611" s="136" t="s">
        <v>4984</v>
      </c>
      <c r="J611" s="136" t="s">
        <v>7929</v>
      </c>
      <c r="L611" s="136"/>
      <c r="M611" s="136"/>
      <c r="N611" s="136"/>
    </row>
    <row r="612" spans="6:14">
      <c r="F612" s="136" t="s">
        <v>7930</v>
      </c>
      <c r="G612" s="136">
        <v>609</v>
      </c>
      <c r="H612" s="136" t="s">
        <v>3800</v>
      </c>
      <c r="I612" s="136" t="s">
        <v>3801</v>
      </c>
      <c r="J612" s="136" t="s">
        <v>7931</v>
      </c>
      <c r="L612" s="136"/>
      <c r="M612" s="136"/>
      <c r="N612" s="136"/>
    </row>
    <row r="613" spans="6:14">
      <c r="F613" s="136" t="s">
        <v>7932</v>
      </c>
      <c r="G613" s="136">
        <v>610</v>
      </c>
      <c r="H613" s="136" t="s">
        <v>178</v>
      </c>
      <c r="I613" s="136" t="s">
        <v>179</v>
      </c>
      <c r="J613" s="136" t="s">
        <v>7933</v>
      </c>
      <c r="L613" s="136"/>
      <c r="M613" s="136"/>
      <c r="N613" s="136"/>
    </row>
    <row r="614" spans="6:14">
      <c r="F614" s="136" t="s">
        <v>7934</v>
      </c>
      <c r="G614" s="136">
        <v>611</v>
      </c>
      <c r="H614" s="136" t="s">
        <v>1701</v>
      </c>
      <c r="I614" s="136" t="s">
        <v>1702</v>
      </c>
      <c r="J614" s="136" t="s">
        <v>7935</v>
      </c>
      <c r="L614" s="136"/>
      <c r="M614" s="136"/>
      <c r="N614" s="136"/>
    </row>
    <row r="615" spans="6:14">
      <c r="F615" s="136" t="s">
        <v>7936</v>
      </c>
      <c r="G615" s="136">
        <v>612</v>
      </c>
      <c r="H615" s="136" t="s">
        <v>7937</v>
      </c>
      <c r="I615" s="136" t="s">
        <v>7938</v>
      </c>
      <c r="J615" s="136" t="s">
        <v>7939</v>
      </c>
      <c r="L615" s="136"/>
      <c r="M615" s="136"/>
      <c r="N615" s="136"/>
    </row>
    <row r="616" spans="6:14">
      <c r="F616" s="136" t="s">
        <v>7940</v>
      </c>
      <c r="G616" s="136">
        <v>613</v>
      </c>
      <c r="H616" s="136" t="s">
        <v>969</v>
      </c>
      <c r="I616" s="136" t="s">
        <v>970</v>
      </c>
      <c r="J616" s="136" t="s">
        <v>7941</v>
      </c>
      <c r="L616" s="136"/>
      <c r="M616" s="136"/>
      <c r="N616" s="136"/>
    </row>
    <row r="617" spans="6:14">
      <c r="F617" s="136" t="s">
        <v>7942</v>
      </c>
      <c r="G617" s="136">
        <v>614</v>
      </c>
      <c r="H617" s="136" t="s">
        <v>7943</v>
      </c>
      <c r="I617" s="136" t="s">
        <v>7944</v>
      </c>
      <c r="J617" s="136" t="s">
        <v>7945</v>
      </c>
      <c r="L617" s="136"/>
      <c r="M617" s="136"/>
      <c r="N617" s="136"/>
    </row>
    <row r="618" spans="6:14">
      <c r="F618" s="136" t="s">
        <v>7946</v>
      </c>
      <c r="G618" s="136">
        <v>615</v>
      </c>
      <c r="H618" s="136" t="s">
        <v>2443</v>
      </c>
      <c r="I618" s="136" t="s">
        <v>2444</v>
      </c>
      <c r="J618" s="136" t="s">
        <v>7947</v>
      </c>
      <c r="L618" s="136"/>
      <c r="M618" s="136"/>
      <c r="N618" s="136"/>
    </row>
    <row r="619" spans="6:14">
      <c r="F619" s="136" t="s">
        <v>7948</v>
      </c>
      <c r="G619" s="136">
        <v>616</v>
      </c>
      <c r="H619" s="136" t="s">
        <v>2786</v>
      </c>
      <c r="I619" s="136" t="s">
        <v>2787</v>
      </c>
      <c r="J619" s="136" t="s">
        <v>7949</v>
      </c>
      <c r="L619" s="136"/>
      <c r="M619" s="136"/>
      <c r="N619" s="136"/>
    </row>
    <row r="620" spans="6:14">
      <c r="F620" s="136" t="s">
        <v>7950</v>
      </c>
      <c r="G620" s="136">
        <v>617</v>
      </c>
      <c r="H620" s="136" t="s">
        <v>7951</v>
      </c>
      <c r="I620" s="136" t="s">
        <v>7952</v>
      </c>
      <c r="J620" s="136" t="s">
        <v>7953</v>
      </c>
      <c r="L620" s="136"/>
      <c r="M620" s="136"/>
      <c r="N620" s="136"/>
    </row>
    <row r="621" spans="6:14">
      <c r="F621" s="136" t="s">
        <v>7954</v>
      </c>
      <c r="G621" s="136">
        <v>618</v>
      </c>
      <c r="H621" s="136" t="s">
        <v>5953</v>
      </c>
      <c r="I621" s="136" t="s">
        <v>5954</v>
      </c>
      <c r="J621" s="136" t="s">
        <v>7955</v>
      </c>
      <c r="L621" s="136"/>
      <c r="M621" s="136"/>
      <c r="N621" s="136"/>
    </row>
    <row r="622" spans="6:14">
      <c r="F622" s="136" t="s">
        <v>7956</v>
      </c>
      <c r="G622" s="136">
        <v>619</v>
      </c>
      <c r="H622" s="136" t="s">
        <v>5666</v>
      </c>
      <c r="I622" s="136" t="s">
        <v>5667</v>
      </c>
      <c r="J622" s="136" t="s">
        <v>7957</v>
      </c>
      <c r="L622" s="136"/>
      <c r="M622" s="136"/>
      <c r="N622" s="136"/>
    </row>
    <row r="623" spans="6:14">
      <c r="F623" s="136" t="s">
        <v>7958</v>
      </c>
      <c r="G623" s="136">
        <v>620</v>
      </c>
      <c r="H623" s="136" t="s">
        <v>2030</v>
      </c>
      <c r="I623" s="136" t="s">
        <v>2031</v>
      </c>
      <c r="J623" s="136" t="s">
        <v>7959</v>
      </c>
      <c r="L623" s="136"/>
      <c r="M623" s="136"/>
      <c r="N623" s="136"/>
    </row>
    <row r="624" spans="6:14">
      <c r="F624" s="136" t="s">
        <v>7960</v>
      </c>
      <c r="G624" s="136">
        <v>621</v>
      </c>
      <c r="H624" s="136" t="s">
        <v>5111</v>
      </c>
      <c r="I624" s="136" t="s">
        <v>5112</v>
      </c>
      <c r="J624" s="136" t="s">
        <v>7961</v>
      </c>
      <c r="L624" s="136"/>
      <c r="M624" s="136"/>
      <c r="N624" s="136"/>
    </row>
    <row r="625" spans="6:14">
      <c r="F625" s="136" t="s">
        <v>7962</v>
      </c>
      <c r="G625" s="136">
        <v>622</v>
      </c>
      <c r="H625" s="136" t="s">
        <v>4754</v>
      </c>
      <c r="I625" s="136" t="s">
        <v>4755</v>
      </c>
      <c r="J625" s="136" t="s">
        <v>7963</v>
      </c>
      <c r="L625" s="136"/>
      <c r="M625" s="136"/>
      <c r="N625" s="136"/>
    </row>
    <row r="626" spans="6:14">
      <c r="F626" s="136" t="s">
        <v>7964</v>
      </c>
      <c r="G626" s="136">
        <v>623</v>
      </c>
      <c r="H626" s="136" t="s">
        <v>7965</v>
      </c>
      <c r="I626" s="136" t="s">
        <v>7966</v>
      </c>
      <c r="J626" s="136" t="s">
        <v>7967</v>
      </c>
      <c r="L626" s="136"/>
      <c r="M626" s="136"/>
      <c r="N626" s="136"/>
    </row>
    <row r="627" spans="6:14">
      <c r="F627" s="136" t="s">
        <v>7968</v>
      </c>
      <c r="G627" s="136">
        <v>624</v>
      </c>
      <c r="H627" s="136" t="s">
        <v>3784</v>
      </c>
      <c r="I627" s="136" t="s">
        <v>3785</v>
      </c>
      <c r="J627" s="136" t="s">
        <v>7969</v>
      </c>
      <c r="L627" s="136"/>
      <c r="M627" s="136"/>
      <c r="N627" s="136"/>
    </row>
    <row r="628" spans="6:14">
      <c r="F628" s="136" t="s">
        <v>7970</v>
      </c>
      <c r="G628" s="136">
        <v>625</v>
      </c>
      <c r="H628" s="136" t="s">
        <v>614</v>
      </c>
      <c r="I628" s="136" t="s">
        <v>615</v>
      </c>
      <c r="J628" s="136" t="s">
        <v>7971</v>
      </c>
      <c r="L628" s="136"/>
      <c r="M628" s="136"/>
      <c r="N628" s="136"/>
    </row>
    <row r="629" spans="6:14">
      <c r="F629" s="136" t="s">
        <v>7972</v>
      </c>
      <c r="G629" s="136">
        <v>626</v>
      </c>
      <c r="H629" s="136" t="s">
        <v>2338</v>
      </c>
      <c r="I629" s="136" t="s">
        <v>2339</v>
      </c>
      <c r="J629" s="136" t="s">
        <v>7973</v>
      </c>
      <c r="L629" s="136"/>
      <c r="M629" s="136"/>
      <c r="N629" s="136"/>
    </row>
    <row r="630" spans="6:14">
      <c r="F630" s="136" t="s">
        <v>7974</v>
      </c>
      <c r="G630" s="136">
        <v>627</v>
      </c>
      <c r="H630" s="136" t="s">
        <v>2418</v>
      </c>
      <c r="I630" s="136" t="s">
        <v>2419</v>
      </c>
      <c r="J630" s="136" t="s">
        <v>7975</v>
      </c>
      <c r="L630" s="136"/>
      <c r="M630" s="136"/>
      <c r="N630" s="136"/>
    </row>
    <row r="631" spans="6:14">
      <c r="F631" s="136" t="s">
        <v>7976</v>
      </c>
      <c r="G631" s="136">
        <v>628</v>
      </c>
      <c r="H631" s="136" t="s">
        <v>1401</v>
      </c>
      <c r="I631" s="136" t="s">
        <v>1402</v>
      </c>
      <c r="J631" s="136" t="s">
        <v>7977</v>
      </c>
      <c r="L631" s="136"/>
      <c r="M631" s="136"/>
      <c r="N631" s="136"/>
    </row>
    <row r="632" spans="6:14">
      <c r="F632" s="136" t="s">
        <v>7978</v>
      </c>
      <c r="G632" s="136">
        <v>629</v>
      </c>
      <c r="H632" s="136" t="s">
        <v>2666</v>
      </c>
      <c r="I632" s="136" t="s">
        <v>2667</v>
      </c>
      <c r="J632" s="136" t="s">
        <v>7979</v>
      </c>
      <c r="L632" s="136"/>
      <c r="M632" s="136"/>
      <c r="N632" s="136"/>
    </row>
    <row r="633" spans="6:14">
      <c r="F633" s="136" t="s">
        <v>7980</v>
      </c>
      <c r="G633" s="136">
        <v>630</v>
      </c>
      <c r="H633" s="136" t="s">
        <v>2890</v>
      </c>
      <c r="I633" s="136" t="s">
        <v>2891</v>
      </c>
      <c r="J633" s="136" t="s">
        <v>7981</v>
      </c>
      <c r="L633" s="136"/>
      <c r="M633" s="136"/>
      <c r="N633" s="136"/>
    </row>
    <row r="634" spans="6:14">
      <c r="F634" s="136" t="s">
        <v>7982</v>
      </c>
      <c r="G634" s="136">
        <v>631</v>
      </c>
      <c r="H634" s="136" t="s">
        <v>3185</v>
      </c>
      <c r="I634" s="136" t="s">
        <v>3186</v>
      </c>
      <c r="J634" s="136" t="s">
        <v>7983</v>
      </c>
      <c r="L634" s="136"/>
      <c r="M634" s="136"/>
      <c r="N634" s="136"/>
    </row>
    <row r="635" spans="6:14">
      <c r="F635" s="136" t="s">
        <v>7984</v>
      </c>
      <c r="G635" s="136">
        <v>632</v>
      </c>
      <c r="H635" s="136" t="s">
        <v>4870</v>
      </c>
      <c r="I635" s="136" t="s">
        <v>4871</v>
      </c>
      <c r="J635" s="136" t="s">
        <v>7985</v>
      </c>
      <c r="L635" s="136"/>
      <c r="M635" s="136"/>
      <c r="N635" s="136"/>
    </row>
    <row r="636" spans="6:14">
      <c r="F636" s="136" t="s">
        <v>7986</v>
      </c>
      <c r="G636" s="136">
        <v>633</v>
      </c>
      <c r="H636" s="136" t="s">
        <v>4794</v>
      </c>
      <c r="I636" s="136" t="s">
        <v>4795</v>
      </c>
      <c r="J636" s="136" t="s">
        <v>7987</v>
      </c>
      <c r="L636" s="136"/>
      <c r="M636" s="136"/>
      <c r="N636" s="136"/>
    </row>
    <row r="637" spans="6:14">
      <c r="F637" s="136" t="s">
        <v>7988</v>
      </c>
      <c r="G637" s="136">
        <v>634</v>
      </c>
      <c r="H637" s="136" t="s">
        <v>7989</v>
      </c>
      <c r="I637" s="136" t="s">
        <v>7990</v>
      </c>
      <c r="J637" s="136" t="s">
        <v>7991</v>
      </c>
      <c r="L637" s="136"/>
      <c r="M637" s="136"/>
      <c r="N637" s="136"/>
    </row>
    <row r="638" spans="6:14">
      <c r="F638" s="136" t="s">
        <v>7992</v>
      </c>
      <c r="G638" s="136">
        <v>635</v>
      </c>
      <c r="H638" s="136" t="s">
        <v>7993</v>
      </c>
      <c r="I638" s="136" t="s">
        <v>7994</v>
      </c>
      <c r="J638" s="136" t="s">
        <v>7995</v>
      </c>
      <c r="L638" s="136"/>
      <c r="M638" s="136"/>
      <c r="N638" s="136"/>
    </row>
    <row r="639" spans="6:14">
      <c r="F639" s="136" t="s">
        <v>7996</v>
      </c>
      <c r="G639" s="136">
        <v>636</v>
      </c>
      <c r="H639" s="136" t="s">
        <v>364</v>
      </c>
      <c r="I639" s="136" t="s">
        <v>365</v>
      </c>
      <c r="J639" s="136" t="s">
        <v>7997</v>
      </c>
      <c r="L639" s="136"/>
      <c r="M639" s="136"/>
      <c r="N639" s="136"/>
    </row>
    <row r="640" spans="6:14">
      <c r="F640" s="136" t="s">
        <v>7998</v>
      </c>
      <c r="G640" s="136">
        <v>637</v>
      </c>
      <c r="H640" s="136" t="s">
        <v>7999</v>
      </c>
      <c r="I640" s="136" t="s">
        <v>8000</v>
      </c>
      <c r="J640" s="136" t="s">
        <v>8001</v>
      </c>
      <c r="L640" s="136"/>
      <c r="M640" s="136"/>
      <c r="N640" s="136"/>
    </row>
    <row r="641" spans="6:14">
      <c r="F641" s="136" t="s">
        <v>8002</v>
      </c>
      <c r="G641" s="136">
        <v>638</v>
      </c>
      <c r="H641" s="136" t="s">
        <v>8003</v>
      </c>
      <c r="I641" s="136" t="s">
        <v>8004</v>
      </c>
      <c r="J641" s="136" t="s">
        <v>8005</v>
      </c>
      <c r="L641" s="136"/>
      <c r="M641" s="136"/>
      <c r="N641" s="136"/>
    </row>
    <row r="642" spans="6:14">
      <c r="F642" s="136" t="s">
        <v>8006</v>
      </c>
      <c r="G642" s="136">
        <v>639</v>
      </c>
      <c r="H642" s="136" t="s">
        <v>548</v>
      </c>
      <c r="I642" s="136" t="s">
        <v>555</v>
      </c>
      <c r="J642" s="136" t="s">
        <v>8007</v>
      </c>
      <c r="L642" s="136"/>
      <c r="M642" s="136"/>
      <c r="N642" s="136"/>
    </row>
    <row r="643" spans="6:14">
      <c r="F643" s="136" t="s">
        <v>8008</v>
      </c>
      <c r="G643" s="136">
        <v>640</v>
      </c>
      <c r="H643" s="136" t="s">
        <v>4141</v>
      </c>
      <c r="I643" s="136" t="s">
        <v>4142</v>
      </c>
      <c r="J643" s="136" t="s">
        <v>8009</v>
      </c>
      <c r="L643" s="136"/>
      <c r="M643" s="136"/>
      <c r="N643" s="136"/>
    </row>
    <row r="644" spans="6:14">
      <c r="F644" s="136" t="s">
        <v>8010</v>
      </c>
      <c r="G644" s="136">
        <v>641</v>
      </c>
      <c r="H644" s="136" t="s">
        <v>4141</v>
      </c>
      <c r="I644" s="136" t="s">
        <v>4142</v>
      </c>
      <c r="J644" s="136" t="s">
        <v>8011</v>
      </c>
      <c r="L644" s="136"/>
      <c r="M644" s="136"/>
      <c r="N644" s="136"/>
    </row>
    <row r="645" spans="6:14">
      <c r="F645" s="136" t="s">
        <v>8012</v>
      </c>
      <c r="G645" s="136">
        <v>642</v>
      </c>
      <c r="H645" s="136" t="s">
        <v>1528</v>
      </c>
      <c r="I645" s="136" t="s">
        <v>1529</v>
      </c>
      <c r="J645" s="136" t="s">
        <v>8013</v>
      </c>
      <c r="L645" s="136"/>
      <c r="M645" s="136"/>
      <c r="N645" s="136"/>
    </row>
    <row r="646" spans="6:14">
      <c r="F646" s="136" t="s">
        <v>8014</v>
      </c>
      <c r="G646" s="136">
        <v>643</v>
      </c>
      <c r="H646" s="136" t="s">
        <v>1926</v>
      </c>
      <c r="I646" s="136" t="s">
        <v>1927</v>
      </c>
      <c r="J646" s="136" t="s">
        <v>8015</v>
      </c>
      <c r="L646" s="136"/>
      <c r="M646" s="136"/>
      <c r="N646" s="136"/>
    </row>
    <row r="647" spans="6:14">
      <c r="F647" s="136" t="s">
        <v>8016</v>
      </c>
      <c r="G647" s="136">
        <v>644</v>
      </c>
      <c r="H647" s="136" t="s">
        <v>4706</v>
      </c>
      <c r="I647" s="136" t="s">
        <v>4707</v>
      </c>
      <c r="J647" s="136" t="s">
        <v>8017</v>
      </c>
      <c r="L647" s="136"/>
      <c r="M647" s="136"/>
      <c r="N647" s="136"/>
    </row>
    <row r="648" spans="6:14">
      <c r="F648" s="136" t="s">
        <v>8018</v>
      </c>
      <c r="G648" s="136">
        <v>645</v>
      </c>
      <c r="H648" s="136" t="s">
        <v>5885</v>
      </c>
      <c r="I648" s="136" t="s">
        <v>5886</v>
      </c>
      <c r="J648" s="136" t="s">
        <v>8019</v>
      </c>
      <c r="L648" s="136"/>
      <c r="M648" s="136"/>
      <c r="N648" s="136"/>
    </row>
    <row r="649" spans="6:14">
      <c r="F649" s="136" t="s">
        <v>8020</v>
      </c>
      <c r="G649" s="136">
        <v>646</v>
      </c>
      <c r="H649" s="136" t="s">
        <v>4441</v>
      </c>
      <c r="I649" s="136" t="s">
        <v>4442</v>
      </c>
      <c r="J649" s="136" t="s">
        <v>8021</v>
      </c>
      <c r="L649" s="136"/>
      <c r="M649" s="136"/>
      <c r="N649" s="136"/>
    </row>
    <row r="650" spans="6:14">
      <c r="F650" s="136" t="s">
        <v>8022</v>
      </c>
      <c r="G650" s="136">
        <v>647</v>
      </c>
      <c r="H650" s="136" t="s">
        <v>1059</v>
      </c>
      <c r="I650" s="136" t="s">
        <v>1060</v>
      </c>
      <c r="J650" s="136" t="s">
        <v>8023</v>
      </c>
      <c r="L650" s="136"/>
      <c r="M650" s="136"/>
      <c r="N650" s="136"/>
    </row>
    <row r="651" spans="6:14">
      <c r="F651" s="136" t="s">
        <v>8024</v>
      </c>
      <c r="G651" s="136">
        <v>648</v>
      </c>
      <c r="H651" s="136" t="s">
        <v>5773</v>
      </c>
      <c r="I651" s="136" t="s">
        <v>5774</v>
      </c>
      <c r="J651" s="136" t="s">
        <v>8025</v>
      </c>
      <c r="L651" s="136"/>
      <c r="M651" s="136"/>
      <c r="N651" s="136"/>
    </row>
    <row r="652" spans="6:14">
      <c r="F652" s="136" t="s">
        <v>8026</v>
      </c>
      <c r="G652" s="136">
        <v>649</v>
      </c>
      <c r="H652" s="136" t="s">
        <v>5696</v>
      </c>
      <c r="I652" s="136" t="s">
        <v>5697</v>
      </c>
      <c r="J652" s="136" t="s">
        <v>8027</v>
      </c>
      <c r="L652" s="136"/>
      <c r="M652" s="136"/>
      <c r="N652" s="136"/>
    </row>
    <row r="653" spans="6:14">
      <c r="F653" s="136" t="s">
        <v>8028</v>
      </c>
      <c r="G653" s="136">
        <v>650</v>
      </c>
      <c r="H653" s="136" t="s">
        <v>4736</v>
      </c>
      <c r="I653" s="136" t="s">
        <v>4737</v>
      </c>
      <c r="J653" s="136" t="s">
        <v>8029</v>
      </c>
      <c r="L653" s="136"/>
      <c r="M653" s="136"/>
      <c r="N653" s="136"/>
    </row>
    <row r="654" spans="6:14">
      <c r="F654" s="136" t="s">
        <v>8030</v>
      </c>
      <c r="G654" s="136">
        <v>651</v>
      </c>
      <c r="H654" s="136" t="s">
        <v>2119</v>
      </c>
      <c r="I654" s="136" t="s">
        <v>2120</v>
      </c>
      <c r="J654" s="136" t="s">
        <v>8031</v>
      </c>
      <c r="L654" s="136"/>
      <c r="M654" s="136"/>
      <c r="N654" s="136"/>
    </row>
    <row r="655" spans="6:14">
      <c r="F655" s="136" t="s">
        <v>8032</v>
      </c>
      <c r="G655" s="136">
        <v>652</v>
      </c>
      <c r="H655" s="136" t="s">
        <v>1530</v>
      </c>
      <c r="I655" s="136" t="s">
        <v>1531</v>
      </c>
      <c r="J655" s="136" t="s">
        <v>8033</v>
      </c>
      <c r="L655" s="136"/>
      <c r="M655" s="136"/>
      <c r="N655" s="136"/>
    </row>
    <row r="656" spans="6:14">
      <c r="F656" s="136" t="s">
        <v>8034</v>
      </c>
      <c r="G656" s="136">
        <v>653</v>
      </c>
      <c r="H656" s="136" t="s">
        <v>8035</v>
      </c>
      <c r="I656" s="136" t="s">
        <v>8036</v>
      </c>
      <c r="J656" s="136" t="s">
        <v>8037</v>
      </c>
      <c r="L656" s="136"/>
      <c r="M656" s="136"/>
      <c r="N656" s="136"/>
    </row>
    <row r="657" spans="6:14">
      <c r="F657" s="136" t="s">
        <v>8038</v>
      </c>
      <c r="G657" s="136">
        <v>654</v>
      </c>
      <c r="H657" s="136" t="s">
        <v>1506</v>
      </c>
      <c r="I657" s="136" t="s">
        <v>1507</v>
      </c>
      <c r="J657" s="136" t="s">
        <v>8039</v>
      </c>
      <c r="L657" s="136"/>
      <c r="M657" s="136"/>
      <c r="N657" s="136"/>
    </row>
    <row r="658" spans="6:14">
      <c r="F658" s="136" t="s">
        <v>8040</v>
      </c>
      <c r="G658" s="136">
        <v>655</v>
      </c>
      <c r="H658" s="136" t="s">
        <v>859</v>
      </c>
      <c r="I658" s="136" t="s">
        <v>860</v>
      </c>
      <c r="J658" s="136" t="s">
        <v>8041</v>
      </c>
      <c r="L658" s="136"/>
      <c r="M658" s="136"/>
      <c r="N658" s="136"/>
    </row>
    <row r="659" spans="6:14">
      <c r="F659" s="136" t="s">
        <v>8042</v>
      </c>
      <c r="G659" s="136">
        <v>656</v>
      </c>
      <c r="H659" s="136" t="s">
        <v>2816</v>
      </c>
      <c r="I659" s="136" t="s">
        <v>2817</v>
      </c>
      <c r="J659" s="136" t="s">
        <v>8043</v>
      </c>
      <c r="L659" s="136"/>
      <c r="M659" s="136"/>
      <c r="N659" s="136"/>
    </row>
    <row r="660" spans="6:14">
      <c r="F660" s="136" t="s">
        <v>8044</v>
      </c>
      <c r="G660" s="136">
        <v>657</v>
      </c>
      <c r="H660" s="136" t="s">
        <v>2923</v>
      </c>
      <c r="I660" s="136" t="s">
        <v>2924</v>
      </c>
      <c r="J660" s="136" t="s">
        <v>8045</v>
      </c>
      <c r="L660" s="136"/>
      <c r="M660" s="136"/>
      <c r="N660" s="136"/>
    </row>
    <row r="661" spans="6:14">
      <c r="F661" s="136" t="s">
        <v>8046</v>
      </c>
      <c r="G661" s="136">
        <v>658</v>
      </c>
      <c r="H661" s="136" t="s">
        <v>687</v>
      </c>
      <c r="I661" s="136" t="s">
        <v>688</v>
      </c>
      <c r="J661" s="136" t="s">
        <v>8047</v>
      </c>
      <c r="L661" s="136"/>
      <c r="M661" s="136"/>
      <c r="N661" s="136"/>
    </row>
    <row r="662" spans="6:14">
      <c r="F662" s="136" t="s">
        <v>8048</v>
      </c>
      <c r="G662" s="136">
        <v>659</v>
      </c>
      <c r="H662" s="136" t="s">
        <v>2734</v>
      </c>
      <c r="I662" s="136" t="s">
        <v>2735</v>
      </c>
      <c r="J662" s="136" t="s">
        <v>8049</v>
      </c>
      <c r="L662" s="136"/>
      <c r="M662" s="136"/>
      <c r="N662" s="136"/>
    </row>
    <row r="663" spans="6:14">
      <c r="F663" s="136" t="s">
        <v>8050</v>
      </c>
      <c r="G663" s="136">
        <v>660</v>
      </c>
      <c r="H663" s="136" t="s">
        <v>2404</v>
      </c>
      <c r="I663" s="136" t="s">
        <v>2405</v>
      </c>
      <c r="J663" s="136" t="s">
        <v>8051</v>
      </c>
      <c r="L663" s="136"/>
      <c r="M663" s="136"/>
      <c r="N663" s="136"/>
    </row>
    <row r="664" spans="6:14">
      <c r="F664" s="136" t="s">
        <v>8052</v>
      </c>
      <c r="G664" s="136">
        <v>661</v>
      </c>
      <c r="H664" s="136" t="s">
        <v>8053</v>
      </c>
      <c r="I664" s="136" t="s">
        <v>8054</v>
      </c>
      <c r="J664" s="136" t="s">
        <v>8055</v>
      </c>
      <c r="L664" s="136"/>
      <c r="M664" s="136"/>
      <c r="N664" s="136"/>
    </row>
    <row r="665" spans="6:14">
      <c r="F665" s="136" t="s">
        <v>8056</v>
      </c>
      <c r="G665" s="136">
        <v>662</v>
      </c>
      <c r="H665" s="136" t="s">
        <v>8057</v>
      </c>
      <c r="I665" s="136" t="s">
        <v>8058</v>
      </c>
      <c r="J665" s="136" t="s">
        <v>8059</v>
      </c>
      <c r="L665" s="136"/>
      <c r="M665" s="136"/>
      <c r="N665" s="136"/>
    </row>
    <row r="666" spans="6:14">
      <c r="F666" s="136" t="s">
        <v>8060</v>
      </c>
      <c r="G666" s="136">
        <v>663</v>
      </c>
      <c r="H666" s="136" t="s">
        <v>8061</v>
      </c>
      <c r="I666" s="136" t="s">
        <v>8062</v>
      </c>
      <c r="J666" s="136" t="s">
        <v>8063</v>
      </c>
      <c r="L666" s="136"/>
      <c r="M666" s="136"/>
      <c r="N666" s="136"/>
    </row>
    <row r="667" spans="6:14">
      <c r="F667" s="136" t="s">
        <v>8064</v>
      </c>
      <c r="G667" s="136">
        <v>664</v>
      </c>
      <c r="H667" s="136" t="s">
        <v>8065</v>
      </c>
      <c r="I667" s="136" t="s">
        <v>8066</v>
      </c>
      <c r="J667" s="136" t="s">
        <v>8067</v>
      </c>
      <c r="L667" s="136"/>
      <c r="M667" s="136"/>
      <c r="N667" s="136"/>
    </row>
    <row r="668" spans="6:14">
      <c r="F668" s="136" t="s">
        <v>8068</v>
      </c>
      <c r="G668" s="136">
        <v>665</v>
      </c>
      <c r="H668" s="136" t="s">
        <v>7594</v>
      </c>
      <c r="I668" s="136" t="s">
        <v>8069</v>
      </c>
      <c r="J668" s="136" t="s">
        <v>8070</v>
      </c>
      <c r="L668" s="136"/>
      <c r="M668" s="136"/>
      <c r="N668" s="136"/>
    </row>
    <row r="669" spans="6:14">
      <c r="F669" s="136" t="s">
        <v>8071</v>
      </c>
      <c r="G669" s="136">
        <v>666</v>
      </c>
      <c r="H669" s="136" t="s">
        <v>8072</v>
      </c>
      <c r="I669" s="136" t="s">
        <v>8073</v>
      </c>
      <c r="J669" s="136" t="s">
        <v>8074</v>
      </c>
      <c r="L669" s="136"/>
      <c r="M669" s="136"/>
      <c r="N669" s="136"/>
    </row>
    <row r="670" spans="6:14">
      <c r="F670" s="136" t="s">
        <v>8075</v>
      </c>
      <c r="G670" s="136">
        <v>667</v>
      </c>
      <c r="H670" s="136" t="s">
        <v>8076</v>
      </c>
      <c r="I670" s="136" t="s">
        <v>8077</v>
      </c>
      <c r="J670" s="136" t="s">
        <v>8078</v>
      </c>
      <c r="L670" s="136"/>
      <c r="M670" s="136"/>
      <c r="N670" s="136"/>
    </row>
    <row r="671" spans="6:14">
      <c r="F671" s="136" t="s">
        <v>8079</v>
      </c>
      <c r="G671" s="136">
        <v>668</v>
      </c>
      <c r="H671" s="136" t="s">
        <v>2609</v>
      </c>
      <c r="I671" s="136" t="s">
        <v>2610</v>
      </c>
      <c r="J671" s="136" t="s">
        <v>8080</v>
      </c>
      <c r="L671" s="136"/>
      <c r="M671" s="136"/>
      <c r="N671" s="136"/>
    </row>
    <row r="672" spans="6:14">
      <c r="F672" s="136" t="s">
        <v>8081</v>
      </c>
      <c r="G672" s="136">
        <v>669</v>
      </c>
      <c r="H672" s="136" t="s">
        <v>4103</v>
      </c>
      <c r="I672" s="136" t="s">
        <v>4104</v>
      </c>
      <c r="J672" s="136" t="s">
        <v>8082</v>
      </c>
      <c r="L672" s="136"/>
      <c r="M672" s="136"/>
      <c r="N672" s="136"/>
    </row>
    <row r="673" spans="6:14">
      <c r="F673" s="136" t="s">
        <v>8083</v>
      </c>
      <c r="G673" s="136">
        <v>670</v>
      </c>
      <c r="H673" s="136" t="s">
        <v>1468</v>
      </c>
      <c r="I673" s="136" t="s">
        <v>1469</v>
      </c>
      <c r="J673" s="136" t="s">
        <v>8084</v>
      </c>
      <c r="L673" s="136"/>
      <c r="M673" s="136"/>
      <c r="N673" s="136"/>
    </row>
    <row r="674" spans="6:14">
      <c r="F674" s="136" t="s">
        <v>8085</v>
      </c>
      <c r="G674" s="136">
        <v>671</v>
      </c>
      <c r="H674" s="136" t="s">
        <v>3613</v>
      </c>
      <c r="I674" s="136" t="s">
        <v>3614</v>
      </c>
      <c r="J674" s="136" t="s">
        <v>8086</v>
      </c>
      <c r="L674" s="136"/>
      <c r="M674" s="136"/>
      <c r="N674" s="136"/>
    </row>
    <row r="675" spans="6:14">
      <c r="F675" s="136" t="s">
        <v>8087</v>
      </c>
      <c r="G675" s="136">
        <v>672</v>
      </c>
      <c r="H675" s="136" t="s">
        <v>1330</v>
      </c>
      <c r="I675" s="136" t="s">
        <v>1331</v>
      </c>
      <c r="J675" s="136" t="s">
        <v>8088</v>
      </c>
      <c r="L675" s="136"/>
      <c r="M675" s="136"/>
      <c r="N675" s="136"/>
    </row>
    <row r="676" spans="6:14">
      <c r="F676" s="136" t="s">
        <v>8089</v>
      </c>
      <c r="G676" s="136">
        <v>673</v>
      </c>
      <c r="H676" s="136" t="s">
        <v>1874</v>
      </c>
      <c r="I676" s="136" t="s">
        <v>1875</v>
      </c>
      <c r="J676" s="136" t="s">
        <v>8090</v>
      </c>
      <c r="L676" s="136"/>
      <c r="M676" s="136"/>
      <c r="N676" s="136"/>
    </row>
    <row r="677" spans="6:14">
      <c r="F677" s="136" t="s">
        <v>8091</v>
      </c>
      <c r="G677" s="136">
        <v>674</v>
      </c>
      <c r="H677" s="136" t="s">
        <v>8092</v>
      </c>
      <c r="I677" s="136" t="s">
        <v>8093</v>
      </c>
      <c r="J677" s="136" t="s">
        <v>8094</v>
      </c>
      <c r="L677" s="136"/>
      <c r="M677" s="136"/>
      <c r="N677" s="136"/>
    </row>
    <row r="678" spans="6:14">
      <c r="F678" s="136" t="s">
        <v>8095</v>
      </c>
      <c r="G678" s="136">
        <v>675</v>
      </c>
      <c r="H678" s="136" t="s">
        <v>5931</v>
      </c>
      <c r="I678" s="136" t="s">
        <v>5932</v>
      </c>
      <c r="J678" s="136" t="s">
        <v>8096</v>
      </c>
      <c r="L678" s="136"/>
      <c r="M678" s="136"/>
      <c r="N678" s="136"/>
    </row>
    <row r="679" spans="6:14">
      <c r="F679" s="136" t="s">
        <v>8097</v>
      </c>
      <c r="G679" s="136">
        <v>676</v>
      </c>
      <c r="H679" s="136" t="s">
        <v>4953</v>
      </c>
      <c r="I679" s="136" t="s">
        <v>4954</v>
      </c>
      <c r="J679" s="136" t="s">
        <v>8098</v>
      </c>
      <c r="L679" s="136"/>
      <c r="M679" s="136"/>
      <c r="N679" s="136"/>
    </row>
    <row r="680" spans="6:14">
      <c r="F680" s="136" t="s">
        <v>8099</v>
      </c>
      <c r="G680" s="136">
        <v>677</v>
      </c>
      <c r="H680" s="136" t="s">
        <v>5538</v>
      </c>
      <c r="I680" s="136" t="s">
        <v>5539</v>
      </c>
      <c r="J680" s="136" t="s">
        <v>8100</v>
      </c>
      <c r="L680" s="136"/>
      <c r="M680" s="136"/>
      <c r="N680" s="136"/>
    </row>
    <row r="681" spans="6:14">
      <c r="F681" s="136" t="s">
        <v>8101</v>
      </c>
      <c r="G681" s="136">
        <v>678</v>
      </c>
      <c r="H681" s="136" t="s">
        <v>3008</v>
      </c>
      <c r="I681" s="136" t="s">
        <v>3009</v>
      </c>
      <c r="J681" s="136" t="s">
        <v>8102</v>
      </c>
      <c r="L681" s="136"/>
      <c r="M681" s="136"/>
      <c r="N681" s="136"/>
    </row>
    <row r="682" spans="6:14">
      <c r="F682" s="136" t="s">
        <v>8103</v>
      </c>
      <c r="G682" s="136">
        <v>679</v>
      </c>
      <c r="H682" s="136" t="s">
        <v>2280</v>
      </c>
      <c r="I682" s="136" t="s">
        <v>2281</v>
      </c>
      <c r="J682" s="136" t="s">
        <v>8104</v>
      </c>
      <c r="L682" s="136"/>
      <c r="M682" s="136"/>
      <c r="N682" s="136"/>
    </row>
    <row r="683" spans="6:14">
      <c r="F683" s="136" t="s">
        <v>8105</v>
      </c>
      <c r="G683" s="136">
        <v>680</v>
      </c>
      <c r="H683" s="136" t="s">
        <v>8106</v>
      </c>
      <c r="I683" s="136" t="s">
        <v>8107</v>
      </c>
      <c r="J683" s="136" t="s">
        <v>8108</v>
      </c>
      <c r="L683" s="136"/>
      <c r="M683" s="136"/>
      <c r="N683" s="136"/>
    </row>
    <row r="684" spans="6:14">
      <c r="F684" s="136" t="s">
        <v>8109</v>
      </c>
      <c r="G684" s="136">
        <v>681</v>
      </c>
      <c r="H684" s="136" t="s">
        <v>779</v>
      </c>
      <c r="I684" s="136" t="s">
        <v>780</v>
      </c>
      <c r="J684" s="136" t="s">
        <v>8110</v>
      </c>
      <c r="L684" s="136"/>
      <c r="M684" s="136"/>
      <c r="N684" s="136"/>
    </row>
    <row r="685" spans="6:14">
      <c r="F685" s="136" t="s">
        <v>8111</v>
      </c>
      <c r="G685" s="136">
        <v>682</v>
      </c>
      <c r="H685" s="136" t="s">
        <v>3575</v>
      </c>
      <c r="I685" s="136" t="s">
        <v>3576</v>
      </c>
      <c r="J685" s="136" t="s">
        <v>8112</v>
      </c>
      <c r="L685" s="136"/>
      <c r="M685" s="136"/>
      <c r="N685" s="136"/>
    </row>
    <row r="686" spans="6:14">
      <c r="F686" s="136" t="s">
        <v>8113</v>
      </c>
      <c r="G686" s="136">
        <v>683</v>
      </c>
      <c r="H686" s="136" t="s">
        <v>2420</v>
      </c>
      <c r="I686" s="136" t="s">
        <v>2421</v>
      </c>
      <c r="J686" s="136" t="s">
        <v>8114</v>
      </c>
      <c r="L686" s="136"/>
      <c r="M686" s="136"/>
      <c r="N686" s="136"/>
    </row>
    <row r="687" spans="6:14">
      <c r="F687" s="136" t="s">
        <v>8115</v>
      </c>
      <c r="G687" s="136">
        <v>684</v>
      </c>
      <c r="H687" s="136" t="s">
        <v>3029</v>
      </c>
      <c r="I687" s="136" t="s">
        <v>3030</v>
      </c>
      <c r="J687" s="136" t="s">
        <v>8116</v>
      </c>
      <c r="L687" s="136"/>
      <c r="M687" s="136"/>
      <c r="N687" s="136"/>
    </row>
    <row r="688" spans="6:14">
      <c r="F688" s="136" t="s">
        <v>8117</v>
      </c>
      <c r="G688" s="136">
        <v>685</v>
      </c>
      <c r="H688" s="136" t="s">
        <v>4261</v>
      </c>
      <c r="I688" s="136" t="s">
        <v>4262</v>
      </c>
      <c r="J688" s="136" t="s">
        <v>8118</v>
      </c>
      <c r="L688" s="136"/>
      <c r="M688" s="136"/>
      <c r="N688" s="136"/>
    </row>
    <row r="689" spans="6:14">
      <c r="F689" s="136" t="s">
        <v>8119</v>
      </c>
      <c r="G689" s="136">
        <v>686</v>
      </c>
      <c r="H689" s="136" t="s">
        <v>8120</v>
      </c>
      <c r="I689" s="136" t="s">
        <v>8121</v>
      </c>
      <c r="J689" s="136" t="s">
        <v>8122</v>
      </c>
      <c r="L689" s="136"/>
      <c r="M689" s="136"/>
      <c r="N689" s="136"/>
    </row>
    <row r="690" spans="6:14">
      <c r="F690" s="136" t="s">
        <v>8123</v>
      </c>
      <c r="G690" s="136">
        <v>687</v>
      </c>
      <c r="H690" s="136" t="s">
        <v>8124</v>
      </c>
      <c r="I690" s="136" t="s">
        <v>8125</v>
      </c>
      <c r="J690" s="136" t="s">
        <v>8126</v>
      </c>
      <c r="L690" s="136"/>
      <c r="M690" s="136"/>
      <c r="N690" s="136"/>
    </row>
    <row r="691" spans="6:14">
      <c r="F691" s="136" t="s">
        <v>8127</v>
      </c>
      <c r="G691" s="136">
        <v>688</v>
      </c>
      <c r="H691" s="136" t="s">
        <v>2931</v>
      </c>
      <c r="I691" s="136" t="s">
        <v>2932</v>
      </c>
      <c r="J691" s="136" t="s">
        <v>8128</v>
      </c>
      <c r="L691" s="136"/>
      <c r="M691" s="136"/>
      <c r="N691" s="136"/>
    </row>
    <row r="692" spans="6:14">
      <c r="F692" s="136" t="s">
        <v>8129</v>
      </c>
      <c r="G692" s="136">
        <v>689</v>
      </c>
      <c r="H692" s="136" t="s">
        <v>8130</v>
      </c>
      <c r="I692" s="136" t="s">
        <v>8131</v>
      </c>
      <c r="J692" s="136" t="s">
        <v>8132</v>
      </c>
      <c r="L692" s="136"/>
      <c r="M692" s="136"/>
      <c r="N692" s="136"/>
    </row>
    <row r="693" spans="6:14">
      <c r="F693" s="136" t="s">
        <v>8133</v>
      </c>
      <c r="G693" s="136">
        <v>690</v>
      </c>
      <c r="H693" s="136" t="s">
        <v>4473</v>
      </c>
      <c r="I693" s="136" t="s">
        <v>4474</v>
      </c>
      <c r="J693" s="136" t="s">
        <v>8134</v>
      </c>
      <c r="L693" s="136"/>
      <c r="M693" s="136"/>
      <c r="N693" s="136"/>
    </row>
    <row r="694" spans="6:14">
      <c r="F694" s="136" t="s">
        <v>8135</v>
      </c>
      <c r="G694" s="136">
        <v>691</v>
      </c>
      <c r="H694" s="136" t="s">
        <v>3399</v>
      </c>
      <c r="I694" s="136" t="s">
        <v>3400</v>
      </c>
      <c r="J694" s="136" t="s">
        <v>8136</v>
      </c>
      <c r="L694" s="136"/>
      <c r="M694" s="136"/>
      <c r="N694" s="136"/>
    </row>
    <row r="695" spans="6:14">
      <c r="F695" s="136" t="s">
        <v>8137</v>
      </c>
      <c r="G695" s="136">
        <v>692</v>
      </c>
      <c r="H695" s="136" t="s">
        <v>1744</v>
      </c>
      <c r="I695" s="136" t="s">
        <v>1745</v>
      </c>
      <c r="J695" s="136" t="s">
        <v>8138</v>
      </c>
      <c r="L695" s="136"/>
      <c r="M695" s="136"/>
      <c r="N695" s="136"/>
    </row>
    <row r="696" spans="6:14">
      <c r="F696" s="136" t="s">
        <v>8139</v>
      </c>
      <c r="G696" s="136">
        <v>693</v>
      </c>
      <c r="H696" s="136" t="s">
        <v>6183</v>
      </c>
      <c r="I696" s="136" t="s">
        <v>6184</v>
      </c>
      <c r="J696" s="136" t="s">
        <v>8140</v>
      </c>
      <c r="L696" s="136"/>
      <c r="M696" s="136"/>
      <c r="N696" s="136"/>
    </row>
    <row r="697" spans="6:14">
      <c r="F697" s="136" t="s">
        <v>8141</v>
      </c>
      <c r="G697" s="136">
        <v>694</v>
      </c>
      <c r="H697" s="136" t="s">
        <v>3005</v>
      </c>
      <c r="I697" s="136" t="s">
        <v>3006</v>
      </c>
      <c r="J697" s="136" t="s">
        <v>8142</v>
      </c>
      <c r="L697" s="136"/>
      <c r="M697" s="136"/>
      <c r="N697" s="136"/>
    </row>
    <row r="698" spans="6:14">
      <c r="F698" s="136" t="s">
        <v>8143</v>
      </c>
      <c r="G698" s="136">
        <v>695</v>
      </c>
      <c r="H698" s="136" t="s">
        <v>2383</v>
      </c>
      <c r="I698" s="136" t="s">
        <v>2384</v>
      </c>
      <c r="J698" s="136" t="s">
        <v>8144</v>
      </c>
      <c r="L698" s="136"/>
      <c r="M698" s="136"/>
      <c r="N698" s="136"/>
    </row>
    <row r="699" spans="6:14">
      <c r="F699" s="136" t="s">
        <v>8145</v>
      </c>
      <c r="G699" s="136">
        <v>696</v>
      </c>
      <c r="H699" s="136" t="s">
        <v>3012</v>
      </c>
      <c r="I699" s="136" t="s">
        <v>3013</v>
      </c>
      <c r="J699" s="136" t="s">
        <v>8146</v>
      </c>
      <c r="L699" s="136"/>
      <c r="M699" s="136"/>
      <c r="N699" s="136"/>
    </row>
    <row r="700" spans="6:14">
      <c r="F700" s="136" t="s">
        <v>8147</v>
      </c>
      <c r="G700" s="136">
        <v>697</v>
      </c>
      <c r="H700" s="136" t="s">
        <v>924</v>
      </c>
      <c r="I700" s="136" t="s">
        <v>925</v>
      </c>
      <c r="J700" s="136" t="s">
        <v>8148</v>
      </c>
      <c r="L700" s="136"/>
      <c r="M700" s="136"/>
      <c r="N700" s="136"/>
    </row>
    <row r="701" spans="6:14">
      <c r="F701" s="136" t="s">
        <v>8149</v>
      </c>
      <c r="G701" s="136">
        <v>698</v>
      </c>
      <c r="H701" s="136" t="s">
        <v>1005</v>
      </c>
      <c r="I701" s="136" t="s">
        <v>1006</v>
      </c>
      <c r="J701" s="136" t="s">
        <v>8150</v>
      </c>
      <c r="L701" s="136"/>
      <c r="M701" s="136"/>
      <c r="N701" s="136"/>
    </row>
    <row r="702" spans="6:14">
      <c r="F702" s="136" t="s">
        <v>8151</v>
      </c>
      <c r="G702" s="136">
        <v>699</v>
      </c>
      <c r="H702" s="136" t="s">
        <v>61</v>
      </c>
      <c r="I702" s="136" t="s">
        <v>62</v>
      </c>
      <c r="J702" s="136" t="s">
        <v>8152</v>
      </c>
      <c r="L702" s="136"/>
      <c r="M702" s="136"/>
      <c r="N702" s="136"/>
    </row>
    <row r="703" spans="6:14">
      <c r="F703" s="136" t="s">
        <v>8153</v>
      </c>
      <c r="G703" s="136">
        <v>700</v>
      </c>
      <c r="H703" s="136" t="s">
        <v>5162</v>
      </c>
      <c r="I703" s="136" t="s">
        <v>5150</v>
      </c>
      <c r="J703" s="136" t="s">
        <v>8154</v>
      </c>
      <c r="L703" s="136"/>
      <c r="M703" s="136"/>
      <c r="N703" s="136"/>
    </row>
    <row r="704" spans="6:14">
      <c r="F704" s="136" t="s">
        <v>8155</v>
      </c>
      <c r="G704" s="136">
        <v>701</v>
      </c>
      <c r="H704" s="136" t="s">
        <v>3346</v>
      </c>
      <c r="I704" s="136" t="s">
        <v>3347</v>
      </c>
      <c r="J704" s="136" t="s">
        <v>8156</v>
      </c>
      <c r="L704" s="136"/>
      <c r="M704" s="136"/>
      <c r="N704" s="136"/>
    </row>
    <row r="705" spans="6:14">
      <c r="F705" s="136" t="s">
        <v>8157</v>
      </c>
      <c r="G705" s="136">
        <v>702</v>
      </c>
      <c r="H705" s="136" t="s">
        <v>5357</v>
      </c>
      <c r="I705" s="136" t="s">
        <v>5358</v>
      </c>
      <c r="J705" s="136" t="s">
        <v>8158</v>
      </c>
      <c r="L705" s="136"/>
      <c r="M705" s="136"/>
      <c r="N705" s="136"/>
    </row>
    <row r="706" spans="6:14">
      <c r="F706" s="136" t="s">
        <v>8159</v>
      </c>
      <c r="G706" s="136">
        <v>703</v>
      </c>
      <c r="H706" s="136" t="s">
        <v>463</v>
      </c>
      <c r="I706" s="136" t="s">
        <v>464</v>
      </c>
      <c r="J706" s="136" t="s">
        <v>8160</v>
      </c>
      <c r="L706" s="136"/>
      <c r="M706" s="136"/>
      <c r="N706" s="136"/>
    </row>
    <row r="707" spans="6:14">
      <c r="F707" s="136" t="s">
        <v>8161</v>
      </c>
      <c r="G707" s="136">
        <v>704</v>
      </c>
      <c r="H707" s="136" t="s">
        <v>2920</v>
      </c>
      <c r="I707" s="136" t="s">
        <v>2922</v>
      </c>
      <c r="J707" s="136" t="s">
        <v>8162</v>
      </c>
      <c r="L707" s="136"/>
      <c r="M707" s="136"/>
      <c r="N707" s="136"/>
    </row>
    <row r="708" spans="6:14">
      <c r="F708" s="136" t="s">
        <v>8163</v>
      </c>
      <c r="G708" s="136">
        <v>705</v>
      </c>
      <c r="H708" s="136" t="s">
        <v>4315</v>
      </c>
      <c r="I708" s="136" t="s">
        <v>4316</v>
      </c>
      <c r="J708" s="136" t="s">
        <v>8164</v>
      </c>
      <c r="L708" s="136"/>
      <c r="M708" s="136"/>
      <c r="N708" s="136"/>
    </row>
    <row r="709" spans="6:14">
      <c r="F709" s="136" t="s">
        <v>8165</v>
      </c>
      <c r="G709" s="136">
        <v>706</v>
      </c>
      <c r="H709" s="136" t="s">
        <v>4215</v>
      </c>
      <c r="I709" s="136" t="s">
        <v>4216</v>
      </c>
      <c r="J709" s="136" t="s">
        <v>8166</v>
      </c>
      <c r="L709" s="136"/>
      <c r="M709" s="136"/>
      <c r="N709" s="136"/>
    </row>
    <row r="710" spans="6:14">
      <c r="F710" s="136" t="s">
        <v>8167</v>
      </c>
      <c r="G710" s="136">
        <v>707</v>
      </c>
      <c r="H710" s="136" t="s">
        <v>5844</v>
      </c>
      <c r="I710" s="136" t="s">
        <v>5845</v>
      </c>
      <c r="J710" s="136" t="s">
        <v>8168</v>
      </c>
      <c r="L710" s="136"/>
      <c r="M710" s="136"/>
      <c r="N710" s="136"/>
    </row>
    <row r="711" spans="6:14">
      <c r="F711" s="136" t="s">
        <v>8169</v>
      </c>
      <c r="G711" s="136">
        <v>708</v>
      </c>
      <c r="H711" s="136" t="s">
        <v>4310</v>
      </c>
      <c r="I711" s="136" t="s">
        <v>4311</v>
      </c>
      <c r="J711" s="136" t="s">
        <v>8170</v>
      </c>
      <c r="L711" s="136"/>
      <c r="M711" s="136"/>
      <c r="N711" s="136"/>
    </row>
    <row r="712" spans="6:14">
      <c r="F712" s="136" t="s">
        <v>8171</v>
      </c>
      <c r="G712" s="136">
        <v>709</v>
      </c>
      <c r="H712" s="136" t="s">
        <v>8172</v>
      </c>
      <c r="I712" s="136" t="s">
        <v>8173</v>
      </c>
      <c r="J712" s="136" t="s">
        <v>8174</v>
      </c>
      <c r="L712" s="136"/>
      <c r="M712" s="136"/>
      <c r="N712" s="136"/>
    </row>
    <row r="713" spans="6:14">
      <c r="F713" s="136" t="s">
        <v>8175</v>
      </c>
      <c r="G713" s="136">
        <v>710</v>
      </c>
      <c r="H713" s="136" t="s">
        <v>5976</v>
      </c>
      <c r="I713" s="136" t="s">
        <v>5977</v>
      </c>
      <c r="J713" s="136" t="s">
        <v>8176</v>
      </c>
      <c r="L713" s="136"/>
      <c r="M713" s="136"/>
      <c r="N713" s="136"/>
    </row>
    <row r="714" spans="6:14">
      <c r="F714" s="136" t="s">
        <v>8177</v>
      </c>
      <c r="G714" s="136">
        <v>711</v>
      </c>
      <c r="H714" s="136" t="s">
        <v>4024</v>
      </c>
      <c r="I714" s="136" t="s">
        <v>4025</v>
      </c>
      <c r="J714" s="136" t="s">
        <v>8178</v>
      </c>
      <c r="L714" s="136"/>
      <c r="M714" s="136"/>
      <c r="N714" s="136"/>
    </row>
    <row r="715" spans="6:14">
      <c r="F715" s="136" t="s">
        <v>8179</v>
      </c>
      <c r="G715" s="136">
        <v>712</v>
      </c>
      <c r="H715" s="136" t="s">
        <v>8180</v>
      </c>
      <c r="I715" s="136" t="s">
        <v>8181</v>
      </c>
      <c r="J715" s="136" t="s">
        <v>8182</v>
      </c>
      <c r="L715" s="136"/>
      <c r="M715" s="136"/>
      <c r="N715" s="136"/>
    </row>
    <row r="716" spans="6:14">
      <c r="F716" s="136" t="s">
        <v>8183</v>
      </c>
      <c r="G716" s="136">
        <v>713</v>
      </c>
      <c r="H716" s="136" t="s">
        <v>8184</v>
      </c>
      <c r="I716" s="136" t="s">
        <v>8185</v>
      </c>
      <c r="J716" s="136" t="s">
        <v>8186</v>
      </c>
      <c r="L716" s="136"/>
      <c r="M716" s="136"/>
      <c r="N716" s="136"/>
    </row>
    <row r="717" spans="6:14">
      <c r="F717" s="136" t="s">
        <v>8187</v>
      </c>
      <c r="G717" s="136">
        <v>714</v>
      </c>
      <c r="H717" s="136" t="s">
        <v>3453</v>
      </c>
      <c r="I717" s="136" t="s">
        <v>3454</v>
      </c>
      <c r="J717" s="136" t="s">
        <v>8188</v>
      </c>
      <c r="L717" s="136"/>
      <c r="M717" s="136"/>
      <c r="N717" s="136"/>
    </row>
    <row r="718" spans="6:14">
      <c r="F718" s="136" t="s">
        <v>8189</v>
      </c>
      <c r="G718" s="136">
        <v>715</v>
      </c>
      <c r="H718" s="136" t="s">
        <v>664</v>
      </c>
      <c r="I718" s="136" t="s">
        <v>665</v>
      </c>
      <c r="J718" s="136" t="s">
        <v>8190</v>
      </c>
      <c r="L718" s="136"/>
      <c r="M718" s="136"/>
      <c r="N718" s="136"/>
    </row>
    <row r="719" spans="6:14">
      <c r="F719" s="136" t="s">
        <v>8191</v>
      </c>
      <c r="G719" s="136">
        <v>716</v>
      </c>
      <c r="H719" s="136" t="s">
        <v>2571</v>
      </c>
      <c r="I719" s="136" t="s">
        <v>2572</v>
      </c>
      <c r="J719" s="136" t="s">
        <v>8192</v>
      </c>
      <c r="L719" s="136"/>
      <c r="M719" s="136"/>
      <c r="N719" s="136"/>
    </row>
    <row r="720" spans="6:14">
      <c r="F720" s="136" t="s">
        <v>8193</v>
      </c>
      <c r="G720" s="136">
        <v>717</v>
      </c>
      <c r="H720" s="136" t="s">
        <v>8194</v>
      </c>
      <c r="I720" s="136" t="s">
        <v>8195</v>
      </c>
      <c r="J720" s="136" t="s">
        <v>8196</v>
      </c>
      <c r="L720" s="136"/>
      <c r="M720" s="136"/>
      <c r="N720" s="136"/>
    </row>
    <row r="721" spans="6:14">
      <c r="F721" s="136" t="s">
        <v>8197</v>
      </c>
      <c r="G721" s="136">
        <v>718</v>
      </c>
      <c r="H721" s="136" t="s">
        <v>8198</v>
      </c>
      <c r="I721" s="136" t="s">
        <v>8199</v>
      </c>
      <c r="J721" s="136" t="s">
        <v>8200</v>
      </c>
      <c r="L721" s="136"/>
      <c r="M721" s="136"/>
      <c r="N721" s="136"/>
    </row>
    <row r="722" spans="6:14">
      <c r="F722" s="136" t="s">
        <v>8201</v>
      </c>
      <c r="G722" s="136">
        <v>719</v>
      </c>
      <c r="H722" s="136" t="s">
        <v>4982</v>
      </c>
      <c r="I722" s="136" t="s">
        <v>4985</v>
      </c>
      <c r="J722" s="136" t="s">
        <v>8202</v>
      </c>
      <c r="L722" s="136"/>
      <c r="M722" s="136"/>
      <c r="N722" s="136"/>
    </row>
    <row r="723" spans="6:14">
      <c r="F723" s="136" t="s">
        <v>8203</v>
      </c>
      <c r="G723" s="136">
        <v>720</v>
      </c>
      <c r="H723" s="136" t="s">
        <v>524</v>
      </c>
      <c r="I723" s="136" t="s">
        <v>525</v>
      </c>
      <c r="J723" s="136" t="s">
        <v>8204</v>
      </c>
      <c r="L723" s="136"/>
      <c r="M723" s="136"/>
      <c r="N723" s="136"/>
    </row>
    <row r="724" spans="6:14">
      <c r="F724" s="136" t="s">
        <v>8205</v>
      </c>
      <c r="G724" s="136">
        <v>721</v>
      </c>
      <c r="H724" s="136" t="s">
        <v>8206</v>
      </c>
      <c r="I724" s="136" t="s">
        <v>8207</v>
      </c>
      <c r="J724" s="136" t="s">
        <v>8208</v>
      </c>
      <c r="L724" s="136"/>
      <c r="M724" s="136"/>
      <c r="N724" s="136"/>
    </row>
    <row r="725" spans="6:14">
      <c r="F725" s="136" t="s">
        <v>8209</v>
      </c>
      <c r="G725" s="136">
        <v>722</v>
      </c>
      <c r="H725" s="136" t="s">
        <v>5891</v>
      </c>
      <c r="I725" s="136" t="s">
        <v>5892</v>
      </c>
      <c r="J725" s="136" t="s">
        <v>8210</v>
      </c>
      <c r="L725" s="136"/>
      <c r="M725" s="136"/>
      <c r="N725" s="136"/>
    </row>
    <row r="726" spans="6:14">
      <c r="F726" s="136" t="s">
        <v>8211</v>
      </c>
      <c r="G726" s="136">
        <v>723</v>
      </c>
      <c r="H726" s="136" t="s">
        <v>5771</v>
      </c>
      <c r="I726" s="136" t="s">
        <v>5772</v>
      </c>
      <c r="J726" s="136" t="s">
        <v>8212</v>
      </c>
      <c r="L726" s="136"/>
      <c r="M726" s="136"/>
      <c r="N726" s="136"/>
    </row>
    <row r="727" spans="6:14">
      <c r="F727" s="136" t="s">
        <v>8213</v>
      </c>
      <c r="G727" s="136">
        <v>724</v>
      </c>
      <c r="H727" s="136" t="s">
        <v>3139</v>
      </c>
      <c r="I727" s="136" t="s">
        <v>3140</v>
      </c>
      <c r="J727" s="136" t="s">
        <v>8214</v>
      </c>
      <c r="L727" s="136"/>
      <c r="M727" s="136"/>
      <c r="N727" s="136"/>
    </row>
    <row r="728" spans="6:14">
      <c r="F728" s="136" t="s">
        <v>8215</v>
      </c>
      <c r="G728" s="136">
        <v>725</v>
      </c>
      <c r="H728" s="136" t="s">
        <v>1390</v>
      </c>
      <c r="I728" s="136" t="s">
        <v>1391</v>
      </c>
      <c r="J728" s="136" t="s">
        <v>8216</v>
      </c>
      <c r="L728" s="136"/>
      <c r="M728" s="136"/>
      <c r="N728" s="136"/>
    </row>
    <row r="729" spans="6:14">
      <c r="F729" s="136" t="s">
        <v>8217</v>
      </c>
      <c r="G729" s="136">
        <v>726</v>
      </c>
      <c r="H729" s="136" t="s">
        <v>4437</v>
      </c>
      <c r="I729" s="136" t="s">
        <v>4438</v>
      </c>
      <c r="J729" s="136" t="s">
        <v>8218</v>
      </c>
      <c r="L729" s="136"/>
      <c r="M729" s="136"/>
      <c r="N729" s="136"/>
    </row>
    <row r="730" spans="6:14">
      <c r="F730" s="136" t="s">
        <v>8219</v>
      </c>
      <c r="G730" s="136">
        <v>727</v>
      </c>
      <c r="H730" s="136" t="s">
        <v>5598</v>
      </c>
      <c r="I730" s="136" t="s">
        <v>5599</v>
      </c>
      <c r="J730" s="136" t="s">
        <v>8220</v>
      </c>
      <c r="L730" s="136"/>
      <c r="M730" s="136"/>
      <c r="N730" s="136"/>
    </row>
    <row r="731" spans="6:14">
      <c r="F731" s="136" t="s">
        <v>8221</v>
      </c>
      <c r="G731" s="136">
        <v>728</v>
      </c>
      <c r="H731" s="136" t="s">
        <v>154</v>
      </c>
      <c r="I731" s="136" t="s">
        <v>155</v>
      </c>
      <c r="J731" s="136" t="s">
        <v>8222</v>
      </c>
      <c r="L731" s="136"/>
      <c r="M731" s="136"/>
      <c r="N731" s="136"/>
    </row>
    <row r="732" spans="6:14">
      <c r="F732" s="136" t="s">
        <v>8223</v>
      </c>
      <c r="G732" s="136">
        <v>729</v>
      </c>
      <c r="H732" s="136" t="s">
        <v>548</v>
      </c>
      <c r="I732" s="136" t="s">
        <v>556</v>
      </c>
      <c r="J732" s="136" t="s">
        <v>8224</v>
      </c>
      <c r="L732" s="136"/>
      <c r="M732" s="136"/>
      <c r="N732" s="136"/>
    </row>
    <row r="733" spans="6:14">
      <c r="F733" s="136" t="s">
        <v>8225</v>
      </c>
      <c r="G733" s="136">
        <v>730</v>
      </c>
      <c r="H733" s="136" t="s">
        <v>2730</v>
      </c>
      <c r="I733" s="136" t="s">
        <v>2731</v>
      </c>
      <c r="J733" s="136" t="s">
        <v>8226</v>
      </c>
      <c r="L733" s="136"/>
      <c r="M733" s="136"/>
      <c r="N733" s="136"/>
    </row>
    <row r="734" spans="6:14">
      <c r="F734" s="136" t="s">
        <v>8227</v>
      </c>
      <c r="G734" s="136">
        <v>731</v>
      </c>
      <c r="H734" s="136" t="s">
        <v>5610</v>
      </c>
      <c r="I734" s="136" t="s">
        <v>5611</v>
      </c>
      <c r="J734" s="136" t="s">
        <v>8228</v>
      </c>
      <c r="L734" s="136"/>
      <c r="M734" s="136"/>
      <c r="N734" s="136"/>
    </row>
    <row r="735" spans="6:14">
      <c r="F735" s="136" t="s">
        <v>8229</v>
      </c>
      <c r="G735" s="136">
        <v>732</v>
      </c>
      <c r="H735" s="136" t="s">
        <v>3152</v>
      </c>
      <c r="I735" s="136" t="s">
        <v>3153</v>
      </c>
      <c r="J735" s="136" t="s">
        <v>8230</v>
      </c>
      <c r="L735" s="136"/>
      <c r="M735" s="136"/>
      <c r="N735" s="136"/>
    </row>
    <row r="736" spans="6:14">
      <c r="F736" s="136" t="s">
        <v>8231</v>
      </c>
      <c r="G736" s="136">
        <v>733</v>
      </c>
      <c r="H736" s="136" t="s">
        <v>8232</v>
      </c>
      <c r="I736" s="136" t="s">
        <v>8233</v>
      </c>
      <c r="J736" s="136" t="s">
        <v>8234</v>
      </c>
      <c r="L736" s="136"/>
      <c r="M736" s="136"/>
      <c r="N736" s="136"/>
    </row>
    <row r="737" spans="6:14">
      <c r="F737" s="136" t="s">
        <v>8235</v>
      </c>
      <c r="G737" s="136">
        <v>734</v>
      </c>
      <c r="H737" s="136" t="s">
        <v>8236</v>
      </c>
      <c r="I737" s="136" t="s">
        <v>8237</v>
      </c>
      <c r="J737" s="136" t="s">
        <v>8238</v>
      </c>
      <c r="L737" s="136"/>
      <c r="M737" s="136"/>
      <c r="N737" s="136"/>
    </row>
    <row r="738" spans="6:14">
      <c r="F738" s="136" t="s">
        <v>8239</v>
      </c>
      <c r="G738" s="136">
        <v>735</v>
      </c>
      <c r="H738" s="136" t="s">
        <v>1744</v>
      </c>
      <c r="I738" s="136" t="s">
        <v>1746</v>
      </c>
      <c r="J738" s="136" t="s">
        <v>8240</v>
      </c>
      <c r="L738" s="136"/>
      <c r="M738" s="136"/>
      <c r="N738" s="136"/>
    </row>
    <row r="739" spans="6:14">
      <c r="F739" s="136" t="s">
        <v>8241</v>
      </c>
      <c r="G739" s="136">
        <v>736</v>
      </c>
      <c r="H739" s="136" t="s">
        <v>3628</v>
      </c>
      <c r="I739" s="136" t="s">
        <v>3629</v>
      </c>
      <c r="J739" s="136" t="s">
        <v>8242</v>
      </c>
      <c r="L739" s="136"/>
      <c r="M739" s="136"/>
      <c r="N739" s="136"/>
    </row>
    <row r="740" spans="6:14">
      <c r="F740" s="136" t="s">
        <v>8243</v>
      </c>
      <c r="G740" s="136">
        <v>737</v>
      </c>
      <c r="H740" s="136" t="s">
        <v>5463</v>
      </c>
      <c r="I740" s="136" t="s">
        <v>5464</v>
      </c>
      <c r="J740" s="136" t="s">
        <v>8244</v>
      </c>
      <c r="L740" s="136"/>
      <c r="M740" s="136"/>
      <c r="N740" s="136"/>
    </row>
    <row r="741" spans="6:14">
      <c r="F741" s="136" t="s">
        <v>8245</v>
      </c>
      <c r="G741" s="136">
        <v>738</v>
      </c>
      <c r="H741" s="136" t="s">
        <v>8246</v>
      </c>
      <c r="I741" s="136" t="s">
        <v>8247</v>
      </c>
      <c r="J741" s="136" t="s">
        <v>8248</v>
      </c>
      <c r="L741" s="136"/>
      <c r="M741" s="136"/>
      <c r="N741" s="136"/>
    </row>
    <row r="742" spans="6:14">
      <c r="F742" s="136" t="s">
        <v>8249</v>
      </c>
      <c r="G742" s="136">
        <v>739</v>
      </c>
      <c r="H742" s="136" t="s">
        <v>3615</v>
      </c>
      <c r="I742" s="136" t="s">
        <v>3616</v>
      </c>
      <c r="J742" s="136" t="s">
        <v>8250</v>
      </c>
      <c r="L742" s="136"/>
      <c r="M742" s="136"/>
      <c r="N742" s="136"/>
    </row>
    <row r="743" spans="6:14">
      <c r="F743" s="136" t="s">
        <v>8251</v>
      </c>
      <c r="G743" s="136">
        <v>740</v>
      </c>
      <c r="H743" s="136" t="s">
        <v>4827</v>
      </c>
      <c r="I743" s="136" t="s">
        <v>4828</v>
      </c>
      <c r="J743" s="136" t="s">
        <v>8252</v>
      </c>
      <c r="L743" s="136"/>
      <c r="M743" s="136"/>
      <c r="N743" s="136"/>
    </row>
    <row r="744" spans="6:14">
      <c r="F744" s="136" t="s">
        <v>8253</v>
      </c>
      <c r="G744" s="136">
        <v>741</v>
      </c>
      <c r="H744" s="136" t="s">
        <v>2799</v>
      </c>
      <c r="I744" s="136" t="s">
        <v>2800</v>
      </c>
      <c r="J744" s="136" t="s">
        <v>8254</v>
      </c>
      <c r="L744" s="136"/>
      <c r="M744" s="136"/>
      <c r="N744" s="136"/>
    </row>
    <row r="745" spans="6:14">
      <c r="F745" s="136" t="s">
        <v>8255</v>
      </c>
      <c r="G745" s="136">
        <v>742</v>
      </c>
      <c r="H745" s="136" t="s">
        <v>8256</v>
      </c>
      <c r="I745" s="136" t="s">
        <v>8257</v>
      </c>
      <c r="J745" s="136" t="s">
        <v>8258</v>
      </c>
      <c r="L745" s="136"/>
      <c r="M745" s="136"/>
      <c r="N745" s="136"/>
    </row>
    <row r="746" spans="6:14">
      <c r="F746" s="136" t="s">
        <v>8259</v>
      </c>
      <c r="G746" s="136">
        <v>743</v>
      </c>
      <c r="H746" s="136" t="s">
        <v>8260</v>
      </c>
      <c r="I746" s="136" t="s">
        <v>8261</v>
      </c>
      <c r="J746" s="136" t="s">
        <v>8262</v>
      </c>
      <c r="L746" s="136"/>
      <c r="M746" s="136"/>
      <c r="N746" s="136"/>
    </row>
    <row r="747" spans="6:14">
      <c r="F747" s="136" t="s">
        <v>8263</v>
      </c>
      <c r="G747" s="136">
        <v>744</v>
      </c>
      <c r="H747" s="136" t="s">
        <v>1876</v>
      </c>
      <c r="I747" s="136" t="s">
        <v>1877</v>
      </c>
      <c r="J747" s="136" t="s">
        <v>8264</v>
      </c>
      <c r="L747" s="136"/>
      <c r="M747" s="136"/>
      <c r="N747" s="136"/>
    </row>
    <row r="748" spans="6:14">
      <c r="F748" s="136" t="s">
        <v>8265</v>
      </c>
      <c r="G748" s="136">
        <v>745</v>
      </c>
      <c r="H748" s="136" t="s">
        <v>3751</v>
      </c>
      <c r="I748" s="136" t="s">
        <v>3752</v>
      </c>
      <c r="J748" s="136" t="s">
        <v>8266</v>
      </c>
      <c r="L748" s="136"/>
      <c r="M748" s="136"/>
      <c r="N748" s="136"/>
    </row>
    <row r="749" spans="6:14">
      <c r="F749" s="136" t="s">
        <v>8267</v>
      </c>
      <c r="G749" s="136">
        <v>746</v>
      </c>
      <c r="H749" s="136" t="s">
        <v>4571</v>
      </c>
      <c r="I749" s="136" t="s">
        <v>4572</v>
      </c>
      <c r="J749" s="136" t="s">
        <v>8268</v>
      </c>
      <c r="L749" s="136"/>
      <c r="M749" s="136"/>
      <c r="N749" s="136"/>
    </row>
    <row r="750" spans="6:14">
      <c r="F750" s="136" t="s">
        <v>8269</v>
      </c>
      <c r="G750" s="136">
        <v>747</v>
      </c>
      <c r="H750" s="136" t="s">
        <v>8270</v>
      </c>
      <c r="I750" s="136" t="s">
        <v>8271</v>
      </c>
      <c r="J750" s="136" t="s">
        <v>8272</v>
      </c>
      <c r="L750" s="136"/>
      <c r="M750" s="136"/>
      <c r="N750" s="136"/>
    </row>
    <row r="751" spans="6:14">
      <c r="F751" s="136" t="s">
        <v>8273</v>
      </c>
      <c r="G751" s="136">
        <v>748</v>
      </c>
      <c r="H751" s="136" t="s">
        <v>470</v>
      </c>
      <c r="I751" s="136" t="s">
        <v>471</v>
      </c>
      <c r="J751" s="136" t="s">
        <v>8274</v>
      </c>
      <c r="L751" s="136"/>
      <c r="M751" s="136"/>
      <c r="N751" s="136"/>
    </row>
    <row r="752" spans="6:14">
      <c r="F752" s="136" t="s">
        <v>8275</v>
      </c>
      <c r="G752" s="136">
        <v>749</v>
      </c>
      <c r="H752" s="136" t="s">
        <v>1636</v>
      </c>
      <c r="I752" s="136" t="s">
        <v>1637</v>
      </c>
      <c r="J752" s="136" t="s">
        <v>8276</v>
      </c>
      <c r="L752" s="136"/>
      <c r="M752" s="136"/>
      <c r="N752" s="136"/>
    </row>
    <row r="753" spans="6:14">
      <c r="F753" s="136" t="s">
        <v>8277</v>
      </c>
      <c r="G753" s="136">
        <v>750</v>
      </c>
      <c r="H753" s="136" t="s">
        <v>997</v>
      </c>
      <c r="I753" s="136" t="s">
        <v>998</v>
      </c>
      <c r="J753" s="136" t="s">
        <v>8278</v>
      </c>
      <c r="L753" s="136"/>
      <c r="M753" s="136"/>
      <c r="N753" s="136"/>
    </row>
    <row r="754" spans="6:14">
      <c r="F754" s="136" t="s">
        <v>8279</v>
      </c>
      <c r="G754" s="136">
        <v>751</v>
      </c>
      <c r="H754" s="136" t="s">
        <v>5555</v>
      </c>
      <c r="I754" s="136" t="s">
        <v>5556</v>
      </c>
      <c r="J754" s="136" t="s">
        <v>8280</v>
      </c>
      <c r="L754" s="136"/>
      <c r="M754" s="136"/>
      <c r="N754" s="136"/>
    </row>
    <row r="755" spans="6:14">
      <c r="F755" s="136" t="s">
        <v>8281</v>
      </c>
      <c r="G755" s="136">
        <v>752</v>
      </c>
      <c r="H755" s="136" t="s">
        <v>5879</v>
      </c>
      <c r="I755" s="136" t="s">
        <v>5880</v>
      </c>
      <c r="J755" s="136" t="s">
        <v>8282</v>
      </c>
      <c r="L755" s="136"/>
      <c r="M755" s="136"/>
      <c r="N755" s="136"/>
    </row>
    <row r="756" spans="6:14">
      <c r="F756" s="136" t="s">
        <v>8283</v>
      </c>
      <c r="G756" s="136">
        <v>753</v>
      </c>
      <c r="H756" s="136" t="s">
        <v>261</v>
      </c>
      <c r="I756" s="136" t="s">
        <v>262</v>
      </c>
      <c r="J756" s="136" t="s">
        <v>8284</v>
      </c>
      <c r="L756" s="136"/>
      <c r="M756" s="136"/>
      <c r="N756" s="136"/>
    </row>
    <row r="757" spans="6:14">
      <c r="F757" s="136" t="s">
        <v>8285</v>
      </c>
      <c r="G757" s="136">
        <v>754</v>
      </c>
      <c r="H757" s="136" t="s">
        <v>3229</v>
      </c>
      <c r="I757" s="136" t="s">
        <v>3230</v>
      </c>
      <c r="J757" s="136" t="s">
        <v>8286</v>
      </c>
      <c r="L757" s="136"/>
      <c r="M757" s="136"/>
      <c r="N757" s="136"/>
    </row>
    <row r="758" spans="6:14">
      <c r="F758" s="136" t="s">
        <v>8287</v>
      </c>
      <c r="G758" s="136">
        <v>755</v>
      </c>
      <c r="H758" s="136" t="s">
        <v>8288</v>
      </c>
      <c r="I758" s="136" t="s">
        <v>8289</v>
      </c>
      <c r="J758" s="136" t="s">
        <v>8290</v>
      </c>
      <c r="L758" s="136"/>
      <c r="M758" s="136"/>
      <c r="N758" s="136"/>
    </row>
    <row r="759" spans="6:14">
      <c r="F759" s="136" t="s">
        <v>8291</v>
      </c>
      <c r="G759" s="136">
        <v>756</v>
      </c>
      <c r="H759" s="136" t="s">
        <v>8292</v>
      </c>
      <c r="I759" s="136" t="s">
        <v>8293</v>
      </c>
      <c r="J759" s="136" t="s">
        <v>8294</v>
      </c>
      <c r="L759" s="136"/>
      <c r="M759" s="136"/>
      <c r="N759" s="136"/>
    </row>
    <row r="760" spans="6:14">
      <c r="F760" s="136" t="s">
        <v>8295</v>
      </c>
      <c r="G760" s="136">
        <v>757</v>
      </c>
      <c r="H760" s="136" t="s">
        <v>2857</v>
      </c>
      <c r="I760" s="136" t="s">
        <v>2858</v>
      </c>
      <c r="J760" s="136" t="s">
        <v>8296</v>
      </c>
      <c r="L760" s="136"/>
      <c r="M760" s="136"/>
      <c r="N760" s="136"/>
    </row>
    <row r="761" spans="6:14">
      <c r="F761" s="136" t="s">
        <v>8297</v>
      </c>
      <c r="G761" s="136">
        <v>758</v>
      </c>
      <c r="H761" s="136" t="s">
        <v>548</v>
      </c>
      <c r="I761" s="136" t="s">
        <v>557</v>
      </c>
      <c r="J761" s="136" t="s">
        <v>8298</v>
      </c>
      <c r="L761" s="136"/>
      <c r="M761" s="136"/>
      <c r="N761" s="136"/>
    </row>
    <row r="762" spans="6:14">
      <c r="F762" s="136" t="s">
        <v>8299</v>
      </c>
      <c r="G762" s="136">
        <v>759</v>
      </c>
      <c r="H762" s="136" t="s">
        <v>6159</v>
      </c>
      <c r="I762" s="136" t="s">
        <v>6160</v>
      </c>
      <c r="J762" s="136" t="s">
        <v>8300</v>
      </c>
      <c r="L762" s="136"/>
      <c r="M762" s="136"/>
      <c r="N762" s="136"/>
    </row>
    <row r="763" spans="6:14">
      <c r="F763" s="136" t="s">
        <v>8301</v>
      </c>
      <c r="G763" s="136">
        <v>760</v>
      </c>
      <c r="H763" s="136" t="s">
        <v>8302</v>
      </c>
      <c r="I763" s="136" t="s">
        <v>7079</v>
      </c>
      <c r="J763" s="136" t="s">
        <v>8303</v>
      </c>
      <c r="L763" s="136"/>
      <c r="M763" s="136"/>
      <c r="N763" s="136"/>
    </row>
    <row r="764" spans="6:14">
      <c r="F764" s="136" t="s">
        <v>8304</v>
      </c>
      <c r="G764" s="136">
        <v>761</v>
      </c>
      <c r="H764" s="136" t="s">
        <v>8305</v>
      </c>
      <c r="I764" s="136" t="s">
        <v>8306</v>
      </c>
      <c r="J764" s="136" t="s">
        <v>8307</v>
      </c>
      <c r="L764" s="136"/>
      <c r="M764" s="136"/>
      <c r="N764" s="136"/>
    </row>
    <row r="765" spans="6:14">
      <c r="F765" s="136" t="s">
        <v>8308</v>
      </c>
      <c r="G765" s="136">
        <v>762</v>
      </c>
      <c r="H765" s="136" t="s">
        <v>5237</v>
      </c>
      <c r="I765" s="136" t="s">
        <v>5238</v>
      </c>
      <c r="J765" s="136" t="s">
        <v>8309</v>
      </c>
      <c r="L765" s="136"/>
      <c r="M765" s="136"/>
      <c r="N765" s="136"/>
    </row>
    <row r="766" spans="6:14">
      <c r="F766" s="136" t="s">
        <v>8310</v>
      </c>
      <c r="G766" s="136">
        <v>763</v>
      </c>
      <c r="H766" s="136" t="s">
        <v>8311</v>
      </c>
      <c r="I766" s="136" t="s">
        <v>8312</v>
      </c>
      <c r="J766" s="136" t="s">
        <v>8313</v>
      </c>
      <c r="L766" s="136"/>
      <c r="M766" s="136"/>
      <c r="N766" s="136"/>
    </row>
    <row r="767" spans="6:14">
      <c r="F767" s="136" t="s">
        <v>8314</v>
      </c>
      <c r="G767" s="136">
        <v>764</v>
      </c>
      <c r="H767" s="136" t="s">
        <v>8315</v>
      </c>
      <c r="I767" s="136" t="s">
        <v>8316</v>
      </c>
      <c r="J767" s="136" t="s">
        <v>8317</v>
      </c>
      <c r="L767" s="136"/>
      <c r="M767" s="136"/>
      <c r="N767" s="136"/>
    </row>
    <row r="768" spans="6:14">
      <c r="F768" s="136" t="s">
        <v>8318</v>
      </c>
      <c r="G768" s="136">
        <v>765</v>
      </c>
      <c r="H768" s="136" t="s">
        <v>2569</v>
      </c>
      <c r="I768" s="136" t="s">
        <v>2570</v>
      </c>
      <c r="J768" s="136" t="s">
        <v>8319</v>
      </c>
      <c r="L768" s="136"/>
      <c r="M768" s="136"/>
      <c r="N768" s="136"/>
    </row>
    <row r="769" spans="6:14">
      <c r="F769" s="136" t="s">
        <v>8320</v>
      </c>
      <c r="G769" s="136">
        <v>766</v>
      </c>
      <c r="H769" s="136" t="s">
        <v>4089</v>
      </c>
      <c r="I769" s="136" t="s">
        <v>4090</v>
      </c>
      <c r="J769" s="136" t="s">
        <v>8321</v>
      </c>
      <c r="L769" s="136"/>
      <c r="M769" s="136"/>
      <c r="N769" s="136"/>
    </row>
    <row r="770" spans="6:14">
      <c r="F770" s="136" t="s">
        <v>8322</v>
      </c>
      <c r="G770" s="136">
        <v>767</v>
      </c>
      <c r="H770" s="136" t="s">
        <v>2422</v>
      </c>
      <c r="I770" s="136" t="s">
        <v>2423</v>
      </c>
      <c r="J770" s="136" t="s">
        <v>8323</v>
      </c>
      <c r="L770" s="136"/>
      <c r="M770" s="136"/>
      <c r="N770" s="136"/>
    </row>
    <row r="771" spans="6:14">
      <c r="F771" s="136" t="s">
        <v>8324</v>
      </c>
      <c r="G771" s="136">
        <v>768</v>
      </c>
      <c r="H771" s="136" t="s">
        <v>8325</v>
      </c>
      <c r="I771" s="136" t="s">
        <v>8326</v>
      </c>
      <c r="J771" s="136" t="s">
        <v>8327</v>
      </c>
      <c r="L771" s="136"/>
      <c r="M771" s="136"/>
      <c r="N771" s="136"/>
    </row>
    <row r="772" spans="6:14">
      <c r="F772" s="136" t="s">
        <v>8328</v>
      </c>
      <c r="G772" s="136">
        <v>769</v>
      </c>
      <c r="H772" s="136" t="s">
        <v>5442</v>
      </c>
      <c r="I772" s="136" t="s">
        <v>5442</v>
      </c>
      <c r="J772" s="136" t="s">
        <v>8329</v>
      </c>
      <c r="L772" s="136"/>
      <c r="M772" s="136"/>
      <c r="N772" s="136"/>
    </row>
    <row r="773" spans="6:14">
      <c r="F773" s="136" t="s">
        <v>8330</v>
      </c>
      <c r="G773" s="136">
        <v>770</v>
      </c>
      <c r="H773" s="136" t="s">
        <v>8331</v>
      </c>
      <c r="I773" s="136" t="s">
        <v>8332</v>
      </c>
      <c r="J773" s="136" t="s">
        <v>8333</v>
      </c>
      <c r="L773" s="136"/>
      <c r="M773" s="136"/>
      <c r="N773" s="136"/>
    </row>
    <row r="774" spans="6:14">
      <c r="F774" s="136" t="s">
        <v>8334</v>
      </c>
      <c r="G774" s="136">
        <v>771</v>
      </c>
      <c r="H774" s="136" t="s">
        <v>4054</v>
      </c>
      <c r="I774" s="136" t="s">
        <v>4055</v>
      </c>
      <c r="J774" s="136" t="s">
        <v>8335</v>
      </c>
      <c r="L774" s="136"/>
      <c r="M774" s="136"/>
      <c r="N774" s="136"/>
    </row>
    <row r="775" spans="6:14">
      <c r="F775" s="136" t="s">
        <v>8336</v>
      </c>
      <c r="G775" s="136">
        <v>772</v>
      </c>
      <c r="H775" s="136" t="s">
        <v>1848</v>
      </c>
      <c r="I775" s="136" t="s">
        <v>1849</v>
      </c>
      <c r="J775" s="136" t="s">
        <v>8337</v>
      </c>
      <c r="L775" s="136"/>
      <c r="M775" s="136"/>
      <c r="N775" s="136"/>
    </row>
    <row r="776" spans="6:14">
      <c r="F776" s="136" t="s">
        <v>8338</v>
      </c>
      <c r="G776" s="136">
        <v>773</v>
      </c>
      <c r="H776" s="136" t="s">
        <v>8339</v>
      </c>
      <c r="I776" s="136" t="s">
        <v>8339</v>
      </c>
      <c r="J776" s="136" t="s">
        <v>8340</v>
      </c>
      <c r="L776" s="136"/>
      <c r="M776" s="136"/>
      <c r="N776" s="136"/>
    </row>
    <row r="777" spans="6:14">
      <c r="F777" s="136" t="s">
        <v>8341</v>
      </c>
      <c r="G777" s="136">
        <v>774</v>
      </c>
      <c r="H777" s="136" t="s">
        <v>8342</v>
      </c>
      <c r="I777" s="136" t="s">
        <v>8343</v>
      </c>
      <c r="J777" s="136" t="s">
        <v>8344</v>
      </c>
      <c r="L777" s="136"/>
      <c r="M777" s="136"/>
      <c r="N777" s="136"/>
    </row>
    <row r="778" spans="6:14">
      <c r="F778" s="136" t="s">
        <v>8345</v>
      </c>
      <c r="G778" s="136">
        <v>775</v>
      </c>
      <c r="H778" s="136" t="s">
        <v>5568</v>
      </c>
      <c r="I778" s="136" t="s">
        <v>5569</v>
      </c>
      <c r="J778" s="136" t="s">
        <v>8346</v>
      </c>
      <c r="L778" s="136"/>
      <c r="M778" s="136"/>
      <c r="N778" s="136"/>
    </row>
    <row r="779" spans="6:14">
      <c r="F779" s="136" t="s">
        <v>8347</v>
      </c>
      <c r="G779" s="136">
        <v>776</v>
      </c>
      <c r="H779" s="136" t="s">
        <v>8348</v>
      </c>
      <c r="I779" s="136" t="s">
        <v>8349</v>
      </c>
      <c r="J779" s="136" t="s">
        <v>8350</v>
      </c>
      <c r="L779" s="136"/>
      <c r="M779" s="136"/>
      <c r="N779" s="136"/>
    </row>
    <row r="780" spans="6:14">
      <c r="F780" s="136" t="s">
        <v>8351</v>
      </c>
      <c r="G780" s="136">
        <v>777</v>
      </c>
      <c r="H780" s="136" t="s">
        <v>8352</v>
      </c>
      <c r="I780" s="136" t="s">
        <v>8353</v>
      </c>
      <c r="J780" s="136" t="s">
        <v>8354</v>
      </c>
      <c r="L780" s="136"/>
      <c r="M780" s="136"/>
      <c r="N780" s="136"/>
    </row>
    <row r="781" spans="6:14">
      <c r="F781" s="136" t="s">
        <v>8355</v>
      </c>
      <c r="G781" s="136">
        <v>778</v>
      </c>
      <c r="H781" s="136" t="s">
        <v>2708</v>
      </c>
      <c r="I781" s="136" t="s">
        <v>2709</v>
      </c>
      <c r="J781" s="136" t="s">
        <v>8356</v>
      </c>
      <c r="L781" s="136"/>
      <c r="M781" s="136"/>
      <c r="N781" s="136"/>
    </row>
    <row r="782" spans="6:14">
      <c r="F782" s="136" t="s">
        <v>8357</v>
      </c>
      <c r="G782" s="136">
        <v>779</v>
      </c>
      <c r="H782" s="136" t="s">
        <v>3344</v>
      </c>
      <c r="I782" s="136" t="s">
        <v>3345</v>
      </c>
      <c r="J782" s="136" t="s">
        <v>8358</v>
      </c>
      <c r="L782" s="136"/>
      <c r="M782" s="136"/>
      <c r="N782" s="136"/>
    </row>
    <row r="783" spans="6:14">
      <c r="F783" s="136" t="s">
        <v>8359</v>
      </c>
      <c r="G783" s="136">
        <v>780</v>
      </c>
      <c r="H783" s="136" t="s">
        <v>8360</v>
      </c>
      <c r="I783" s="136" t="s">
        <v>8361</v>
      </c>
      <c r="J783" s="136" t="s">
        <v>8362</v>
      </c>
      <c r="L783" s="136"/>
      <c r="M783" s="136"/>
      <c r="N783" s="136"/>
    </row>
    <row r="784" spans="6:14">
      <c r="F784" s="136" t="s">
        <v>8363</v>
      </c>
      <c r="G784" s="136">
        <v>781</v>
      </c>
      <c r="H784" s="136" t="s">
        <v>8364</v>
      </c>
      <c r="I784" s="136" t="s">
        <v>8365</v>
      </c>
      <c r="J784" s="136" t="s">
        <v>8366</v>
      </c>
      <c r="L784" s="136"/>
      <c r="M784" s="136"/>
      <c r="N784" s="136"/>
    </row>
    <row r="785" spans="6:14">
      <c r="F785" s="136" t="s">
        <v>8367</v>
      </c>
      <c r="G785" s="136">
        <v>782</v>
      </c>
      <c r="H785" s="136" t="s">
        <v>8368</v>
      </c>
      <c r="I785" s="136" t="s">
        <v>8369</v>
      </c>
      <c r="J785" s="136" t="s">
        <v>8370</v>
      </c>
      <c r="L785" s="136"/>
      <c r="M785" s="136"/>
      <c r="N785" s="136"/>
    </row>
    <row r="786" spans="6:14">
      <c r="F786" s="136" t="s">
        <v>8371</v>
      </c>
      <c r="G786" s="136">
        <v>783</v>
      </c>
      <c r="H786" s="136" t="s">
        <v>1106</v>
      </c>
      <c r="I786" s="136" t="s">
        <v>1108</v>
      </c>
      <c r="J786" s="136" t="s">
        <v>8372</v>
      </c>
      <c r="L786" s="136"/>
      <c r="M786" s="136"/>
      <c r="N786" s="136"/>
    </row>
    <row r="787" spans="6:14">
      <c r="F787" s="136" t="s">
        <v>8373</v>
      </c>
      <c r="G787" s="136">
        <v>784</v>
      </c>
      <c r="H787" s="136" t="s">
        <v>2199</v>
      </c>
      <c r="I787" s="136" t="s">
        <v>2200</v>
      </c>
      <c r="J787" s="136" t="s">
        <v>8374</v>
      </c>
      <c r="L787" s="136"/>
      <c r="M787" s="136"/>
      <c r="N787" s="136"/>
    </row>
    <row r="788" spans="6:14">
      <c r="F788" s="136" t="s">
        <v>8375</v>
      </c>
      <c r="G788" s="136">
        <v>785</v>
      </c>
      <c r="H788" s="136" t="s">
        <v>2107</v>
      </c>
      <c r="I788" s="136" t="s">
        <v>2108</v>
      </c>
      <c r="J788" s="136" t="s">
        <v>8376</v>
      </c>
      <c r="L788" s="136"/>
      <c r="M788" s="136"/>
      <c r="N788" s="136"/>
    </row>
    <row r="789" spans="6:14">
      <c r="F789" s="136" t="s">
        <v>8377</v>
      </c>
      <c r="G789" s="136">
        <v>786</v>
      </c>
      <c r="H789" s="136" t="s">
        <v>4539</v>
      </c>
      <c r="I789" s="136" t="s">
        <v>4540</v>
      </c>
      <c r="J789" s="136" t="s">
        <v>8378</v>
      </c>
      <c r="L789" s="136"/>
      <c r="M789" s="136"/>
      <c r="N789" s="136"/>
    </row>
    <row r="790" spans="6:14">
      <c r="F790" s="136" t="s">
        <v>8379</v>
      </c>
      <c r="G790" s="136">
        <v>787</v>
      </c>
      <c r="H790" s="136" t="s">
        <v>763</v>
      </c>
      <c r="I790" s="136" t="s">
        <v>764</v>
      </c>
      <c r="J790" s="136" t="s">
        <v>8380</v>
      </c>
      <c r="L790" s="136"/>
      <c r="M790" s="136"/>
      <c r="N790" s="136"/>
    </row>
    <row r="791" spans="6:14">
      <c r="F791" s="136" t="s">
        <v>8381</v>
      </c>
      <c r="G791" s="136">
        <v>788</v>
      </c>
      <c r="H791" s="136" t="s">
        <v>524</v>
      </c>
      <c r="I791" s="136" t="s">
        <v>526</v>
      </c>
      <c r="J791" s="136" t="s">
        <v>8382</v>
      </c>
      <c r="L791" s="136"/>
      <c r="M791" s="136"/>
      <c r="N791" s="136"/>
    </row>
    <row r="792" spans="6:14">
      <c r="F792" s="136" t="s">
        <v>8383</v>
      </c>
      <c r="G792" s="136">
        <v>789</v>
      </c>
      <c r="H792" s="136" t="s">
        <v>1811</v>
      </c>
      <c r="I792" s="136" t="s">
        <v>1812</v>
      </c>
      <c r="J792" s="136" t="s">
        <v>8384</v>
      </c>
      <c r="L792" s="136"/>
      <c r="M792" s="136"/>
      <c r="N792" s="136"/>
    </row>
    <row r="793" spans="6:14">
      <c r="F793" s="136" t="s">
        <v>8385</v>
      </c>
      <c r="G793" s="136">
        <v>790</v>
      </c>
      <c r="H793" s="136" t="s">
        <v>6416</v>
      </c>
      <c r="I793" s="136" t="s">
        <v>7067</v>
      </c>
      <c r="J793" s="136" t="s">
        <v>8386</v>
      </c>
      <c r="L793" s="136"/>
      <c r="M793" s="136"/>
      <c r="N793" s="136"/>
    </row>
    <row r="794" spans="6:14">
      <c r="F794" s="136" t="s">
        <v>8387</v>
      </c>
      <c r="G794" s="136">
        <v>791</v>
      </c>
      <c r="H794" s="136" t="s">
        <v>8388</v>
      </c>
      <c r="I794" s="136" t="s">
        <v>8389</v>
      </c>
      <c r="J794" s="136" t="s">
        <v>8390</v>
      </c>
      <c r="L794" s="136"/>
      <c r="M794" s="136"/>
      <c r="N794" s="136"/>
    </row>
    <row r="795" spans="6:14">
      <c r="F795" s="136" t="s">
        <v>8391</v>
      </c>
      <c r="G795" s="136">
        <v>792</v>
      </c>
      <c r="H795" s="136" t="s">
        <v>7098</v>
      </c>
      <c r="I795" s="136" t="s">
        <v>7098</v>
      </c>
      <c r="J795" s="136" t="s">
        <v>8392</v>
      </c>
      <c r="L795" s="136"/>
      <c r="M795" s="136"/>
      <c r="N795" s="136"/>
    </row>
    <row r="796" spans="6:14">
      <c r="F796" s="136" t="s">
        <v>8393</v>
      </c>
      <c r="G796" s="136">
        <v>793</v>
      </c>
      <c r="H796" s="136" t="s">
        <v>3537</v>
      </c>
      <c r="I796" s="136" t="s">
        <v>3538</v>
      </c>
      <c r="J796" s="136" t="s">
        <v>8394</v>
      </c>
      <c r="L796" s="136"/>
      <c r="M796" s="136"/>
      <c r="N796" s="136"/>
    </row>
    <row r="797" spans="6:14">
      <c r="F797" s="136" t="s">
        <v>8395</v>
      </c>
      <c r="G797" s="136">
        <v>794</v>
      </c>
      <c r="H797" s="136" t="s">
        <v>3902</v>
      </c>
      <c r="I797" s="136" t="s">
        <v>3902</v>
      </c>
      <c r="J797" s="136" t="s">
        <v>8396</v>
      </c>
      <c r="L797" s="136"/>
      <c r="M797" s="136"/>
      <c r="N797" s="136"/>
    </row>
    <row r="798" spans="6:14">
      <c r="F798" s="136" t="s">
        <v>8397</v>
      </c>
      <c r="G798" s="136">
        <v>795</v>
      </c>
      <c r="H798" s="136" t="s">
        <v>2284</v>
      </c>
      <c r="I798" s="136" t="s">
        <v>471</v>
      </c>
      <c r="J798" s="136" t="s">
        <v>8398</v>
      </c>
      <c r="L798" s="136"/>
      <c r="M798" s="136"/>
      <c r="N798" s="136"/>
    </row>
    <row r="799" spans="6:14">
      <c r="F799" s="136" t="s">
        <v>8399</v>
      </c>
      <c r="G799" s="136">
        <v>796</v>
      </c>
      <c r="H799" s="136" t="s">
        <v>3023</v>
      </c>
      <c r="I799" s="136" t="s">
        <v>3024</v>
      </c>
      <c r="J799" s="136" t="s">
        <v>8400</v>
      </c>
      <c r="L799" s="136"/>
      <c r="M799" s="136"/>
      <c r="N799" s="136"/>
    </row>
    <row r="800" spans="6:14">
      <c r="F800" s="136" t="s">
        <v>8401</v>
      </c>
      <c r="G800" s="136">
        <v>797</v>
      </c>
      <c r="H800" s="136" t="s">
        <v>8402</v>
      </c>
      <c r="I800" s="136" t="s">
        <v>8403</v>
      </c>
      <c r="J800" s="136" t="s">
        <v>8404</v>
      </c>
      <c r="L800" s="136"/>
      <c r="M800" s="136"/>
      <c r="N800" s="136"/>
    </row>
    <row r="801" spans="6:14">
      <c r="F801" s="136" t="s">
        <v>8405</v>
      </c>
      <c r="G801" s="136">
        <v>798</v>
      </c>
      <c r="H801" s="136" t="s">
        <v>8406</v>
      </c>
      <c r="I801" s="136" t="s">
        <v>8407</v>
      </c>
      <c r="J801" s="136" t="s">
        <v>8408</v>
      </c>
      <c r="L801" s="136"/>
      <c r="M801" s="136"/>
      <c r="N801" s="136"/>
    </row>
    <row r="802" spans="6:14">
      <c r="F802" s="136" t="s">
        <v>8409</v>
      </c>
      <c r="G802" s="136">
        <v>799</v>
      </c>
      <c r="H802" s="136" t="s">
        <v>5490</v>
      </c>
      <c r="I802" s="136" t="s">
        <v>5492</v>
      </c>
      <c r="J802" s="136" t="s">
        <v>8410</v>
      </c>
      <c r="L802" s="136"/>
      <c r="M802" s="136"/>
      <c r="N802" s="136"/>
    </row>
    <row r="803" spans="6:14">
      <c r="F803" s="136" t="s">
        <v>8411</v>
      </c>
      <c r="G803" s="136">
        <v>800</v>
      </c>
      <c r="H803" s="136" t="s">
        <v>1985</v>
      </c>
      <c r="I803" s="136" t="s">
        <v>1986</v>
      </c>
      <c r="J803" s="136" t="s">
        <v>8412</v>
      </c>
      <c r="L803" s="136"/>
      <c r="M803" s="136"/>
      <c r="N803" s="136"/>
    </row>
    <row r="804" spans="6:14">
      <c r="F804" s="136" t="s">
        <v>8413</v>
      </c>
      <c r="G804" s="136">
        <v>801</v>
      </c>
      <c r="H804" s="136" t="s">
        <v>2632</v>
      </c>
      <c r="I804" s="136" t="s">
        <v>2633</v>
      </c>
      <c r="J804" s="136" t="s">
        <v>8414</v>
      </c>
      <c r="L804" s="136"/>
      <c r="M804" s="136"/>
      <c r="N804" s="136"/>
    </row>
    <row r="805" spans="6:14">
      <c r="F805" s="136" t="s">
        <v>8415</v>
      </c>
      <c r="G805" s="136">
        <v>802</v>
      </c>
      <c r="H805" s="136" t="s">
        <v>3809</v>
      </c>
      <c r="I805" s="136" t="s">
        <v>3810</v>
      </c>
      <c r="J805" s="136" t="s">
        <v>8416</v>
      </c>
      <c r="L805" s="136"/>
      <c r="M805" s="136"/>
      <c r="N805" s="136"/>
    </row>
    <row r="806" spans="6:14">
      <c r="F806" s="136" t="s">
        <v>8417</v>
      </c>
      <c r="G806" s="136">
        <v>803</v>
      </c>
      <c r="H806" s="136" t="s">
        <v>476</v>
      </c>
      <c r="I806" s="136" t="s">
        <v>477</v>
      </c>
      <c r="J806" s="136" t="s">
        <v>8418</v>
      </c>
      <c r="L806" s="136"/>
      <c r="M806" s="136"/>
      <c r="N806" s="136"/>
    </row>
    <row r="807" spans="6:14">
      <c r="F807" s="136" t="s">
        <v>8419</v>
      </c>
      <c r="G807" s="136">
        <v>804</v>
      </c>
      <c r="H807" s="136" t="s">
        <v>8420</v>
      </c>
      <c r="I807" s="136" t="s">
        <v>7744</v>
      </c>
      <c r="J807" s="136" t="s">
        <v>8421</v>
      </c>
      <c r="L807" s="136"/>
      <c r="M807" s="136"/>
      <c r="N807" s="136"/>
    </row>
    <row r="808" spans="6:14">
      <c r="F808" s="136" t="s">
        <v>8422</v>
      </c>
      <c r="G808" s="136">
        <v>805</v>
      </c>
      <c r="H808" s="136" t="s">
        <v>8423</v>
      </c>
      <c r="I808" s="136" t="s">
        <v>8424</v>
      </c>
      <c r="J808" s="136" t="s">
        <v>8425</v>
      </c>
      <c r="L808" s="136"/>
      <c r="M808" s="136"/>
      <c r="N808" s="136"/>
    </row>
    <row r="809" spans="6:14">
      <c r="F809" s="136" t="s">
        <v>8426</v>
      </c>
      <c r="G809" s="136">
        <v>806</v>
      </c>
      <c r="H809" s="136" t="s">
        <v>8427</v>
      </c>
      <c r="I809" s="136" t="s">
        <v>8428</v>
      </c>
      <c r="J809" s="136" t="s">
        <v>8429</v>
      </c>
      <c r="L809" s="136"/>
      <c r="M809" s="136"/>
      <c r="N809" s="136"/>
    </row>
    <row r="810" spans="6:14">
      <c r="F810" s="136" t="s">
        <v>8430</v>
      </c>
      <c r="G810" s="136">
        <v>807</v>
      </c>
      <c r="H810" s="136" t="s">
        <v>3609</v>
      </c>
      <c r="I810" s="136" t="s">
        <v>3610</v>
      </c>
      <c r="J810" s="136" t="s">
        <v>8431</v>
      </c>
      <c r="L810" s="136"/>
      <c r="M810" s="136"/>
      <c r="N810" s="136"/>
    </row>
    <row r="811" spans="6:14">
      <c r="F811" s="136" t="s">
        <v>8432</v>
      </c>
      <c r="G811" s="136">
        <v>808</v>
      </c>
      <c r="H811" s="136" t="s">
        <v>8433</v>
      </c>
      <c r="I811" s="136" t="s">
        <v>8434</v>
      </c>
      <c r="J811" s="136" t="s">
        <v>8435</v>
      </c>
      <c r="L811" s="136"/>
      <c r="M811" s="136"/>
      <c r="N811" s="136"/>
    </row>
    <row r="812" spans="6:14">
      <c r="F812" s="136" t="s">
        <v>8436</v>
      </c>
      <c r="G812" s="136">
        <v>809</v>
      </c>
      <c r="H812" s="136" t="s">
        <v>4149</v>
      </c>
      <c r="I812" s="136" t="s">
        <v>4150</v>
      </c>
      <c r="J812" s="136" t="s">
        <v>8437</v>
      </c>
      <c r="L812" s="136"/>
      <c r="M812" s="136"/>
      <c r="N812" s="136"/>
    </row>
    <row r="813" spans="6:14">
      <c r="F813" s="136" t="s">
        <v>8438</v>
      </c>
      <c r="G813" s="136">
        <v>810</v>
      </c>
      <c r="H813" s="136" t="s">
        <v>3289</v>
      </c>
      <c r="I813" s="136" t="s">
        <v>3290</v>
      </c>
      <c r="J813" s="136" t="s">
        <v>8439</v>
      </c>
      <c r="L813" s="136"/>
      <c r="M813" s="136"/>
      <c r="N813" s="136"/>
    </row>
    <row r="814" spans="6:14">
      <c r="F814" s="136" t="s">
        <v>8440</v>
      </c>
      <c r="G814" s="136">
        <v>811</v>
      </c>
      <c r="H814" s="136" t="s">
        <v>1336</v>
      </c>
      <c r="I814" s="136" t="s">
        <v>1337</v>
      </c>
      <c r="J814" s="136" t="s">
        <v>8441</v>
      </c>
      <c r="L814" s="136"/>
      <c r="M814" s="136"/>
      <c r="N814" s="136"/>
    </row>
    <row r="815" spans="6:14">
      <c r="F815" s="136" t="s">
        <v>8442</v>
      </c>
      <c r="G815" s="136">
        <v>812</v>
      </c>
      <c r="H815" s="136" t="s">
        <v>1373</v>
      </c>
      <c r="I815" s="136" t="s">
        <v>1374</v>
      </c>
      <c r="J815" s="136" t="s">
        <v>8443</v>
      </c>
      <c r="L815" s="136"/>
      <c r="M815" s="136"/>
      <c r="N815" s="136"/>
    </row>
    <row r="816" spans="6:14">
      <c r="F816" s="136" t="s">
        <v>8444</v>
      </c>
      <c r="G816" s="136">
        <v>813</v>
      </c>
      <c r="H816" s="136" t="s">
        <v>738</v>
      </c>
      <c r="I816" s="136" t="s">
        <v>741</v>
      </c>
      <c r="J816" s="136" t="s">
        <v>8445</v>
      </c>
      <c r="L816" s="136"/>
      <c r="M816" s="136"/>
      <c r="N816" s="136"/>
    </row>
    <row r="817" spans="6:14">
      <c r="F817" s="136" t="s">
        <v>8446</v>
      </c>
      <c r="G817" s="136">
        <v>814</v>
      </c>
      <c r="H817" s="136" t="s">
        <v>4156</v>
      </c>
      <c r="I817" s="136" t="s">
        <v>4168</v>
      </c>
      <c r="J817" s="136" t="s">
        <v>8447</v>
      </c>
      <c r="L817" s="136"/>
      <c r="M817" s="136"/>
      <c r="N817" s="136"/>
    </row>
    <row r="818" spans="6:14">
      <c r="F818" s="136" t="s">
        <v>8448</v>
      </c>
      <c r="G818" s="136">
        <v>815</v>
      </c>
      <c r="H818" s="136" t="s">
        <v>1508</v>
      </c>
      <c r="I818" s="136" t="s">
        <v>1509</v>
      </c>
      <c r="J818" s="136" t="s">
        <v>8449</v>
      </c>
      <c r="L818" s="136"/>
      <c r="M818" s="136"/>
      <c r="N818" s="136"/>
    </row>
    <row r="819" spans="6:14">
      <c r="F819" s="136" t="s">
        <v>8450</v>
      </c>
      <c r="G819" s="136">
        <v>816</v>
      </c>
      <c r="H819" s="136" t="s">
        <v>1636</v>
      </c>
      <c r="I819" s="136" t="s">
        <v>1638</v>
      </c>
      <c r="J819" s="136" t="s">
        <v>8451</v>
      </c>
      <c r="L819" s="136"/>
      <c r="M819" s="136"/>
      <c r="N819" s="136"/>
    </row>
    <row r="820" spans="6:14">
      <c r="F820" s="136" t="s">
        <v>8452</v>
      </c>
      <c r="G820" s="136">
        <v>817</v>
      </c>
      <c r="H820" s="136" t="s">
        <v>2917</v>
      </c>
      <c r="I820" s="136" t="s">
        <v>2918</v>
      </c>
      <c r="J820" s="136" t="s">
        <v>8453</v>
      </c>
      <c r="L820" s="136"/>
      <c r="M820" s="136"/>
      <c r="N820" s="136"/>
    </row>
    <row r="821" spans="6:14">
      <c r="F821" s="136" t="s">
        <v>8454</v>
      </c>
      <c r="G821" s="136">
        <v>818</v>
      </c>
      <c r="H821" s="136" t="s">
        <v>8455</v>
      </c>
      <c r="I821" s="136" t="s">
        <v>8456</v>
      </c>
      <c r="J821" s="136" t="s">
        <v>8457</v>
      </c>
      <c r="L821" s="136"/>
      <c r="M821" s="136"/>
      <c r="N821" s="136"/>
    </row>
    <row r="822" spans="6:14">
      <c r="F822" s="136" t="s">
        <v>8458</v>
      </c>
      <c r="G822" s="136">
        <v>819</v>
      </c>
      <c r="H822" s="136" t="s">
        <v>8459</v>
      </c>
      <c r="I822" s="136" t="s">
        <v>8460</v>
      </c>
      <c r="J822" s="136" t="s">
        <v>8461</v>
      </c>
      <c r="L822" s="136"/>
      <c r="M822" s="136"/>
      <c r="N822" s="136"/>
    </row>
    <row r="823" spans="6:14">
      <c r="F823" s="136" t="s">
        <v>8462</v>
      </c>
      <c r="G823" s="136">
        <v>820</v>
      </c>
      <c r="H823" s="136" t="s">
        <v>5630</v>
      </c>
      <c r="I823" s="136" t="s">
        <v>8463</v>
      </c>
      <c r="J823" s="136" t="s">
        <v>8464</v>
      </c>
      <c r="L823" s="136"/>
      <c r="M823" s="136"/>
      <c r="N823" s="136"/>
    </row>
    <row r="824" spans="6:14">
      <c r="F824" s="136" t="s">
        <v>8465</v>
      </c>
      <c r="G824" s="136">
        <v>821</v>
      </c>
      <c r="H824" s="136" t="s">
        <v>8466</v>
      </c>
      <c r="I824" s="136" t="s">
        <v>8467</v>
      </c>
      <c r="J824" s="136" t="s">
        <v>8468</v>
      </c>
      <c r="L824" s="136"/>
      <c r="M824" s="136"/>
      <c r="N824" s="136"/>
    </row>
    <row r="825" spans="6:14">
      <c r="F825" s="136" t="s">
        <v>8469</v>
      </c>
      <c r="G825" s="136">
        <v>822</v>
      </c>
      <c r="H825" s="136" t="s">
        <v>8470</v>
      </c>
      <c r="I825" s="136" t="s">
        <v>8471</v>
      </c>
      <c r="J825" s="136" t="s">
        <v>8472</v>
      </c>
      <c r="L825" s="136"/>
      <c r="M825" s="136"/>
      <c r="N825" s="136"/>
    </row>
    <row r="826" spans="6:14">
      <c r="F826" s="136" t="s">
        <v>8473</v>
      </c>
      <c r="G826" s="136">
        <v>823</v>
      </c>
      <c r="H826" s="136" t="s">
        <v>3311</v>
      </c>
      <c r="I826" s="136" t="s">
        <v>3312</v>
      </c>
      <c r="J826" s="136" t="s">
        <v>8474</v>
      </c>
      <c r="L826" s="136"/>
      <c r="M826" s="136"/>
      <c r="N826" s="136"/>
    </row>
    <row r="827" spans="6:14">
      <c r="F827" s="136" t="s">
        <v>8475</v>
      </c>
      <c r="G827" s="136">
        <v>824</v>
      </c>
      <c r="H827" s="136" t="s">
        <v>2398</v>
      </c>
      <c r="I827" s="136" t="s">
        <v>2399</v>
      </c>
      <c r="J827" s="136" t="s">
        <v>8476</v>
      </c>
      <c r="L827" s="136"/>
      <c r="M827" s="136"/>
      <c r="N827" s="136"/>
    </row>
    <row r="828" spans="6:14">
      <c r="F828" s="136" t="s">
        <v>8477</v>
      </c>
      <c r="G828" s="136">
        <v>825</v>
      </c>
      <c r="H828" s="136" t="s">
        <v>5674</v>
      </c>
      <c r="I828" s="136" t="s">
        <v>5675</v>
      </c>
      <c r="J828" s="136" t="s">
        <v>8478</v>
      </c>
      <c r="L828" s="136"/>
      <c r="M828" s="136"/>
      <c r="N828" s="136"/>
    </row>
    <row r="829" spans="6:14">
      <c r="F829" s="136" t="s">
        <v>8479</v>
      </c>
      <c r="G829" s="136">
        <v>826</v>
      </c>
      <c r="H829" s="136" t="s">
        <v>1485</v>
      </c>
      <c r="I829" s="136" t="s">
        <v>1486</v>
      </c>
      <c r="J829" s="136" t="s">
        <v>8480</v>
      </c>
      <c r="L829" s="136"/>
      <c r="M829" s="136"/>
      <c r="N829" s="136"/>
    </row>
    <row r="830" spans="6:14">
      <c r="F830" s="136" t="s">
        <v>8481</v>
      </c>
      <c r="G830" s="136">
        <v>827</v>
      </c>
      <c r="H830" s="136" t="s">
        <v>932</v>
      </c>
      <c r="I830" s="136" t="s">
        <v>933</v>
      </c>
      <c r="J830" s="136" t="s">
        <v>8482</v>
      </c>
      <c r="L830" s="136"/>
      <c r="M830" s="136"/>
      <c r="N830" s="136"/>
    </row>
    <row r="831" spans="6:14">
      <c r="F831" s="136" t="s">
        <v>8483</v>
      </c>
      <c r="G831" s="136">
        <v>828</v>
      </c>
      <c r="H831" s="136" t="s">
        <v>4563</v>
      </c>
      <c r="I831" s="136" t="s">
        <v>4564</v>
      </c>
      <c r="J831" s="136" t="s">
        <v>8484</v>
      </c>
      <c r="L831" s="136"/>
      <c r="M831" s="136"/>
      <c r="N831" s="136"/>
    </row>
    <row r="832" spans="6:14">
      <c r="F832" s="136" t="s">
        <v>8485</v>
      </c>
      <c r="G832" s="136">
        <v>829</v>
      </c>
      <c r="H832" s="136" t="s">
        <v>4515</v>
      </c>
      <c r="I832" s="136" t="s">
        <v>4516</v>
      </c>
      <c r="J832" s="136" t="s">
        <v>8486</v>
      </c>
      <c r="L832" s="136"/>
      <c r="M832" s="136"/>
      <c r="N832" s="136"/>
    </row>
    <row r="833" spans="6:14">
      <c r="F833" s="136" t="s">
        <v>8487</v>
      </c>
      <c r="G833" s="136">
        <v>830</v>
      </c>
      <c r="H833" s="136" t="s">
        <v>8488</v>
      </c>
      <c r="I833" s="136" t="s">
        <v>8489</v>
      </c>
      <c r="J833" s="136" t="s">
        <v>8490</v>
      </c>
      <c r="L833" s="136"/>
      <c r="M833" s="136"/>
      <c r="N833" s="136"/>
    </row>
    <row r="834" spans="6:14">
      <c r="F834" s="136" t="s">
        <v>8491</v>
      </c>
      <c r="G834" s="136">
        <v>831</v>
      </c>
      <c r="H834" s="136" t="s">
        <v>1340</v>
      </c>
      <c r="I834" s="136" t="s">
        <v>1341</v>
      </c>
      <c r="J834" s="136" t="s">
        <v>8492</v>
      </c>
      <c r="L834" s="136"/>
      <c r="M834" s="136"/>
      <c r="N834" s="136"/>
    </row>
    <row r="835" spans="6:14">
      <c r="F835" s="136" t="s">
        <v>8493</v>
      </c>
      <c r="G835" s="136">
        <v>832</v>
      </c>
      <c r="H835" s="136" t="s">
        <v>8494</v>
      </c>
      <c r="I835" s="136" t="s">
        <v>8495</v>
      </c>
      <c r="J835" s="136" t="s">
        <v>8496</v>
      </c>
      <c r="L835" s="136"/>
      <c r="M835" s="136"/>
      <c r="N835" s="136"/>
    </row>
    <row r="836" spans="6:14">
      <c r="F836" s="136" t="s">
        <v>8497</v>
      </c>
      <c r="G836" s="136">
        <v>833</v>
      </c>
      <c r="H836" s="136" t="s">
        <v>8498</v>
      </c>
      <c r="I836" s="136" t="s">
        <v>8499</v>
      </c>
      <c r="J836" s="136" t="s">
        <v>8500</v>
      </c>
      <c r="L836" s="136"/>
      <c r="M836" s="136"/>
      <c r="N836" s="136"/>
    </row>
    <row r="837" spans="6:14">
      <c r="F837" s="136" t="s">
        <v>8501</v>
      </c>
      <c r="G837" s="136">
        <v>834</v>
      </c>
      <c r="H837" s="136" t="s">
        <v>8502</v>
      </c>
      <c r="I837" s="136" t="s">
        <v>8503</v>
      </c>
      <c r="J837" s="136" t="s">
        <v>8504</v>
      </c>
      <c r="L837" s="136"/>
      <c r="M837" s="136"/>
      <c r="N837" s="136"/>
    </row>
    <row r="838" spans="6:14">
      <c r="F838" s="136" t="s">
        <v>8505</v>
      </c>
      <c r="G838" s="136">
        <v>835</v>
      </c>
      <c r="H838" s="136" t="s">
        <v>4156</v>
      </c>
      <c r="I838" s="136" t="s">
        <v>4169</v>
      </c>
      <c r="J838" s="136" t="s">
        <v>8506</v>
      </c>
      <c r="L838" s="136"/>
      <c r="M838" s="136"/>
      <c r="N838" s="136"/>
    </row>
    <row r="839" spans="6:14">
      <c r="F839" s="136" t="s">
        <v>8507</v>
      </c>
      <c r="G839" s="136">
        <v>836</v>
      </c>
      <c r="H839" s="136" t="s">
        <v>8508</v>
      </c>
      <c r="I839" s="136" t="s">
        <v>8509</v>
      </c>
      <c r="J839" s="136" t="s">
        <v>8510</v>
      </c>
      <c r="L839" s="136"/>
      <c r="M839" s="136"/>
      <c r="N839" s="136"/>
    </row>
    <row r="840" spans="6:14">
      <c r="F840" s="136" t="s">
        <v>8511</v>
      </c>
      <c r="G840" s="136">
        <v>837</v>
      </c>
      <c r="H840" s="136" t="s">
        <v>8120</v>
      </c>
      <c r="I840" s="136" t="s">
        <v>8120</v>
      </c>
      <c r="J840" s="136" t="s">
        <v>8512</v>
      </c>
      <c r="L840" s="136"/>
      <c r="M840" s="136"/>
      <c r="N840" s="136"/>
    </row>
    <row r="841" spans="6:14">
      <c r="F841" s="136" t="s">
        <v>8513</v>
      </c>
      <c r="G841" s="136">
        <v>838</v>
      </c>
      <c r="H841" s="136" t="s">
        <v>5265</v>
      </c>
      <c r="I841" s="136" t="s">
        <v>5266</v>
      </c>
      <c r="J841" s="136" t="s">
        <v>8514</v>
      </c>
      <c r="L841" s="136"/>
      <c r="M841" s="136"/>
      <c r="N841" s="136"/>
    </row>
    <row r="842" spans="6:14">
      <c r="F842" s="136" t="s">
        <v>8515</v>
      </c>
      <c r="G842" s="136">
        <v>839</v>
      </c>
      <c r="H842" s="136" t="s">
        <v>1191</v>
      </c>
      <c r="I842" s="136" t="s">
        <v>1192</v>
      </c>
      <c r="J842" s="136" t="s">
        <v>8516</v>
      </c>
      <c r="L842" s="136"/>
      <c r="M842" s="136"/>
      <c r="N842" s="136"/>
    </row>
    <row r="843" spans="6:14">
      <c r="F843" s="136" t="s">
        <v>8517</v>
      </c>
      <c r="G843" s="136">
        <v>840</v>
      </c>
      <c r="H843" s="136" t="s">
        <v>8518</v>
      </c>
      <c r="I843" s="136" t="s">
        <v>8519</v>
      </c>
      <c r="J843" s="136" t="s">
        <v>8520</v>
      </c>
      <c r="L843" s="136"/>
      <c r="M843" s="136"/>
      <c r="N843" s="136"/>
    </row>
    <row r="844" spans="6:14">
      <c r="F844" s="136" t="s">
        <v>8521</v>
      </c>
      <c r="G844" s="136">
        <v>841</v>
      </c>
      <c r="H844" s="136" t="s">
        <v>5901</v>
      </c>
      <c r="I844" s="136" t="s">
        <v>5902</v>
      </c>
      <c r="J844" s="136" t="s">
        <v>8522</v>
      </c>
      <c r="L844" s="136"/>
      <c r="M844" s="136"/>
      <c r="N844" s="136"/>
    </row>
    <row r="845" spans="6:14">
      <c r="F845" s="136" t="s">
        <v>8523</v>
      </c>
      <c r="G845" s="136">
        <v>842</v>
      </c>
      <c r="H845" s="136" t="s">
        <v>1697</v>
      </c>
      <c r="I845" s="136" t="s">
        <v>1698</v>
      </c>
      <c r="J845" s="136" t="s">
        <v>8524</v>
      </c>
      <c r="L845" s="136"/>
      <c r="M845" s="136"/>
      <c r="N845" s="136"/>
    </row>
    <row r="846" spans="6:14">
      <c r="F846" s="136" t="s">
        <v>8525</v>
      </c>
      <c r="G846" s="136">
        <v>843</v>
      </c>
      <c r="H846" s="136" t="s">
        <v>548</v>
      </c>
      <c r="I846" s="136" t="s">
        <v>558</v>
      </c>
      <c r="J846" s="136" t="s">
        <v>8526</v>
      </c>
      <c r="L846" s="136"/>
      <c r="M846" s="136"/>
      <c r="N846" s="136"/>
    </row>
    <row r="847" spans="6:14">
      <c r="F847" s="136" t="s">
        <v>8527</v>
      </c>
      <c r="G847" s="136">
        <v>844</v>
      </c>
      <c r="H847" s="136" t="s">
        <v>500</v>
      </c>
      <c r="I847" s="136" t="s">
        <v>501</v>
      </c>
      <c r="J847" s="136" t="s">
        <v>8528</v>
      </c>
      <c r="L847" s="136"/>
      <c r="M847" s="136"/>
      <c r="N847" s="136"/>
    </row>
    <row r="848" spans="6:14">
      <c r="F848" s="136" t="s">
        <v>8529</v>
      </c>
      <c r="G848" s="136">
        <v>845</v>
      </c>
      <c r="H848" s="136" t="s">
        <v>1899</v>
      </c>
      <c r="I848" s="136" t="s">
        <v>1903</v>
      </c>
      <c r="J848" s="136" t="s">
        <v>8530</v>
      </c>
      <c r="L848" s="136"/>
      <c r="M848" s="136"/>
      <c r="N848" s="136"/>
    </row>
    <row r="849" spans="6:14">
      <c r="F849" s="136" t="s">
        <v>8531</v>
      </c>
      <c r="G849" s="136">
        <v>846</v>
      </c>
      <c r="H849" s="136" t="s">
        <v>629</v>
      </c>
      <c r="I849" s="136" t="s">
        <v>630</v>
      </c>
      <c r="J849" s="136" t="s">
        <v>8532</v>
      </c>
      <c r="L849" s="136"/>
      <c r="M849" s="136"/>
      <c r="N849" s="136"/>
    </row>
    <row r="850" spans="6:14">
      <c r="F850" s="136" t="s">
        <v>8533</v>
      </c>
      <c r="G850" s="136">
        <v>847</v>
      </c>
      <c r="H850" s="136" t="s">
        <v>8534</v>
      </c>
      <c r="I850" s="136" t="s">
        <v>8535</v>
      </c>
      <c r="J850" s="136" t="s">
        <v>8536</v>
      </c>
      <c r="L850" s="136"/>
      <c r="M850" s="136"/>
      <c r="N850" s="136"/>
    </row>
    <row r="851" spans="6:14">
      <c r="F851" s="136" t="s">
        <v>8537</v>
      </c>
      <c r="G851" s="136">
        <v>848</v>
      </c>
      <c r="H851" s="136" t="s">
        <v>548</v>
      </c>
      <c r="I851" s="136" t="s">
        <v>554</v>
      </c>
      <c r="J851" s="136" t="s">
        <v>8538</v>
      </c>
      <c r="L851" s="136"/>
      <c r="M851" s="136"/>
      <c r="N851" s="136"/>
    </row>
    <row r="852" spans="6:14">
      <c r="F852" s="136" t="s">
        <v>8539</v>
      </c>
      <c r="G852" s="136">
        <v>849</v>
      </c>
      <c r="H852" s="136" t="s">
        <v>1908</v>
      </c>
      <c r="I852" s="136" t="s">
        <v>1909</v>
      </c>
      <c r="J852" s="136" t="s">
        <v>8540</v>
      </c>
      <c r="L852" s="136"/>
      <c r="M852" s="136"/>
      <c r="N852" s="136"/>
    </row>
    <row r="853" spans="6:14">
      <c r="F853" s="136" t="s">
        <v>8541</v>
      </c>
      <c r="G853" s="136">
        <v>850</v>
      </c>
      <c r="H853" s="136" t="s">
        <v>257</v>
      </c>
      <c r="I853" s="136" t="s">
        <v>258</v>
      </c>
      <c r="J853" s="136" t="s">
        <v>8542</v>
      </c>
      <c r="L853" s="136"/>
      <c r="M853" s="136"/>
      <c r="N853" s="136"/>
    </row>
    <row r="854" spans="6:14">
      <c r="F854" s="136" t="s">
        <v>8543</v>
      </c>
      <c r="G854" s="136">
        <v>851</v>
      </c>
      <c r="H854" s="136" t="s">
        <v>8544</v>
      </c>
      <c r="I854" s="136" t="s">
        <v>8545</v>
      </c>
      <c r="J854" s="136" t="s">
        <v>8546</v>
      </c>
      <c r="L854" s="136"/>
      <c r="M854" s="136"/>
      <c r="N854" s="136"/>
    </row>
    <row r="855" spans="6:14">
      <c r="F855" s="136" t="s">
        <v>8547</v>
      </c>
      <c r="G855" s="136">
        <v>852</v>
      </c>
      <c r="H855" s="136" t="s">
        <v>4488</v>
      </c>
      <c r="I855" s="136" t="s">
        <v>4489</v>
      </c>
      <c r="J855" s="136" t="s">
        <v>8548</v>
      </c>
      <c r="L855" s="136"/>
      <c r="M855" s="136"/>
      <c r="N855" s="136"/>
    </row>
    <row r="856" spans="6:14">
      <c r="F856" s="136" t="s">
        <v>8549</v>
      </c>
      <c r="G856" s="136">
        <v>853</v>
      </c>
      <c r="H856" s="136" t="s">
        <v>1950</v>
      </c>
      <c r="I856" s="136" t="s">
        <v>1951</v>
      </c>
      <c r="J856" s="136" t="s">
        <v>8550</v>
      </c>
      <c r="L856" s="136"/>
      <c r="M856" s="136"/>
      <c r="N856" s="136"/>
    </row>
    <row r="857" spans="6:14">
      <c r="F857" s="136" t="s">
        <v>8551</v>
      </c>
      <c r="G857" s="136">
        <v>854</v>
      </c>
      <c r="H857" s="136" t="s">
        <v>5622</v>
      </c>
      <c r="I857" s="136" t="s">
        <v>5623</v>
      </c>
      <c r="J857" s="136" t="s">
        <v>8552</v>
      </c>
      <c r="L857" s="136"/>
      <c r="M857" s="136"/>
      <c r="N857" s="136"/>
    </row>
    <row r="858" spans="6:14">
      <c r="F858" s="136" t="s">
        <v>8553</v>
      </c>
      <c r="G858" s="136">
        <v>855</v>
      </c>
      <c r="H858" s="136" t="s">
        <v>516</v>
      </c>
      <c r="I858" s="136" t="s">
        <v>517</v>
      </c>
      <c r="J858" s="136" t="s">
        <v>8554</v>
      </c>
      <c r="L858" s="136"/>
      <c r="M858" s="136"/>
      <c r="N858" s="136"/>
    </row>
    <row r="859" spans="6:14">
      <c r="F859" s="136" t="s">
        <v>8555</v>
      </c>
      <c r="G859" s="136">
        <v>856</v>
      </c>
      <c r="H859" s="136" t="s">
        <v>2388</v>
      </c>
      <c r="I859" s="136" t="s">
        <v>2389</v>
      </c>
      <c r="J859" s="136" t="s">
        <v>8556</v>
      </c>
      <c r="L859" s="136"/>
      <c r="M859" s="136"/>
      <c r="N859" s="136"/>
    </row>
    <row r="860" spans="6:14">
      <c r="F860" s="136" t="s">
        <v>8557</v>
      </c>
      <c r="G860" s="136">
        <v>857</v>
      </c>
      <c r="H860" s="136" t="s">
        <v>217</v>
      </c>
      <c r="I860" s="136" t="s">
        <v>218</v>
      </c>
      <c r="J860" s="136" t="s">
        <v>8558</v>
      </c>
      <c r="L860" s="136"/>
      <c r="M860" s="136"/>
      <c r="N860" s="136"/>
    </row>
    <row r="861" spans="6:14">
      <c r="F861" s="136" t="s">
        <v>8559</v>
      </c>
      <c r="G861" s="136">
        <v>858</v>
      </c>
      <c r="H861" s="136" t="s">
        <v>5300</v>
      </c>
      <c r="I861" s="136" t="s">
        <v>5301</v>
      </c>
      <c r="J861" s="136" t="s">
        <v>8560</v>
      </c>
      <c r="L861" s="136"/>
      <c r="M861" s="136"/>
      <c r="N861" s="136"/>
    </row>
    <row r="862" spans="6:14">
      <c r="F862" s="136" t="s">
        <v>8561</v>
      </c>
      <c r="G862" s="136">
        <v>859</v>
      </c>
      <c r="H862" s="136" t="s">
        <v>293</v>
      </c>
      <c r="I862" s="136" t="s">
        <v>294</v>
      </c>
      <c r="J862" s="136" t="s">
        <v>8562</v>
      </c>
      <c r="L862" s="136"/>
      <c r="M862" s="136"/>
      <c r="N862" s="136"/>
    </row>
    <row r="863" spans="6:14">
      <c r="F863" s="136" t="s">
        <v>8563</v>
      </c>
      <c r="G863" s="136">
        <v>860</v>
      </c>
      <c r="H863" s="136" t="s">
        <v>4955</v>
      </c>
      <c r="I863" s="136" t="s">
        <v>4956</v>
      </c>
      <c r="J863" s="136" t="s">
        <v>8564</v>
      </c>
      <c r="L863" s="136"/>
      <c r="M863" s="136"/>
      <c r="N863" s="136"/>
    </row>
    <row r="864" spans="6:14">
      <c r="F864" s="136" t="s">
        <v>8565</v>
      </c>
      <c r="G864" s="136">
        <v>861</v>
      </c>
      <c r="H864" s="136" t="s">
        <v>8566</v>
      </c>
      <c r="I864" s="136" t="s">
        <v>8567</v>
      </c>
      <c r="J864" s="136" t="s">
        <v>8568</v>
      </c>
      <c r="L864" s="136"/>
      <c r="M864" s="136"/>
      <c r="N864" s="136"/>
    </row>
    <row r="865" spans="6:14">
      <c r="F865" s="136" t="s">
        <v>8569</v>
      </c>
      <c r="G865" s="136">
        <v>862</v>
      </c>
      <c r="H865" s="136" t="s">
        <v>5475</v>
      </c>
      <c r="I865" s="136" t="s">
        <v>5476</v>
      </c>
      <c r="J865" s="136" t="s">
        <v>8570</v>
      </c>
      <c r="L865" s="136"/>
      <c r="M865" s="136"/>
      <c r="N865" s="136"/>
    </row>
    <row r="866" spans="6:14">
      <c r="F866" s="136" t="s">
        <v>8571</v>
      </c>
      <c r="G866" s="136">
        <v>863</v>
      </c>
      <c r="H866" s="136" t="s">
        <v>1338</v>
      </c>
      <c r="I866" s="136" t="s">
        <v>1339</v>
      </c>
      <c r="J866" s="136" t="s">
        <v>8572</v>
      </c>
      <c r="L866" s="136"/>
      <c r="M866" s="136"/>
      <c r="N866" s="136"/>
    </row>
    <row r="867" spans="6:14">
      <c r="F867" s="136" t="s">
        <v>8573</v>
      </c>
      <c r="G867" s="136">
        <v>864</v>
      </c>
      <c r="H867" s="136" t="s">
        <v>1585</v>
      </c>
      <c r="I867" s="136" t="s">
        <v>1586</v>
      </c>
      <c r="J867" s="136" t="s">
        <v>8574</v>
      </c>
      <c r="L867" s="136"/>
      <c r="M867" s="136"/>
      <c r="N867" s="136"/>
    </row>
    <row r="868" spans="6:14">
      <c r="F868" s="136" t="s">
        <v>8575</v>
      </c>
      <c r="G868" s="136">
        <v>865</v>
      </c>
      <c r="H868" s="136" t="s">
        <v>448</v>
      </c>
      <c r="I868" s="136" t="s">
        <v>449</v>
      </c>
      <c r="J868" s="136" t="s">
        <v>8576</v>
      </c>
      <c r="L868" s="136"/>
      <c r="M868" s="136"/>
      <c r="N868" s="136"/>
    </row>
    <row r="869" spans="6:14">
      <c r="F869" s="136" t="s">
        <v>8577</v>
      </c>
      <c r="G869" s="136">
        <v>866</v>
      </c>
      <c r="H869" s="136" t="s">
        <v>3846</v>
      </c>
      <c r="I869" s="136" t="s">
        <v>3847</v>
      </c>
      <c r="J869" s="136" t="s">
        <v>8578</v>
      </c>
      <c r="L869" s="136"/>
      <c r="M869" s="136"/>
      <c r="N869" s="136"/>
    </row>
    <row r="870" spans="6:14">
      <c r="F870" s="136" t="s">
        <v>8579</v>
      </c>
      <c r="G870" s="136">
        <v>867</v>
      </c>
      <c r="H870" s="136" t="s">
        <v>3516</v>
      </c>
      <c r="I870" s="136" t="s">
        <v>3517</v>
      </c>
      <c r="J870" s="136" t="s">
        <v>8580</v>
      </c>
      <c r="L870" s="136"/>
      <c r="M870" s="136"/>
      <c r="N870" s="136"/>
    </row>
    <row r="871" spans="6:14">
      <c r="F871" s="136" t="s">
        <v>8581</v>
      </c>
      <c r="G871" s="136">
        <v>868</v>
      </c>
      <c r="H871" s="136" t="s">
        <v>1003</v>
      </c>
      <c r="I871" s="136" t="s">
        <v>1004</v>
      </c>
      <c r="J871" s="136" t="s">
        <v>8582</v>
      </c>
      <c r="L871" s="136"/>
      <c r="M871" s="136"/>
      <c r="N871" s="136"/>
    </row>
    <row r="872" spans="6:14">
      <c r="F872" s="136" t="s">
        <v>8583</v>
      </c>
      <c r="G872" s="136">
        <v>869</v>
      </c>
      <c r="H872" s="136" t="s">
        <v>2189</v>
      </c>
      <c r="I872" s="136" t="s">
        <v>2190</v>
      </c>
      <c r="J872" s="136" t="s">
        <v>8584</v>
      </c>
      <c r="L872" s="136"/>
      <c r="M872" s="136"/>
      <c r="N872" s="136"/>
    </row>
    <row r="873" spans="6:14">
      <c r="F873" s="136" t="s">
        <v>8585</v>
      </c>
      <c r="G873" s="136">
        <v>870</v>
      </c>
      <c r="H873" s="136" t="s">
        <v>1899</v>
      </c>
      <c r="I873" s="136" t="s">
        <v>1904</v>
      </c>
      <c r="J873" s="136" t="s">
        <v>8586</v>
      </c>
      <c r="L873" s="136"/>
      <c r="M873" s="136"/>
      <c r="N873" s="136"/>
    </row>
    <row r="874" spans="6:14">
      <c r="F874" s="136" t="s">
        <v>8587</v>
      </c>
      <c r="G874" s="136">
        <v>871</v>
      </c>
      <c r="H874" s="136" t="s">
        <v>8588</v>
      </c>
      <c r="I874" s="136" t="s">
        <v>8589</v>
      </c>
      <c r="J874" s="136" t="s">
        <v>8590</v>
      </c>
      <c r="L874" s="136"/>
      <c r="M874" s="136"/>
      <c r="N874" s="136"/>
    </row>
    <row r="875" spans="6:14">
      <c r="F875" s="136" t="s">
        <v>8591</v>
      </c>
      <c r="G875" s="136">
        <v>872</v>
      </c>
      <c r="H875" s="136" t="s">
        <v>5105</v>
      </c>
      <c r="I875" s="136" t="s">
        <v>5106</v>
      </c>
      <c r="J875" s="136" t="s">
        <v>8592</v>
      </c>
      <c r="L875" s="136"/>
      <c r="M875" s="136"/>
      <c r="N875" s="136"/>
    </row>
    <row r="876" spans="6:14">
      <c r="F876" s="136" t="s">
        <v>8593</v>
      </c>
      <c r="G876" s="136">
        <v>873</v>
      </c>
      <c r="H876" s="136" t="s">
        <v>8594</v>
      </c>
      <c r="I876" s="136" t="s">
        <v>8595</v>
      </c>
      <c r="J876" s="136" t="s">
        <v>8596</v>
      </c>
      <c r="L876" s="136"/>
      <c r="M876" s="136"/>
      <c r="N876" s="136"/>
    </row>
    <row r="877" spans="6:14">
      <c r="F877" s="136" t="s">
        <v>8597</v>
      </c>
      <c r="G877" s="136">
        <v>874</v>
      </c>
      <c r="H877" s="136" t="s">
        <v>3813</v>
      </c>
      <c r="I877" s="136" t="s">
        <v>3814</v>
      </c>
      <c r="J877" s="136" t="s">
        <v>8598</v>
      </c>
      <c r="L877" s="136"/>
      <c r="M877" s="136"/>
      <c r="N877" s="136"/>
    </row>
    <row r="878" spans="6:14">
      <c r="F878" s="136" t="s">
        <v>8599</v>
      </c>
      <c r="G878" s="136">
        <v>875</v>
      </c>
      <c r="H878" s="136" t="s">
        <v>8600</v>
      </c>
      <c r="I878" s="136" t="s">
        <v>8601</v>
      </c>
      <c r="J878" s="136" t="s">
        <v>8602</v>
      </c>
      <c r="L878" s="136"/>
      <c r="M878" s="136"/>
      <c r="N878" s="136"/>
    </row>
    <row r="879" spans="6:14">
      <c r="F879" s="136" t="s">
        <v>8603</v>
      </c>
      <c r="G879" s="136">
        <v>876</v>
      </c>
      <c r="H879" s="136" t="s">
        <v>4654</v>
      </c>
      <c r="I879" s="136" t="s">
        <v>4655</v>
      </c>
      <c r="J879" s="136" t="s">
        <v>8604</v>
      </c>
      <c r="L879" s="136"/>
      <c r="M879" s="136"/>
      <c r="N879" s="136"/>
    </row>
    <row r="880" spans="6:14">
      <c r="F880" s="136" t="s">
        <v>8605</v>
      </c>
      <c r="G880" s="136">
        <v>877</v>
      </c>
      <c r="H880" s="136" t="s">
        <v>8606</v>
      </c>
      <c r="I880" s="136" t="s">
        <v>8607</v>
      </c>
      <c r="J880" s="136" t="s">
        <v>8608</v>
      </c>
      <c r="L880" s="136"/>
      <c r="M880" s="136"/>
      <c r="N880" s="136"/>
    </row>
    <row r="881" spans="6:14">
      <c r="F881" s="136" t="s">
        <v>8609</v>
      </c>
      <c r="G881" s="136">
        <v>878</v>
      </c>
      <c r="H881" s="136" t="s">
        <v>4906</v>
      </c>
      <c r="I881" s="136" t="s">
        <v>4907</v>
      </c>
      <c r="J881" s="136" t="s">
        <v>8610</v>
      </c>
      <c r="L881" s="136"/>
      <c r="M881" s="136"/>
      <c r="N881" s="136"/>
    </row>
    <row r="882" spans="6:14">
      <c r="F882" s="136" t="s">
        <v>8611</v>
      </c>
      <c r="G882" s="136">
        <v>879</v>
      </c>
      <c r="H882" s="136" t="s">
        <v>5590</v>
      </c>
      <c r="I882" s="136" t="s">
        <v>5591</v>
      </c>
      <c r="J882" s="136" t="s">
        <v>8612</v>
      </c>
      <c r="L882" s="136"/>
      <c r="M882" s="136"/>
      <c r="N882" s="136"/>
    </row>
    <row r="883" spans="6:14">
      <c r="F883" s="136" t="s">
        <v>8613</v>
      </c>
      <c r="G883" s="136">
        <v>880</v>
      </c>
      <c r="H883" s="136" t="s">
        <v>1679</v>
      </c>
      <c r="I883" s="136" t="s">
        <v>1680</v>
      </c>
      <c r="J883" s="136" t="s">
        <v>8614</v>
      </c>
      <c r="L883" s="136"/>
      <c r="M883" s="136"/>
      <c r="N883" s="136"/>
    </row>
    <row r="884" spans="6:14">
      <c r="F884" s="136" t="s">
        <v>8615</v>
      </c>
      <c r="G884" s="136">
        <v>881</v>
      </c>
      <c r="H884" s="136" t="s">
        <v>7005</v>
      </c>
      <c r="I884" s="136" t="s">
        <v>7006</v>
      </c>
      <c r="J884" s="136" t="s">
        <v>8616</v>
      </c>
      <c r="L884" s="136"/>
      <c r="M884" s="136"/>
      <c r="N884" s="136"/>
    </row>
    <row r="885" spans="6:14">
      <c r="F885" s="136" t="s">
        <v>8617</v>
      </c>
      <c r="G885" s="136">
        <v>882</v>
      </c>
      <c r="H885" s="136" t="s">
        <v>1756</v>
      </c>
      <c r="I885" s="136" t="s">
        <v>1757</v>
      </c>
      <c r="J885" s="136" t="s">
        <v>8618</v>
      </c>
      <c r="L885" s="136"/>
      <c r="M885" s="136"/>
      <c r="N885" s="136"/>
    </row>
    <row r="886" spans="6:14">
      <c r="F886" s="136" t="s">
        <v>8619</v>
      </c>
      <c r="G886" s="136">
        <v>883</v>
      </c>
      <c r="H886" s="136" t="s">
        <v>8620</v>
      </c>
      <c r="I886" s="136" t="s">
        <v>8621</v>
      </c>
      <c r="J886" s="136" t="s">
        <v>8622</v>
      </c>
      <c r="L886" s="136"/>
      <c r="M886" s="136"/>
      <c r="N886" s="136"/>
    </row>
    <row r="887" spans="6:14">
      <c r="F887" s="136" t="s">
        <v>8623</v>
      </c>
      <c r="G887" s="136">
        <v>884</v>
      </c>
      <c r="H887" s="136" t="s">
        <v>8624</v>
      </c>
      <c r="I887" s="136" t="s">
        <v>8625</v>
      </c>
      <c r="J887" s="136" t="s">
        <v>8626</v>
      </c>
      <c r="L887" s="136"/>
      <c r="M887" s="136"/>
      <c r="N887" s="136"/>
    </row>
    <row r="888" spans="6:14">
      <c r="F888" s="136" t="s">
        <v>8627</v>
      </c>
      <c r="G888" s="136">
        <v>885</v>
      </c>
      <c r="H888" s="136" t="s">
        <v>3773</v>
      </c>
      <c r="I888" s="136" t="s">
        <v>3774</v>
      </c>
      <c r="J888" s="136" t="s">
        <v>8628</v>
      </c>
      <c r="L888" s="136"/>
      <c r="M888" s="136"/>
      <c r="N888" s="136"/>
    </row>
    <row r="889" spans="6:14">
      <c r="F889" s="136" t="s">
        <v>8629</v>
      </c>
      <c r="G889" s="136">
        <v>886</v>
      </c>
      <c r="H889" s="136" t="s">
        <v>5175</v>
      </c>
      <c r="I889" s="136" t="s">
        <v>5176</v>
      </c>
      <c r="J889" s="136" t="s">
        <v>8630</v>
      </c>
      <c r="L889" s="136"/>
      <c r="M889" s="136"/>
      <c r="N889" s="136"/>
    </row>
    <row r="890" spans="6:14">
      <c r="F890" s="136" t="s">
        <v>8631</v>
      </c>
      <c r="G890" s="136">
        <v>887</v>
      </c>
      <c r="H890" s="136" t="s">
        <v>1432</v>
      </c>
      <c r="I890" s="136" t="s">
        <v>1433</v>
      </c>
      <c r="J890" s="136" t="s">
        <v>8632</v>
      </c>
      <c r="L890" s="136"/>
      <c r="M890" s="136"/>
      <c r="N890" s="136"/>
    </row>
    <row r="891" spans="6:14">
      <c r="F891" s="136" t="s">
        <v>8633</v>
      </c>
      <c r="G891" s="136">
        <v>888</v>
      </c>
      <c r="H891" s="136" t="s">
        <v>8634</v>
      </c>
      <c r="I891" s="136" t="s">
        <v>8635</v>
      </c>
      <c r="J891" s="136" t="s">
        <v>8636</v>
      </c>
      <c r="L891" s="136"/>
      <c r="M891" s="136"/>
      <c r="N891" s="136"/>
    </row>
    <row r="892" spans="6:14">
      <c r="F892" s="136" t="s">
        <v>8637</v>
      </c>
      <c r="G892" s="136">
        <v>889</v>
      </c>
      <c r="H892" s="136" t="s">
        <v>8638</v>
      </c>
      <c r="I892" s="136" t="s">
        <v>8639</v>
      </c>
      <c r="J892" s="136" t="s">
        <v>8640</v>
      </c>
      <c r="L892" s="136"/>
      <c r="M892" s="136"/>
      <c r="N892" s="136"/>
    </row>
    <row r="893" spans="6:14">
      <c r="F893" s="136" t="s">
        <v>8641</v>
      </c>
      <c r="G893" s="136">
        <v>890</v>
      </c>
      <c r="H893" s="136" t="s">
        <v>2768</v>
      </c>
      <c r="I893" s="136" t="s">
        <v>2769</v>
      </c>
      <c r="J893" s="136" t="s">
        <v>8642</v>
      </c>
      <c r="L893" s="136"/>
      <c r="M893" s="136"/>
      <c r="N893" s="136"/>
    </row>
    <row r="894" spans="6:14">
      <c r="F894" s="136" t="s">
        <v>8643</v>
      </c>
      <c r="G894" s="136">
        <v>891</v>
      </c>
      <c r="H894" s="136" t="s">
        <v>4423</v>
      </c>
      <c r="I894" s="136" t="s">
        <v>4424</v>
      </c>
      <c r="J894" s="136" t="s">
        <v>8644</v>
      </c>
      <c r="L894" s="136"/>
      <c r="M894" s="136"/>
      <c r="N894" s="136"/>
    </row>
    <row r="895" spans="6:14">
      <c r="F895" s="136" t="s">
        <v>8645</v>
      </c>
      <c r="G895" s="136">
        <v>892</v>
      </c>
      <c r="H895" s="136" t="s">
        <v>3525</v>
      </c>
      <c r="I895" s="136" t="s">
        <v>3526</v>
      </c>
      <c r="J895" s="136" t="s">
        <v>8646</v>
      </c>
      <c r="L895" s="136"/>
      <c r="M895" s="136"/>
      <c r="N895" s="136"/>
    </row>
    <row r="896" spans="6:14">
      <c r="F896" s="136" t="s">
        <v>8647</v>
      </c>
      <c r="G896" s="136">
        <v>893</v>
      </c>
      <c r="H896" s="136" t="s">
        <v>8648</v>
      </c>
      <c r="I896" s="136" t="s">
        <v>8649</v>
      </c>
      <c r="J896" s="136" t="s">
        <v>8650</v>
      </c>
      <c r="L896" s="136"/>
      <c r="M896" s="136"/>
      <c r="N896" s="136"/>
    </row>
    <row r="897" spans="6:14">
      <c r="F897" s="136" t="s">
        <v>8651</v>
      </c>
      <c r="G897" s="136">
        <v>894</v>
      </c>
      <c r="H897" s="136" t="s">
        <v>8652</v>
      </c>
      <c r="I897" s="136" t="s">
        <v>8653</v>
      </c>
      <c r="J897" s="136" t="s">
        <v>8654</v>
      </c>
      <c r="L897" s="136"/>
      <c r="M897" s="136"/>
      <c r="N897" s="136"/>
    </row>
    <row r="898" spans="6:14">
      <c r="F898" s="136" t="s">
        <v>8655</v>
      </c>
      <c r="G898" s="136">
        <v>895</v>
      </c>
      <c r="H898" s="136" t="s">
        <v>2228</v>
      </c>
      <c r="I898" s="136" t="s">
        <v>2229</v>
      </c>
      <c r="J898" s="136" t="s">
        <v>8656</v>
      </c>
      <c r="L898" s="136"/>
      <c r="M898" s="136"/>
      <c r="N898" s="136"/>
    </row>
    <row r="899" spans="6:14">
      <c r="F899" s="136" t="s">
        <v>8657</v>
      </c>
      <c r="G899" s="136">
        <v>896</v>
      </c>
      <c r="H899" s="136" t="s">
        <v>8658</v>
      </c>
      <c r="I899" s="136" t="s">
        <v>8659</v>
      </c>
      <c r="J899" s="136" t="s">
        <v>8660</v>
      </c>
      <c r="L899" s="136"/>
      <c r="M899" s="136"/>
      <c r="N899" s="136"/>
    </row>
    <row r="900" spans="6:14">
      <c r="F900" s="136" t="s">
        <v>8661</v>
      </c>
      <c r="G900" s="136">
        <v>897</v>
      </c>
      <c r="H900" s="136" t="s">
        <v>8662</v>
      </c>
      <c r="I900" s="136" t="s">
        <v>8663</v>
      </c>
      <c r="J900" s="136" t="s">
        <v>8664</v>
      </c>
      <c r="L900" s="136"/>
      <c r="M900" s="136"/>
      <c r="N900" s="136"/>
    </row>
    <row r="901" spans="6:14">
      <c r="F901" s="136" t="s">
        <v>8665</v>
      </c>
      <c r="G901" s="136">
        <v>898</v>
      </c>
      <c r="H901" s="136" t="s">
        <v>3644</v>
      </c>
      <c r="I901" s="136" t="s">
        <v>3645</v>
      </c>
      <c r="J901" s="136" t="s">
        <v>8666</v>
      </c>
      <c r="L901" s="136"/>
      <c r="M901" s="136"/>
      <c r="N901" s="136"/>
    </row>
    <row r="902" spans="6:14">
      <c r="F902" s="136" t="s">
        <v>8667</v>
      </c>
      <c r="G902" s="136">
        <v>899</v>
      </c>
      <c r="H902" s="136" t="s">
        <v>2402</v>
      </c>
      <c r="I902" s="136" t="s">
        <v>2403</v>
      </c>
      <c r="J902" s="136" t="s">
        <v>8668</v>
      </c>
      <c r="L902" s="136"/>
      <c r="M902" s="136"/>
      <c r="N902" s="136"/>
    </row>
    <row r="903" spans="6:14">
      <c r="F903" s="136" t="s">
        <v>8669</v>
      </c>
      <c r="G903" s="136">
        <v>900</v>
      </c>
      <c r="H903" s="136" t="s">
        <v>5416</v>
      </c>
      <c r="I903" s="136" t="s">
        <v>5417</v>
      </c>
      <c r="J903" s="136" t="s">
        <v>8670</v>
      </c>
      <c r="L903" s="136"/>
      <c r="M903" s="136"/>
      <c r="N903" s="136"/>
    </row>
    <row r="904" spans="6:14">
      <c r="F904" s="136" t="s">
        <v>8671</v>
      </c>
      <c r="G904" s="136">
        <v>901</v>
      </c>
      <c r="H904" s="136" t="s">
        <v>3350</v>
      </c>
      <c r="I904" s="136" t="s">
        <v>3351</v>
      </c>
      <c r="J904" s="136" t="s">
        <v>8672</v>
      </c>
      <c r="L904" s="136"/>
      <c r="M904" s="136"/>
      <c r="N904" s="136"/>
    </row>
    <row r="905" spans="6:14">
      <c r="F905" s="136" t="s">
        <v>8673</v>
      </c>
      <c r="G905" s="136">
        <v>902</v>
      </c>
      <c r="H905" s="136" t="s">
        <v>2971</v>
      </c>
      <c r="I905" s="136" t="s">
        <v>2972</v>
      </c>
      <c r="J905" s="136" t="s">
        <v>8674</v>
      </c>
      <c r="L905" s="136"/>
      <c r="M905" s="136"/>
      <c r="N905" s="136"/>
    </row>
    <row r="906" spans="6:14">
      <c r="F906" s="136" t="s">
        <v>8675</v>
      </c>
      <c r="G906" s="136">
        <v>903</v>
      </c>
      <c r="H906" s="136" t="s">
        <v>3500</v>
      </c>
      <c r="I906" s="136" t="s">
        <v>3501</v>
      </c>
      <c r="J906" s="136" t="s">
        <v>8676</v>
      </c>
      <c r="L906" s="136"/>
      <c r="M906" s="136"/>
      <c r="N906" s="136"/>
    </row>
    <row r="907" spans="6:14">
      <c r="F907" s="136" t="s">
        <v>8677</v>
      </c>
      <c r="G907" s="136">
        <v>904</v>
      </c>
      <c r="H907" s="136" t="s">
        <v>1301</v>
      </c>
      <c r="I907" s="136" t="s">
        <v>1302</v>
      </c>
      <c r="J907" s="136" t="s">
        <v>8678</v>
      </c>
      <c r="L907" s="136"/>
      <c r="M907" s="136"/>
      <c r="N907" s="136"/>
    </row>
    <row r="908" spans="6:14">
      <c r="F908" s="136" t="s">
        <v>8679</v>
      </c>
      <c r="G908" s="136">
        <v>905</v>
      </c>
      <c r="H908" s="136" t="s">
        <v>68</v>
      </c>
      <c r="I908" s="136" t="s">
        <v>69</v>
      </c>
      <c r="J908" s="136" t="s">
        <v>8680</v>
      </c>
      <c r="L908" s="136"/>
      <c r="M908" s="136"/>
      <c r="N908" s="136"/>
    </row>
    <row r="909" spans="6:14">
      <c r="F909" s="136" t="s">
        <v>8681</v>
      </c>
      <c r="G909" s="136">
        <v>906</v>
      </c>
      <c r="H909" s="136" t="s">
        <v>8682</v>
      </c>
      <c r="I909" s="136" t="s">
        <v>8683</v>
      </c>
      <c r="J909" s="136" t="s">
        <v>8684</v>
      </c>
      <c r="L909" s="136"/>
      <c r="M909" s="136"/>
      <c r="N909" s="136"/>
    </row>
    <row r="910" spans="6:14">
      <c r="F910" s="136" t="s">
        <v>8685</v>
      </c>
      <c r="G910" s="136">
        <v>907</v>
      </c>
      <c r="H910" s="136" t="s">
        <v>3031</v>
      </c>
      <c r="I910" s="136" t="s">
        <v>3032</v>
      </c>
      <c r="J910" s="136" t="s">
        <v>8686</v>
      </c>
      <c r="L910" s="136"/>
      <c r="M910" s="136"/>
      <c r="N910" s="136"/>
    </row>
    <row r="911" spans="6:14">
      <c r="F911" s="136" t="s">
        <v>8687</v>
      </c>
      <c r="G911" s="136">
        <v>908</v>
      </c>
      <c r="H911" s="136" t="s">
        <v>8688</v>
      </c>
      <c r="I911" s="136" t="s">
        <v>8689</v>
      </c>
      <c r="J911" s="136" t="s">
        <v>8690</v>
      </c>
      <c r="L911" s="136"/>
      <c r="M911" s="136"/>
      <c r="N911" s="136"/>
    </row>
    <row r="912" spans="6:14">
      <c r="F912" s="136" t="s">
        <v>8691</v>
      </c>
      <c r="G912" s="136">
        <v>909</v>
      </c>
      <c r="H912" s="136" t="s">
        <v>8692</v>
      </c>
      <c r="I912" s="136" t="s">
        <v>8693</v>
      </c>
      <c r="J912" s="136" t="s">
        <v>8694</v>
      </c>
      <c r="L912" s="136"/>
      <c r="M912" s="136"/>
      <c r="N912" s="136"/>
    </row>
    <row r="913" spans="6:14">
      <c r="F913" s="136" t="s">
        <v>8695</v>
      </c>
      <c r="G913" s="136">
        <v>910</v>
      </c>
      <c r="H913" s="136" t="s">
        <v>2224</v>
      </c>
      <c r="I913" s="136" t="s">
        <v>2225</v>
      </c>
      <c r="J913" s="136" t="s">
        <v>8696</v>
      </c>
      <c r="L913" s="136"/>
      <c r="M913" s="136"/>
      <c r="N913" s="136"/>
    </row>
    <row r="914" spans="6:14">
      <c r="F914" s="136" t="s">
        <v>8697</v>
      </c>
      <c r="G914" s="136">
        <v>911</v>
      </c>
      <c r="H914" s="136" t="s">
        <v>8698</v>
      </c>
      <c r="I914" s="136" t="s">
        <v>8699</v>
      </c>
      <c r="J914" s="136" t="s">
        <v>8700</v>
      </c>
      <c r="L914" s="136"/>
      <c r="M914" s="136"/>
      <c r="N914" s="136"/>
    </row>
    <row r="915" spans="6:14">
      <c r="F915" s="136" t="s">
        <v>8701</v>
      </c>
      <c r="G915" s="136">
        <v>912</v>
      </c>
      <c r="H915" s="136" t="s">
        <v>4282</v>
      </c>
      <c r="I915" s="136" t="s">
        <v>4283</v>
      </c>
      <c r="J915" s="136" t="s">
        <v>8702</v>
      </c>
      <c r="L915" s="136"/>
      <c r="M915" s="136"/>
      <c r="N915" s="136"/>
    </row>
    <row r="916" spans="6:14">
      <c r="F916" s="136" t="s">
        <v>8703</v>
      </c>
      <c r="G916" s="136">
        <v>913</v>
      </c>
      <c r="H916" s="136" t="s">
        <v>209</v>
      </c>
      <c r="I916" s="136" t="s">
        <v>210</v>
      </c>
      <c r="J916" s="136" t="s">
        <v>8704</v>
      </c>
      <c r="L916" s="136"/>
      <c r="M916" s="136"/>
      <c r="N916" s="136"/>
    </row>
    <row r="917" spans="6:14">
      <c r="F917" s="136" t="s">
        <v>8705</v>
      </c>
      <c r="G917" s="136">
        <v>914</v>
      </c>
      <c r="H917" s="136" t="s">
        <v>926</v>
      </c>
      <c r="I917" s="136" t="s">
        <v>927</v>
      </c>
      <c r="J917" s="136" t="s">
        <v>8706</v>
      </c>
      <c r="L917" s="136"/>
      <c r="M917" s="136"/>
      <c r="N917" s="136"/>
    </row>
    <row r="918" spans="6:14">
      <c r="F918" s="136" t="s">
        <v>8707</v>
      </c>
      <c r="G918" s="136">
        <v>915</v>
      </c>
      <c r="H918" s="136" t="s">
        <v>4876</v>
      </c>
      <c r="I918" s="136" t="s">
        <v>4877</v>
      </c>
      <c r="J918" s="136" t="s">
        <v>8708</v>
      </c>
      <c r="L918" s="136"/>
      <c r="M918" s="136"/>
      <c r="N918" s="136"/>
    </row>
    <row r="919" spans="6:14">
      <c r="F919" s="136" t="s">
        <v>8709</v>
      </c>
      <c r="G919" s="136">
        <v>916</v>
      </c>
      <c r="H919" s="136" t="s">
        <v>8710</v>
      </c>
      <c r="I919" s="136" t="s">
        <v>8711</v>
      </c>
      <c r="J919" s="136" t="s">
        <v>8712</v>
      </c>
      <c r="L919" s="136"/>
      <c r="M919" s="136"/>
      <c r="N919" s="136"/>
    </row>
    <row r="920" spans="6:14">
      <c r="F920" s="136" t="s">
        <v>8713</v>
      </c>
      <c r="G920" s="136">
        <v>917</v>
      </c>
      <c r="H920" s="136" t="s">
        <v>4886</v>
      </c>
      <c r="I920" s="136" t="s">
        <v>4887</v>
      </c>
      <c r="J920" s="136" t="s">
        <v>8714</v>
      </c>
      <c r="L920" s="136"/>
      <c r="M920" s="136"/>
      <c r="N920" s="136"/>
    </row>
    <row r="921" spans="6:14">
      <c r="F921" s="136" t="s">
        <v>8715</v>
      </c>
      <c r="G921" s="136">
        <v>918</v>
      </c>
      <c r="H921" s="136" t="s">
        <v>3585</v>
      </c>
      <c r="I921" s="136" t="s">
        <v>3586</v>
      </c>
      <c r="J921" s="136" t="s">
        <v>8716</v>
      </c>
      <c r="L921" s="136"/>
      <c r="M921" s="136"/>
      <c r="N921" s="136"/>
    </row>
    <row r="922" spans="6:14">
      <c r="F922" s="136" t="s">
        <v>8717</v>
      </c>
      <c r="G922" s="136">
        <v>919</v>
      </c>
      <c r="H922" s="136" t="s">
        <v>8718</v>
      </c>
      <c r="I922" s="136" t="s">
        <v>8719</v>
      </c>
      <c r="J922" s="136" t="s">
        <v>8720</v>
      </c>
      <c r="L922" s="136"/>
      <c r="M922" s="136"/>
      <c r="N922" s="136"/>
    </row>
    <row r="923" spans="6:14">
      <c r="F923" s="136" t="s">
        <v>8721</v>
      </c>
      <c r="G923" s="136">
        <v>920</v>
      </c>
      <c r="H923" s="136" t="s">
        <v>5351</v>
      </c>
      <c r="I923" s="136" t="s">
        <v>5352</v>
      </c>
      <c r="J923" s="136" t="s">
        <v>8722</v>
      </c>
      <c r="L923" s="136"/>
      <c r="M923" s="136"/>
      <c r="N923" s="136"/>
    </row>
    <row r="924" spans="6:14">
      <c r="F924" s="136" t="s">
        <v>8723</v>
      </c>
      <c r="G924" s="136">
        <v>921</v>
      </c>
      <c r="H924" s="136" t="s">
        <v>8724</v>
      </c>
      <c r="I924" s="136" t="s">
        <v>8725</v>
      </c>
      <c r="J924" s="136" t="s">
        <v>8726</v>
      </c>
      <c r="L924" s="136"/>
      <c r="M924" s="136"/>
      <c r="N924" s="136"/>
    </row>
    <row r="925" spans="6:14">
      <c r="F925" s="136" t="s">
        <v>8727</v>
      </c>
      <c r="G925" s="136">
        <v>922</v>
      </c>
      <c r="H925" s="136" t="s">
        <v>8728</v>
      </c>
      <c r="I925" s="136" t="s">
        <v>8729</v>
      </c>
      <c r="J925" s="136" t="s">
        <v>8730</v>
      </c>
      <c r="L925" s="136"/>
      <c r="M925" s="136"/>
      <c r="N925" s="136"/>
    </row>
    <row r="926" spans="6:14">
      <c r="F926" s="136" t="s">
        <v>8731</v>
      </c>
      <c r="G926" s="136">
        <v>923</v>
      </c>
      <c r="H926" s="136" t="s">
        <v>5260</v>
      </c>
      <c r="I926" s="136" t="s">
        <v>5261</v>
      </c>
      <c r="J926" s="136" t="s">
        <v>8732</v>
      </c>
      <c r="L926" s="136"/>
      <c r="M926" s="136"/>
      <c r="N926" s="136"/>
    </row>
    <row r="927" spans="6:14">
      <c r="F927" s="136" t="s">
        <v>8733</v>
      </c>
      <c r="G927" s="136">
        <v>924</v>
      </c>
      <c r="H927" s="136" t="s">
        <v>4430</v>
      </c>
      <c r="I927" s="136" t="s">
        <v>4431</v>
      </c>
      <c r="J927" s="136" t="s">
        <v>8734</v>
      </c>
      <c r="L927" s="136"/>
      <c r="M927" s="136"/>
      <c r="N927" s="136"/>
    </row>
    <row r="928" spans="6:14">
      <c r="F928" s="136" t="s">
        <v>8735</v>
      </c>
      <c r="G928" s="136">
        <v>925</v>
      </c>
      <c r="H928" s="136" t="s">
        <v>5608</v>
      </c>
      <c r="I928" s="136" t="s">
        <v>5609</v>
      </c>
      <c r="J928" s="136" t="s">
        <v>8736</v>
      </c>
      <c r="L928" s="136"/>
      <c r="M928" s="136"/>
      <c r="N928" s="136"/>
    </row>
    <row r="929" spans="6:14">
      <c r="F929" s="136" t="s">
        <v>8737</v>
      </c>
      <c r="G929" s="136">
        <v>926</v>
      </c>
      <c r="H929" s="136" t="s">
        <v>8738</v>
      </c>
      <c r="I929" s="136" t="s">
        <v>8739</v>
      </c>
      <c r="J929" s="136" t="s">
        <v>8740</v>
      </c>
      <c r="L929" s="136"/>
      <c r="M929" s="136"/>
      <c r="N929" s="136"/>
    </row>
    <row r="930" spans="6:14">
      <c r="F930" s="136" t="s">
        <v>8741</v>
      </c>
      <c r="G930" s="136">
        <v>927</v>
      </c>
      <c r="H930" s="136" t="s">
        <v>8742</v>
      </c>
      <c r="I930" s="136" t="s">
        <v>8743</v>
      </c>
      <c r="J930" s="136" t="s">
        <v>8744</v>
      </c>
      <c r="L930" s="136"/>
      <c r="M930" s="136"/>
      <c r="N930" s="136"/>
    </row>
    <row r="931" spans="6:14">
      <c r="F931" s="136" t="s">
        <v>8745</v>
      </c>
      <c r="G931" s="136">
        <v>928</v>
      </c>
      <c r="H931" s="136" t="s">
        <v>8746</v>
      </c>
      <c r="I931" s="136" t="s">
        <v>8747</v>
      </c>
      <c r="J931" s="136" t="s">
        <v>8748</v>
      </c>
      <c r="L931" s="136"/>
      <c r="M931" s="136"/>
      <c r="N931" s="136"/>
    </row>
    <row r="932" spans="6:14">
      <c r="F932" s="136" t="s">
        <v>8749</v>
      </c>
      <c r="G932" s="136">
        <v>929</v>
      </c>
      <c r="H932" s="136" t="s">
        <v>6123</v>
      </c>
      <c r="I932" s="136" t="s">
        <v>6124</v>
      </c>
      <c r="J932" s="136" t="s">
        <v>8750</v>
      </c>
      <c r="L932" s="136"/>
      <c r="M932" s="136"/>
      <c r="N932" s="136"/>
    </row>
    <row r="933" spans="6:14">
      <c r="F933" s="136" t="s">
        <v>8751</v>
      </c>
      <c r="G933" s="136">
        <v>930</v>
      </c>
      <c r="H933" s="136" t="s">
        <v>5630</v>
      </c>
      <c r="I933" s="136" t="s">
        <v>5631</v>
      </c>
      <c r="J933" s="136" t="s">
        <v>8752</v>
      </c>
      <c r="L933" s="136"/>
      <c r="M933" s="136"/>
      <c r="N933" s="136"/>
    </row>
    <row r="934" spans="6:14">
      <c r="F934" s="136" t="s">
        <v>8753</v>
      </c>
      <c r="G934" s="136">
        <v>931</v>
      </c>
      <c r="H934" s="136" t="s">
        <v>3828</v>
      </c>
      <c r="I934" s="136" t="s">
        <v>3829</v>
      </c>
      <c r="J934" s="136" t="s">
        <v>8754</v>
      </c>
      <c r="L934" s="136"/>
      <c r="M934" s="136"/>
      <c r="N934" s="136"/>
    </row>
    <row r="935" spans="6:14">
      <c r="F935" s="136" t="s">
        <v>8755</v>
      </c>
      <c r="G935" s="136">
        <v>932</v>
      </c>
      <c r="H935" s="136" t="s">
        <v>1884</v>
      </c>
      <c r="I935" s="136" t="s">
        <v>1885</v>
      </c>
      <c r="J935" s="136" t="s">
        <v>8756</v>
      </c>
      <c r="L935" s="136"/>
      <c r="M935" s="136"/>
      <c r="N935" s="136"/>
    </row>
    <row r="936" spans="6:14">
      <c r="F936" s="136" t="s">
        <v>8757</v>
      </c>
      <c r="G936" s="136">
        <v>933</v>
      </c>
      <c r="H936" s="136" t="s">
        <v>2577</v>
      </c>
      <c r="I936" s="136" t="s">
        <v>2578</v>
      </c>
      <c r="J936" s="136" t="s">
        <v>8758</v>
      </c>
      <c r="L936" s="136"/>
      <c r="M936" s="136"/>
      <c r="N936" s="136"/>
    </row>
    <row r="937" spans="6:14">
      <c r="F937" s="136" t="s">
        <v>8759</v>
      </c>
      <c r="G937" s="136">
        <v>934</v>
      </c>
      <c r="H937" s="136" t="s">
        <v>5729</v>
      </c>
      <c r="I937" s="136" t="s">
        <v>5730</v>
      </c>
      <c r="J937" s="136" t="s">
        <v>8760</v>
      </c>
      <c r="L937" s="136"/>
      <c r="M937" s="136"/>
      <c r="N937" s="136"/>
    </row>
    <row r="938" spans="6:14">
      <c r="F938" s="136" t="s">
        <v>8761</v>
      </c>
      <c r="G938" s="136">
        <v>935</v>
      </c>
      <c r="H938" s="136" t="s">
        <v>3654</v>
      </c>
      <c r="I938" s="136" t="s">
        <v>3655</v>
      </c>
      <c r="J938" s="136" t="s">
        <v>8762</v>
      </c>
      <c r="L938" s="136"/>
      <c r="M938" s="136"/>
      <c r="N938" s="136"/>
    </row>
    <row r="939" spans="6:14">
      <c r="F939" s="136" t="s">
        <v>8763</v>
      </c>
      <c r="G939" s="136">
        <v>936</v>
      </c>
      <c r="H939" s="136" t="s">
        <v>3506</v>
      </c>
      <c r="I939" s="136" t="s">
        <v>3507</v>
      </c>
      <c r="J939" s="136" t="s">
        <v>8764</v>
      </c>
      <c r="L939" s="136"/>
      <c r="M939" s="136"/>
      <c r="N939" s="136"/>
    </row>
    <row r="940" spans="6:14">
      <c r="F940" s="136" t="s">
        <v>8765</v>
      </c>
      <c r="G940" s="136">
        <v>937</v>
      </c>
      <c r="H940" s="136" t="s">
        <v>8766</v>
      </c>
      <c r="I940" s="136" t="s">
        <v>8767</v>
      </c>
      <c r="J940" s="136" t="s">
        <v>8768</v>
      </c>
      <c r="L940" s="136"/>
      <c r="M940" s="136"/>
      <c r="N940" s="136"/>
    </row>
    <row r="941" spans="6:14">
      <c r="F941" s="136" t="s">
        <v>8769</v>
      </c>
      <c r="G941" s="136">
        <v>938</v>
      </c>
      <c r="H941" s="136" t="s">
        <v>2790</v>
      </c>
      <c r="I941" s="136" t="s">
        <v>2791</v>
      </c>
      <c r="J941" s="136" t="s">
        <v>8770</v>
      </c>
      <c r="L941" s="136"/>
      <c r="M941" s="136"/>
      <c r="N941" s="136"/>
    </row>
    <row r="942" spans="6:14">
      <c r="F942" s="136" t="s">
        <v>8771</v>
      </c>
      <c r="G942" s="136">
        <v>939</v>
      </c>
      <c r="H942" s="136" t="s">
        <v>1454</v>
      </c>
      <c r="I942" s="136" t="s">
        <v>1455</v>
      </c>
      <c r="J942" s="136" t="s">
        <v>8772</v>
      </c>
      <c r="L942" s="136"/>
      <c r="M942" s="136"/>
      <c r="N942" s="136"/>
    </row>
    <row r="943" spans="6:14">
      <c r="F943" s="136" t="s">
        <v>8773</v>
      </c>
      <c r="G943" s="136">
        <v>940</v>
      </c>
      <c r="H943" s="136" t="s">
        <v>5536</v>
      </c>
      <c r="I943" s="136" t="s">
        <v>5537</v>
      </c>
      <c r="J943" s="136" t="s">
        <v>8774</v>
      </c>
      <c r="L943" s="136"/>
      <c r="M943" s="136"/>
      <c r="N943" s="136"/>
    </row>
    <row r="944" spans="6:14">
      <c r="F944" s="136" t="s">
        <v>8775</v>
      </c>
      <c r="G944" s="136">
        <v>941</v>
      </c>
      <c r="H944" s="136" t="s">
        <v>1596</v>
      </c>
      <c r="I944" s="136" t="s">
        <v>1597</v>
      </c>
      <c r="J944" s="136" t="s">
        <v>8776</v>
      </c>
      <c r="L944" s="136"/>
      <c r="M944" s="136"/>
      <c r="N944" s="136"/>
    </row>
    <row r="945" spans="6:14">
      <c r="F945" s="136" t="s">
        <v>8777</v>
      </c>
      <c r="G945" s="136">
        <v>942</v>
      </c>
      <c r="H945" s="136" t="s">
        <v>6222</v>
      </c>
      <c r="I945" s="136" t="s">
        <v>6223</v>
      </c>
      <c r="J945" s="136" t="s">
        <v>8778</v>
      </c>
      <c r="L945" s="136"/>
      <c r="M945" s="136"/>
      <c r="N945" s="136"/>
    </row>
    <row r="946" spans="6:14">
      <c r="F946" s="136" t="s">
        <v>8779</v>
      </c>
      <c r="G946" s="136">
        <v>943</v>
      </c>
      <c r="H946" s="136" t="s">
        <v>5124</v>
      </c>
      <c r="I946" s="136" t="s">
        <v>5126</v>
      </c>
      <c r="J946" s="136" t="s">
        <v>8780</v>
      </c>
      <c r="L946" s="136"/>
      <c r="M946" s="136"/>
      <c r="N946" s="136"/>
    </row>
    <row r="947" spans="6:14">
      <c r="F947" s="136" t="s">
        <v>8781</v>
      </c>
      <c r="G947" s="136">
        <v>944</v>
      </c>
      <c r="H947" s="136" t="s">
        <v>8782</v>
      </c>
      <c r="I947" s="136" t="s">
        <v>8783</v>
      </c>
      <c r="J947" s="136" t="s">
        <v>8784</v>
      </c>
      <c r="L947" s="136"/>
      <c r="M947" s="136"/>
      <c r="N947" s="136"/>
    </row>
    <row r="948" spans="6:14">
      <c r="F948" s="136" t="s">
        <v>8785</v>
      </c>
      <c r="G948" s="136">
        <v>945</v>
      </c>
      <c r="H948" s="136" t="s">
        <v>2218</v>
      </c>
      <c r="I948" s="136" t="s">
        <v>2219</v>
      </c>
      <c r="J948" s="136" t="s">
        <v>8786</v>
      </c>
      <c r="L948" s="136"/>
      <c r="M948" s="136"/>
      <c r="N948" s="136"/>
    </row>
    <row r="949" spans="6:14">
      <c r="F949" s="136" t="s">
        <v>8787</v>
      </c>
      <c r="G949" s="136">
        <v>946</v>
      </c>
      <c r="H949" s="136" t="s">
        <v>8788</v>
      </c>
      <c r="I949" s="136" t="s">
        <v>8789</v>
      </c>
      <c r="J949" s="136" t="s">
        <v>8790</v>
      </c>
      <c r="L949" s="136"/>
      <c r="M949" s="136"/>
      <c r="N949" s="136"/>
    </row>
    <row r="950" spans="6:14">
      <c r="F950" s="136" t="s">
        <v>8791</v>
      </c>
      <c r="G950" s="136">
        <v>947</v>
      </c>
      <c r="H950" s="136" t="s">
        <v>8792</v>
      </c>
      <c r="I950" s="136" t="s">
        <v>8793</v>
      </c>
      <c r="J950" s="136" t="s">
        <v>8794</v>
      </c>
      <c r="L950" s="136"/>
      <c r="M950" s="136"/>
      <c r="N950" s="136"/>
    </row>
    <row r="951" spans="6:14">
      <c r="F951" s="136" t="s">
        <v>8795</v>
      </c>
      <c r="G951" s="136">
        <v>948</v>
      </c>
      <c r="H951" s="136" t="s">
        <v>8796</v>
      </c>
      <c r="I951" s="136" t="s">
        <v>8797</v>
      </c>
      <c r="J951" s="136" t="s">
        <v>8798</v>
      </c>
      <c r="L951" s="136"/>
      <c r="M951" s="136"/>
      <c r="N951" s="136"/>
    </row>
    <row r="952" spans="6:14">
      <c r="F952" s="136" t="s">
        <v>8799</v>
      </c>
      <c r="G952" s="136">
        <v>949</v>
      </c>
      <c r="H952" s="136" t="s">
        <v>1452</v>
      </c>
      <c r="I952" s="136" t="s">
        <v>1453</v>
      </c>
      <c r="J952" s="136" t="s">
        <v>8800</v>
      </c>
      <c r="L952" s="136"/>
      <c r="M952" s="136"/>
      <c r="N952" s="136"/>
    </row>
    <row r="953" spans="6:14">
      <c r="F953" s="136" t="s">
        <v>8801</v>
      </c>
      <c r="G953" s="136">
        <v>950</v>
      </c>
      <c r="H953" s="136" t="s">
        <v>3444</v>
      </c>
      <c r="I953" s="136" t="s">
        <v>3445</v>
      </c>
      <c r="J953" s="136" t="s">
        <v>8802</v>
      </c>
      <c r="L953" s="136"/>
      <c r="M953" s="136"/>
      <c r="N953" s="136"/>
    </row>
    <row r="954" spans="6:14">
      <c r="F954" s="136" t="s">
        <v>8803</v>
      </c>
      <c r="G954" s="136">
        <v>951</v>
      </c>
      <c r="H954" s="136" t="s">
        <v>1383</v>
      </c>
      <c r="I954" s="136" t="s">
        <v>113</v>
      </c>
      <c r="J954" s="136" t="s">
        <v>8804</v>
      </c>
      <c r="L954" s="136"/>
      <c r="M954" s="136"/>
      <c r="N954" s="136"/>
    </row>
    <row r="955" spans="6:14">
      <c r="F955" s="136" t="s">
        <v>8805</v>
      </c>
      <c r="G955" s="136">
        <v>952</v>
      </c>
      <c r="H955" s="136" t="s">
        <v>8806</v>
      </c>
      <c r="I955" s="136" t="s">
        <v>8807</v>
      </c>
      <c r="J955" s="136" t="s">
        <v>8808</v>
      </c>
      <c r="L955" s="136"/>
      <c r="M955" s="136"/>
      <c r="N955" s="136"/>
    </row>
    <row r="956" spans="6:14">
      <c r="F956" s="136" t="s">
        <v>8809</v>
      </c>
      <c r="G956" s="136">
        <v>953</v>
      </c>
      <c r="H956" s="136" t="s">
        <v>652</v>
      </c>
      <c r="I956" s="136" t="s">
        <v>653</v>
      </c>
      <c r="J956" s="136" t="s">
        <v>8810</v>
      </c>
      <c r="L956" s="136"/>
      <c r="M956" s="136"/>
      <c r="N956" s="136"/>
    </row>
    <row r="957" spans="6:14">
      <c r="F957" s="136" t="s">
        <v>8811</v>
      </c>
      <c r="G957" s="136">
        <v>954</v>
      </c>
      <c r="H957" s="136" t="s">
        <v>1326</v>
      </c>
      <c r="I957" s="136" t="s">
        <v>1327</v>
      </c>
      <c r="J957" s="136" t="s">
        <v>8812</v>
      </c>
      <c r="L957" s="136"/>
      <c r="M957" s="136"/>
      <c r="N957" s="136"/>
    </row>
    <row r="958" spans="6:14">
      <c r="F958" s="136" t="s">
        <v>8813</v>
      </c>
      <c r="G958" s="136">
        <v>955</v>
      </c>
      <c r="H958" s="136" t="s">
        <v>3938</v>
      </c>
      <c r="I958" s="136" t="s">
        <v>3939</v>
      </c>
      <c r="J958" s="136" t="s">
        <v>8814</v>
      </c>
      <c r="L958" s="136"/>
      <c r="M958" s="136"/>
      <c r="N958" s="136"/>
    </row>
    <row r="959" spans="6:14">
      <c r="F959" s="136" t="s">
        <v>8815</v>
      </c>
      <c r="G959" s="136">
        <v>956</v>
      </c>
      <c r="H959" s="136" t="s">
        <v>8816</v>
      </c>
      <c r="I959" s="136" t="s">
        <v>8817</v>
      </c>
      <c r="J959" s="136" t="s">
        <v>8818</v>
      </c>
      <c r="L959" s="136"/>
      <c r="M959" s="136"/>
      <c r="N959" s="136"/>
    </row>
    <row r="960" spans="6:14">
      <c r="F960" s="136" t="s">
        <v>8819</v>
      </c>
      <c r="G960" s="136">
        <v>957</v>
      </c>
      <c r="H960" s="136" t="s">
        <v>4549</v>
      </c>
      <c r="I960" s="136" t="s">
        <v>4550</v>
      </c>
      <c r="J960" s="136" t="s">
        <v>8820</v>
      </c>
      <c r="L960" s="136"/>
      <c r="M960" s="136"/>
      <c r="N960" s="136"/>
    </row>
    <row r="961" spans="6:14">
      <c r="F961" s="136" t="s">
        <v>8821</v>
      </c>
      <c r="G961" s="136">
        <v>958</v>
      </c>
      <c r="H961" s="136" t="s">
        <v>8822</v>
      </c>
      <c r="I961" s="136" t="s">
        <v>8823</v>
      </c>
      <c r="J961" s="136" t="s">
        <v>8824</v>
      </c>
      <c r="L961" s="136"/>
      <c r="M961" s="136"/>
      <c r="N961" s="136"/>
    </row>
    <row r="962" spans="6:14">
      <c r="F962" s="136" t="s">
        <v>8825</v>
      </c>
      <c r="G962" s="136">
        <v>959</v>
      </c>
      <c r="H962" s="136" t="s">
        <v>3035</v>
      </c>
      <c r="I962" s="136" t="s">
        <v>3036</v>
      </c>
      <c r="J962" s="136" t="s">
        <v>8826</v>
      </c>
      <c r="L962" s="136"/>
      <c r="M962" s="136"/>
      <c r="N962" s="136"/>
    </row>
    <row r="963" spans="6:14">
      <c r="F963" s="136" t="s">
        <v>8827</v>
      </c>
      <c r="G963" s="136">
        <v>960</v>
      </c>
      <c r="H963" s="136" t="s">
        <v>5060</v>
      </c>
      <c r="I963" s="136" t="s">
        <v>5061</v>
      </c>
      <c r="J963" s="136" t="s">
        <v>8828</v>
      </c>
      <c r="L963" s="136"/>
      <c r="M963" s="136"/>
      <c r="N963" s="136"/>
    </row>
    <row r="964" spans="6:14">
      <c r="F964" s="136" t="s">
        <v>8829</v>
      </c>
      <c r="G964" s="136">
        <v>961</v>
      </c>
      <c r="H964" s="136" t="s">
        <v>8830</v>
      </c>
      <c r="I964" s="136" t="s">
        <v>8831</v>
      </c>
      <c r="J964" s="136" t="s">
        <v>8832</v>
      </c>
      <c r="L964" s="136"/>
      <c r="M964" s="136"/>
      <c r="N964" s="136"/>
    </row>
    <row r="965" spans="6:14">
      <c r="F965" s="136" t="s">
        <v>8833</v>
      </c>
      <c r="G965" s="136">
        <v>962</v>
      </c>
      <c r="H965" s="136" t="s">
        <v>906</v>
      </c>
      <c r="I965" s="136" t="s">
        <v>907</v>
      </c>
      <c r="J965" s="136" t="s">
        <v>8834</v>
      </c>
      <c r="L965" s="136"/>
      <c r="M965" s="136"/>
      <c r="N965" s="136"/>
    </row>
    <row r="966" spans="6:14">
      <c r="F966" s="136" t="s">
        <v>8835</v>
      </c>
      <c r="G966" s="136">
        <v>963</v>
      </c>
      <c r="H966" s="136" t="s">
        <v>2818</v>
      </c>
      <c r="I966" s="136" t="s">
        <v>2822</v>
      </c>
      <c r="J966" s="136" t="s">
        <v>8836</v>
      </c>
      <c r="L966" s="136"/>
      <c r="M966" s="136"/>
      <c r="N966" s="136"/>
    </row>
    <row r="967" spans="6:14">
      <c r="F967" s="136" t="s">
        <v>8837</v>
      </c>
      <c r="G967" s="136">
        <v>964</v>
      </c>
      <c r="H967" s="136" t="s">
        <v>8838</v>
      </c>
      <c r="I967" s="136" t="s">
        <v>8839</v>
      </c>
      <c r="J967" s="136" t="s">
        <v>8840</v>
      </c>
      <c r="L967" s="136"/>
      <c r="M967" s="136"/>
      <c r="N967" s="136"/>
    </row>
    <row r="968" spans="6:14">
      <c r="F968" s="136" t="s">
        <v>8841</v>
      </c>
      <c r="G968" s="136">
        <v>965</v>
      </c>
      <c r="H968" s="136" t="s">
        <v>8842</v>
      </c>
      <c r="I968" s="136" t="s">
        <v>8843</v>
      </c>
      <c r="J968" s="136" t="s">
        <v>8844</v>
      </c>
      <c r="L968" s="136"/>
      <c r="M968" s="136"/>
      <c r="N968" s="136"/>
    </row>
    <row r="969" spans="6:14">
      <c r="F969" s="136" t="s">
        <v>8845</v>
      </c>
      <c r="G969" s="136">
        <v>966</v>
      </c>
      <c r="H969" s="136" t="s">
        <v>548</v>
      </c>
      <c r="I969" s="136" t="s">
        <v>559</v>
      </c>
      <c r="J969" s="136" t="s">
        <v>8846</v>
      </c>
      <c r="L969" s="136"/>
      <c r="M969" s="136"/>
      <c r="N969" s="136"/>
    </row>
    <row r="970" spans="6:14">
      <c r="F970" s="136" t="s">
        <v>8847</v>
      </c>
      <c r="G970" s="136">
        <v>967</v>
      </c>
      <c r="H970" s="136" t="s">
        <v>8848</v>
      </c>
      <c r="I970" s="136" t="s">
        <v>8849</v>
      </c>
      <c r="J970" s="136" t="s">
        <v>8850</v>
      </c>
      <c r="L970" s="136"/>
      <c r="M970" s="136"/>
      <c r="N970" s="136"/>
    </row>
    <row r="971" spans="6:14">
      <c r="F971" s="136" t="s">
        <v>8851</v>
      </c>
      <c r="G971" s="136">
        <v>968</v>
      </c>
      <c r="H971" s="136" t="s">
        <v>5197</v>
      </c>
      <c r="I971" s="136" t="s">
        <v>5198</v>
      </c>
      <c r="J971" s="136" t="s">
        <v>8852</v>
      </c>
      <c r="L971" s="136"/>
      <c r="M971" s="136"/>
      <c r="N971" s="136"/>
    </row>
    <row r="972" spans="6:14">
      <c r="F972" s="136" t="s">
        <v>8853</v>
      </c>
      <c r="G972" s="136">
        <v>969</v>
      </c>
      <c r="H972" s="136" t="s">
        <v>2841</v>
      </c>
      <c r="I972" s="136" t="s">
        <v>2842</v>
      </c>
      <c r="J972" s="136" t="s">
        <v>8854</v>
      </c>
      <c r="L972" s="136"/>
      <c r="M972" s="136"/>
      <c r="N972" s="136"/>
    </row>
    <row r="973" spans="6:14">
      <c r="F973" s="136" t="s">
        <v>8855</v>
      </c>
      <c r="G973" s="136">
        <v>970</v>
      </c>
      <c r="H973" s="136" t="s">
        <v>8856</v>
      </c>
      <c r="I973" s="136" t="s">
        <v>8857</v>
      </c>
      <c r="J973" s="136" t="s">
        <v>8858</v>
      </c>
      <c r="L973" s="136"/>
      <c r="M973" s="136"/>
      <c r="N973" s="136"/>
    </row>
    <row r="974" spans="6:14">
      <c r="F974" s="136" t="s">
        <v>8859</v>
      </c>
      <c r="G974" s="136">
        <v>971</v>
      </c>
      <c r="H974" s="136" t="s">
        <v>2766</v>
      </c>
      <c r="I974" s="136" t="s">
        <v>2767</v>
      </c>
      <c r="J974" s="136" t="s">
        <v>8860</v>
      </c>
      <c r="L974" s="136"/>
      <c r="M974" s="136"/>
      <c r="N974" s="136"/>
    </row>
    <row r="975" spans="6:14">
      <c r="F975" s="136" t="s">
        <v>8861</v>
      </c>
      <c r="G975" s="136">
        <v>972</v>
      </c>
      <c r="H975" s="136" t="s">
        <v>8862</v>
      </c>
      <c r="I975" s="136" t="s">
        <v>8863</v>
      </c>
      <c r="J975" s="136" t="s">
        <v>8864</v>
      </c>
      <c r="L975" s="136"/>
      <c r="M975" s="136"/>
      <c r="N975" s="136"/>
    </row>
    <row r="976" spans="6:14">
      <c r="F976" s="136" t="s">
        <v>8865</v>
      </c>
      <c r="G976" s="136">
        <v>973</v>
      </c>
      <c r="H976" s="136" t="s">
        <v>4815</v>
      </c>
      <c r="I976" s="136" t="s">
        <v>4816</v>
      </c>
      <c r="J976" s="136" t="s">
        <v>8866</v>
      </c>
      <c r="L976" s="136"/>
      <c r="M976" s="136"/>
      <c r="N976" s="136"/>
    </row>
    <row r="977" spans="6:14">
      <c r="F977" s="136" t="s">
        <v>8867</v>
      </c>
      <c r="G977" s="136">
        <v>974</v>
      </c>
      <c r="H977" s="136" t="s">
        <v>8868</v>
      </c>
      <c r="I977" s="136" t="s">
        <v>8869</v>
      </c>
      <c r="J977" s="136" t="s">
        <v>8870</v>
      </c>
      <c r="L977" s="136"/>
      <c r="M977" s="136"/>
      <c r="N977" s="136"/>
    </row>
    <row r="978" spans="6:14">
      <c r="F978" s="136" t="s">
        <v>8871</v>
      </c>
      <c r="G978" s="136">
        <v>975</v>
      </c>
      <c r="H978" s="136" t="s">
        <v>8872</v>
      </c>
      <c r="I978" s="136" t="s">
        <v>8873</v>
      </c>
      <c r="J978" s="136" t="s">
        <v>8874</v>
      </c>
      <c r="L978" s="136"/>
      <c r="M978" s="136"/>
      <c r="N978" s="136"/>
    </row>
    <row r="979" spans="6:14">
      <c r="F979" s="136" t="s">
        <v>8875</v>
      </c>
      <c r="G979" s="136">
        <v>976</v>
      </c>
      <c r="H979" s="136" t="s">
        <v>2557</v>
      </c>
      <c r="I979" s="136" t="s">
        <v>2558</v>
      </c>
      <c r="J979" s="136" t="s">
        <v>8876</v>
      </c>
      <c r="L979" s="136"/>
      <c r="M979" s="136"/>
      <c r="N979" s="136"/>
    </row>
    <row r="980" spans="6:14">
      <c r="F980" s="136" t="s">
        <v>8877</v>
      </c>
      <c r="G980" s="136">
        <v>977</v>
      </c>
      <c r="H980" s="136" t="s">
        <v>8878</v>
      </c>
      <c r="I980" s="136" t="s">
        <v>8879</v>
      </c>
      <c r="J980" s="136" t="s">
        <v>8880</v>
      </c>
      <c r="L980" s="136"/>
      <c r="M980" s="136"/>
      <c r="N980" s="136"/>
    </row>
    <row r="981" spans="6:14">
      <c r="F981" s="136" t="s">
        <v>8881</v>
      </c>
      <c r="G981" s="136">
        <v>978</v>
      </c>
      <c r="H981" s="136" t="s">
        <v>8882</v>
      </c>
      <c r="I981" s="136" t="s">
        <v>8883</v>
      </c>
      <c r="J981" s="136" t="s">
        <v>8884</v>
      </c>
      <c r="L981" s="136"/>
      <c r="M981" s="136"/>
      <c r="N981" s="136"/>
    </row>
    <row r="982" spans="6:14">
      <c r="F982" s="136" t="s">
        <v>8885</v>
      </c>
      <c r="G982" s="136">
        <v>979</v>
      </c>
      <c r="H982" s="136" t="s">
        <v>122</v>
      </c>
      <c r="I982" s="136" t="s">
        <v>123</v>
      </c>
      <c r="J982" s="136" t="s">
        <v>8886</v>
      </c>
      <c r="L982" s="136"/>
      <c r="M982" s="136"/>
      <c r="N982" s="136"/>
    </row>
    <row r="983" spans="6:14">
      <c r="F983" s="136" t="s">
        <v>8887</v>
      </c>
      <c r="G983" s="136">
        <v>980</v>
      </c>
      <c r="H983" s="136" t="s">
        <v>8888</v>
      </c>
      <c r="I983" s="136" t="s">
        <v>8889</v>
      </c>
      <c r="J983" s="136" t="s">
        <v>8890</v>
      </c>
      <c r="L983" s="136"/>
      <c r="M983" s="136"/>
      <c r="N983" s="136"/>
    </row>
    <row r="984" spans="6:14">
      <c r="F984" s="136" t="s">
        <v>8891</v>
      </c>
      <c r="G984" s="136">
        <v>981</v>
      </c>
      <c r="H984" s="136" t="s">
        <v>5943</v>
      </c>
      <c r="I984" s="136" t="s">
        <v>5944</v>
      </c>
      <c r="J984" s="136" t="s">
        <v>8892</v>
      </c>
      <c r="L984" s="136"/>
      <c r="M984" s="136"/>
      <c r="N984" s="136"/>
    </row>
    <row r="985" spans="6:14">
      <c r="F985" s="136" t="s">
        <v>8893</v>
      </c>
      <c r="G985" s="136">
        <v>982</v>
      </c>
      <c r="H985" s="136" t="s">
        <v>8894</v>
      </c>
      <c r="I985" s="136" t="s">
        <v>8895</v>
      </c>
      <c r="J985" s="136" t="s">
        <v>8896</v>
      </c>
      <c r="L985" s="136"/>
      <c r="M985" s="136"/>
      <c r="N985" s="136"/>
    </row>
    <row r="986" spans="6:14">
      <c r="F986" s="136" t="s">
        <v>8897</v>
      </c>
      <c r="G986" s="136">
        <v>983</v>
      </c>
      <c r="H986" s="136" t="s">
        <v>3777</v>
      </c>
      <c r="I986" s="136" t="s">
        <v>3778</v>
      </c>
      <c r="J986" s="136" t="s">
        <v>8898</v>
      </c>
      <c r="L986" s="136"/>
      <c r="M986" s="136"/>
      <c r="N986" s="136"/>
    </row>
    <row r="987" spans="6:14">
      <c r="F987" s="136" t="s">
        <v>8899</v>
      </c>
      <c r="G987" s="136">
        <v>984</v>
      </c>
      <c r="H987" s="136" t="s">
        <v>1316</v>
      </c>
      <c r="I987" s="136" t="s">
        <v>1317</v>
      </c>
      <c r="J987" s="136" t="s">
        <v>8900</v>
      </c>
      <c r="L987" s="136"/>
      <c r="M987" s="136"/>
      <c r="N987" s="136"/>
    </row>
    <row r="988" spans="6:14">
      <c r="F988" s="136" t="s">
        <v>8901</v>
      </c>
      <c r="G988" s="136">
        <v>985</v>
      </c>
      <c r="H988" s="136" t="s">
        <v>8902</v>
      </c>
      <c r="I988" s="136" t="s">
        <v>8903</v>
      </c>
      <c r="J988" s="136" t="s">
        <v>8904</v>
      </c>
      <c r="L988" s="136"/>
      <c r="M988" s="136"/>
      <c r="N988" s="136"/>
    </row>
    <row r="989" spans="6:14">
      <c r="F989" s="136" t="s">
        <v>8905</v>
      </c>
      <c r="G989" s="136">
        <v>986</v>
      </c>
      <c r="H989" s="136" t="s">
        <v>2853</v>
      </c>
      <c r="I989" s="136" t="s">
        <v>2854</v>
      </c>
      <c r="J989" s="136" t="s">
        <v>8906</v>
      </c>
      <c r="L989" s="136"/>
      <c r="M989" s="136"/>
      <c r="N989" s="136"/>
    </row>
    <row r="990" spans="6:14">
      <c r="F990" s="136" t="s">
        <v>8907</v>
      </c>
      <c r="G990" s="136">
        <v>987</v>
      </c>
      <c r="H990" s="136" t="s">
        <v>773</v>
      </c>
      <c r="I990" s="136" t="s">
        <v>774</v>
      </c>
      <c r="J990" s="136" t="s">
        <v>8908</v>
      </c>
      <c r="L990" s="136"/>
      <c r="M990" s="136"/>
      <c r="N990" s="136"/>
    </row>
    <row r="991" spans="6:14">
      <c r="F991" s="136" t="s">
        <v>8909</v>
      </c>
      <c r="G991" s="136">
        <v>988</v>
      </c>
      <c r="H991" s="136" t="s">
        <v>8910</v>
      </c>
      <c r="I991" s="136" t="s">
        <v>8911</v>
      </c>
      <c r="J991" s="136" t="s">
        <v>8912</v>
      </c>
      <c r="L991" s="136"/>
      <c r="M991" s="136"/>
      <c r="N991" s="136"/>
    </row>
    <row r="992" spans="6:14">
      <c r="F992" s="136" t="s">
        <v>8913</v>
      </c>
      <c r="G992" s="136">
        <v>989</v>
      </c>
      <c r="H992" s="136" t="s">
        <v>4976</v>
      </c>
      <c r="I992" s="136" t="s">
        <v>4977</v>
      </c>
      <c r="J992" s="136" t="s">
        <v>8914</v>
      </c>
      <c r="L992" s="136"/>
      <c r="M992" s="136"/>
      <c r="N992" s="136"/>
    </row>
    <row r="993" spans="6:14">
      <c r="F993" s="136" t="s">
        <v>8915</v>
      </c>
      <c r="G993" s="136">
        <v>990</v>
      </c>
      <c r="H993" s="136" t="s">
        <v>2818</v>
      </c>
      <c r="I993" s="136" t="s">
        <v>2823</v>
      </c>
      <c r="J993" s="136" t="s">
        <v>8916</v>
      </c>
      <c r="L993" s="136"/>
      <c r="M993" s="136"/>
      <c r="N993" s="136"/>
    </row>
    <row r="994" spans="6:14">
      <c r="F994" s="136" t="s">
        <v>8917</v>
      </c>
      <c r="G994" s="136">
        <v>991</v>
      </c>
      <c r="H994" s="136" t="s">
        <v>5493</v>
      </c>
      <c r="I994" s="136" t="s">
        <v>5494</v>
      </c>
      <c r="J994" s="136" t="s">
        <v>8918</v>
      </c>
      <c r="L994" s="136"/>
      <c r="M994" s="136"/>
      <c r="N994" s="136"/>
    </row>
    <row r="995" spans="6:14">
      <c r="F995" s="136" t="s">
        <v>8919</v>
      </c>
      <c r="G995" s="136">
        <v>992</v>
      </c>
      <c r="H995" s="136" t="s">
        <v>2213</v>
      </c>
      <c r="I995" s="136" t="s">
        <v>2214</v>
      </c>
      <c r="J995" s="136" t="s">
        <v>8920</v>
      </c>
      <c r="L995" s="136"/>
      <c r="M995" s="136"/>
      <c r="N995" s="136"/>
    </row>
    <row r="996" spans="6:14">
      <c r="F996" s="136" t="s">
        <v>8921</v>
      </c>
      <c r="G996" s="136">
        <v>993</v>
      </c>
      <c r="H996" s="136" t="s">
        <v>2841</v>
      </c>
      <c r="I996" s="136" t="s">
        <v>2843</v>
      </c>
      <c r="J996" s="136" t="s">
        <v>8922</v>
      </c>
      <c r="L996" s="136"/>
      <c r="M996" s="136"/>
      <c r="N996" s="136"/>
    </row>
    <row r="997" spans="6:14">
      <c r="F997" s="136" t="s">
        <v>8923</v>
      </c>
      <c r="G997" s="136">
        <v>994</v>
      </c>
      <c r="H997" s="136" t="s">
        <v>8924</v>
      </c>
      <c r="I997" s="136" t="s">
        <v>8925</v>
      </c>
      <c r="J997" s="136" t="s">
        <v>8926</v>
      </c>
      <c r="L997" s="136"/>
      <c r="M997" s="136"/>
      <c r="N997" s="136"/>
    </row>
    <row r="998" spans="6:14">
      <c r="F998" s="136" t="s">
        <v>8927</v>
      </c>
      <c r="G998" s="136">
        <v>995</v>
      </c>
      <c r="H998" s="136" t="s">
        <v>4947</v>
      </c>
      <c r="I998" s="136" t="s">
        <v>4948</v>
      </c>
      <c r="J998" s="136" t="s">
        <v>8928</v>
      </c>
      <c r="L998" s="136"/>
      <c r="M998" s="136"/>
      <c r="N998" s="136"/>
    </row>
    <row r="999" spans="6:14">
      <c r="F999" s="136" t="s">
        <v>8929</v>
      </c>
      <c r="G999" s="136">
        <v>996</v>
      </c>
      <c r="H999" s="136" t="s">
        <v>8930</v>
      </c>
      <c r="I999" s="136" t="s">
        <v>8931</v>
      </c>
      <c r="J999" s="136" t="s">
        <v>8932</v>
      </c>
      <c r="L999" s="136"/>
      <c r="M999" s="136"/>
      <c r="N999" s="136"/>
    </row>
    <row r="1000" spans="6:14">
      <c r="F1000" s="136" t="s">
        <v>8933</v>
      </c>
      <c r="G1000" s="136">
        <v>997</v>
      </c>
      <c r="H1000" s="136" t="s">
        <v>8934</v>
      </c>
      <c r="I1000" s="136" t="s">
        <v>8935</v>
      </c>
      <c r="J1000" s="136" t="s">
        <v>8936</v>
      </c>
      <c r="L1000" s="136"/>
      <c r="M1000" s="136"/>
      <c r="N1000" s="136"/>
    </row>
    <row r="1001" spans="6:14">
      <c r="F1001" s="136" t="s">
        <v>8937</v>
      </c>
      <c r="G1001" s="136">
        <v>998</v>
      </c>
      <c r="H1001" s="136" t="s">
        <v>8938</v>
      </c>
      <c r="I1001" s="136" t="s">
        <v>8939</v>
      </c>
      <c r="J1001" s="136" t="s">
        <v>8940</v>
      </c>
      <c r="L1001" s="136"/>
      <c r="M1001" s="136"/>
      <c r="N1001" s="136"/>
    </row>
    <row r="1002" spans="6:14">
      <c r="F1002" s="136" t="s">
        <v>8941</v>
      </c>
      <c r="G1002" s="136">
        <v>999</v>
      </c>
      <c r="H1002" s="136" t="s">
        <v>4748</v>
      </c>
      <c r="I1002" s="136" t="s">
        <v>4749</v>
      </c>
      <c r="J1002" s="136" t="s">
        <v>8942</v>
      </c>
      <c r="L1002" s="136"/>
      <c r="M1002" s="136"/>
      <c r="N1002" s="136"/>
    </row>
    <row r="1003" spans="6:14">
      <c r="F1003" s="136" t="s">
        <v>8943</v>
      </c>
      <c r="G1003" s="136">
        <v>1000</v>
      </c>
      <c r="H1003" s="136" t="s">
        <v>2662</v>
      </c>
      <c r="I1003" s="136" t="s">
        <v>2663</v>
      </c>
      <c r="J1003" s="136" t="s">
        <v>8944</v>
      </c>
      <c r="L1003" s="136"/>
      <c r="M1003" s="136"/>
      <c r="N1003" s="136"/>
    </row>
    <row r="1004" spans="6:14">
      <c r="F1004" s="136" t="s">
        <v>8945</v>
      </c>
      <c r="G1004" s="136">
        <v>1001</v>
      </c>
      <c r="H1004" s="136" t="s">
        <v>1111</v>
      </c>
      <c r="I1004" s="136" t="s">
        <v>1112</v>
      </c>
      <c r="J1004" s="136" t="s">
        <v>8946</v>
      </c>
      <c r="L1004" s="136"/>
      <c r="M1004" s="136"/>
      <c r="N1004" s="136"/>
    </row>
    <row r="1005" spans="6:14">
      <c r="F1005" s="136" t="s">
        <v>8947</v>
      </c>
      <c r="G1005" s="136">
        <v>1002</v>
      </c>
      <c r="H1005" s="136" t="s">
        <v>8948</v>
      </c>
      <c r="I1005" s="136" t="s">
        <v>8949</v>
      </c>
      <c r="J1005" s="136" t="s">
        <v>8950</v>
      </c>
      <c r="L1005" s="136"/>
      <c r="M1005" s="136"/>
      <c r="N1005" s="136"/>
    </row>
    <row r="1006" spans="6:14">
      <c r="F1006" s="136" t="s">
        <v>8951</v>
      </c>
      <c r="G1006" s="136">
        <v>1003</v>
      </c>
      <c r="H1006" s="136" t="s">
        <v>4547</v>
      </c>
      <c r="I1006" s="136" t="s">
        <v>4548</v>
      </c>
      <c r="J1006" s="136" t="s">
        <v>8952</v>
      </c>
      <c r="L1006" s="136"/>
      <c r="M1006" s="136"/>
      <c r="N1006" s="136"/>
    </row>
    <row r="1007" spans="6:14">
      <c r="F1007" s="136" t="s">
        <v>8953</v>
      </c>
      <c r="G1007" s="136">
        <v>1004</v>
      </c>
      <c r="H1007" s="136" t="s">
        <v>548</v>
      </c>
      <c r="I1007" s="136" t="s">
        <v>560</v>
      </c>
      <c r="J1007" s="136" t="s">
        <v>8954</v>
      </c>
      <c r="L1007" s="136"/>
      <c r="M1007" s="136"/>
      <c r="N1007" s="136"/>
    </row>
    <row r="1008" spans="6:14">
      <c r="F1008" s="136" t="s">
        <v>8955</v>
      </c>
      <c r="G1008" s="136">
        <v>1005</v>
      </c>
      <c r="H1008" s="136" t="s">
        <v>8956</v>
      </c>
      <c r="I1008" s="136" t="s">
        <v>8957</v>
      </c>
      <c r="J1008" s="136" t="s">
        <v>8958</v>
      </c>
      <c r="L1008" s="136"/>
      <c r="M1008" s="136"/>
      <c r="N1008" s="136"/>
    </row>
    <row r="1009" spans="6:14">
      <c r="F1009" s="136" t="s">
        <v>8959</v>
      </c>
      <c r="G1009" s="136">
        <v>1006</v>
      </c>
      <c r="H1009" s="136" t="s">
        <v>8960</v>
      </c>
      <c r="I1009" s="136" t="s">
        <v>8961</v>
      </c>
      <c r="J1009" s="136" t="s">
        <v>8962</v>
      </c>
      <c r="L1009" s="136"/>
      <c r="M1009" s="136"/>
      <c r="N1009" s="136"/>
    </row>
    <row r="1010" spans="6:14">
      <c r="F1010" s="136" t="s">
        <v>8963</v>
      </c>
      <c r="G1010" s="136">
        <v>1007</v>
      </c>
      <c r="H1010" s="136" t="s">
        <v>1673</v>
      </c>
      <c r="I1010" s="136" t="s">
        <v>1674</v>
      </c>
      <c r="J1010" s="136" t="s">
        <v>8964</v>
      </c>
      <c r="L1010" s="136"/>
      <c r="M1010" s="136"/>
      <c r="N1010" s="136"/>
    </row>
    <row r="1011" spans="6:14">
      <c r="F1011" s="136" t="s">
        <v>8965</v>
      </c>
      <c r="G1011" s="136">
        <v>1008</v>
      </c>
      <c r="H1011" s="136" t="s">
        <v>4935</v>
      </c>
      <c r="I1011" s="136" t="s">
        <v>174</v>
      </c>
      <c r="J1011" s="136" t="s">
        <v>8966</v>
      </c>
      <c r="L1011" s="136"/>
      <c r="M1011" s="136"/>
      <c r="N1011" s="136"/>
    </row>
    <row r="1012" spans="6:14">
      <c r="F1012" s="136" t="s">
        <v>8967</v>
      </c>
      <c r="G1012" s="136">
        <v>1009</v>
      </c>
      <c r="H1012" s="136" t="s">
        <v>72</v>
      </c>
      <c r="I1012" s="136" t="s">
        <v>73</v>
      </c>
      <c r="J1012" s="136" t="s">
        <v>8968</v>
      </c>
      <c r="L1012" s="136"/>
      <c r="M1012" s="136"/>
      <c r="N1012" s="136"/>
    </row>
    <row r="1013" spans="6:14">
      <c r="F1013" s="136" t="s">
        <v>8969</v>
      </c>
      <c r="G1013" s="136">
        <v>1010</v>
      </c>
      <c r="H1013" s="136" t="s">
        <v>817</v>
      </c>
      <c r="I1013" s="136" t="s">
        <v>819</v>
      </c>
      <c r="J1013" s="136" t="s">
        <v>8970</v>
      </c>
      <c r="L1013" s="136"/>
      <c r="M1013" s="136"/>
      <c r="N1013" s="136"/>
    </row>
    <row r="1014" spans="6:14">
      <c r="F1014" s="136" t="s">
        <v>8971</v>
      </c>
      <c r="G1014" s="136">
        <v>1011</v>
      </c>
      <c r="H1014" s="136" t="s">
        <v>5107</v>
      </c>
      <c r="I1014" s="136" t="s">
        <v>5108</v>
      </c>
      <c r="J1014" s="136" t="s">
        <v>8972</v>
      </c>
      <c r="L1014" s="136"/>
      <c r="M1014" s="136"/>
      <c r="N1014" s="136"/>
    </row>
    <row r="1015" spans="6:14">
      <c r="F1015" s="136" t="s">
        <v>8973</v>
      </c>
      <c r="G1015" s="136">
        <v>1012</v>
      </c>
      <c r="H1015" s="136" t="s">
        <v>8974</v>
      </c>
      <c r="I1015" s="136" t="s">
        <v>8975</v>
      </c>
      <c r="J1015" s="136" t="s">
        <v>8976</v>
      </c>
      <c r="L1015" s="136"/>
      <c r="M1015" s="136"/>
      <c r="N1015" s="136"/>
    </row>
    <row r="1016" spans="6:14">
      <c r="F1016" s="136" t="s">
        <v>8977</v>
      </c>
      <c r="G1016" s="136">
        <v>1013</v>
      </c>
      <c r="H1016" s="136" t="s">
        <v>5324</v>
      </c>
      <c r="I1016" s="136" t="s">
        <v>5325</v>
      </c>
      <c r="J1016" s="136" t="s">
        <v>8978</v>
      </c>
      <c r="L1016" s="136"/>
      <c r="M1016" s="136"/>
      <c r="N1016" s="136"/>
    </row>
    <row r="1017" spans="6:14">
      <c r="F1017" s="136" t="s">
        <v>8979</v>
      </c>
      <c r="G1017" s="136">
        <v>1014</v>
      </c>
      <c r="H1017" s="136" t="s">
        <v>702</v>
      </c>
      <c r="I1017" s="136" t="s">
        <v>703</v>
      </c>
      <c r="J1017" s="136" t="s">
        <v>8980</v>
      </c>
      <c r="L1017" s="136"/>
      <c r="M1017" s="136"/>
      <c r="N1017" s="136"/>
    </row>
    <row r="1018" spans="6:14">
      <c r="F1018" s="136" t="s">
        <v>8981</v>
      </c>
      <c r="G1018" s="136">
        <v>1015</v>
      </c>
      <c r="H1018" s="136" t="s">
        <v>8982</v>
      </c>
      <c r="I1018" s="136" t="s">
        <v>8983</v>
      </c>
      <c r="J1018" s="136" t="s">
        <v>8984</v>
      </c>
      <c r="L1018" s="136"/>
      <c r="M1018" s="136"/>
      <c r="N1018" s="136"/>
    </row>
    <row r="1019" spans="6:14">
      <c r="F1019" s="136" t="s">
        <v>8985</v>
      </c>
      <c r="G1019" s="136">
        <v>1016</v>
      </c>
      <c r="H1019" s="136" t="s">
        <v>8986</v>
      </c>
      <c r="I1019" s="136" t="s">
        <v>8987</v>
      </c>
      <c r="J1019" s="136" t="s">
        <v>8988</v>
      </c>
      <c r="L1019" s="136"/>
      <c r="M1019" s="136"/>
      <c r="N1019" s="136"/>
    </row>
    <row r="1020" spans="6:14">
      <c r="F1020" s="136" t="s">
        <v>8989</v>
      </c>
      <c r="G1020" s="136">
        <v>1017</v>
      </c>
      <c r="H1020" s="136" t="s">
        <v>496</v>
      </c>
      <c r="I1020" s="136" t="s">
        <v>497</v>
      </c>
      <c r="J1020" s="136" t="s">
        <v>8990</v>
      </c>
      <c r="L1020" s="136"/>
      <c r="M1020" s="136"/>
      <c r="N1020" s="136"/>
    </row>
    <row r="1021" spans="6:14">
      <c r="F1021" s="136" t="s">
        <v>8991</v>
      </c>
      <c r="G1021" s="136">
        <v>1018</v>
      </c>
      <c r="H1021" s="136" t="s">
        <v>6097</v>
      </c>
      <c r="I1021" s="136" t="s">
        <v>6098</v>
      </c>
      <c r="J1021" s="136" t="s">
        <v>8992</v>
      </c>
      <c r="L1021" s="136"/>
      <c r="M1021" s="136"/>
      <c r="N1021" s="136"/>
    </row>
    <row r="1022" spans="6:14">
      <c r="F1022" s="136" t="s">
        <v>8993</v>
      </c>
      <c r="G1022" s="136">
        <v>1019</v>
      </c>
      <c r="H1022" s="136" t="s">
        <v>4924</v>
      </c>
      <c r="I1022" s="136" t="s">
        <v>4925</v>
      </c>
      <c r="J1022" s="136" t="s">
        <v>8994</v>
      </c>
      <c r="L1022" s="136"/>
      <c r="M1022" s="136"/>
      <c r="N1022" s="136"/>
    </row>
    <row r="1023" spans="6:14">
      <c r="F1023" s="136" t="s">
        <v>8995</v>
      </c>
      <c r="G1023" s="136">
        <v>1020</v>
      </c>
      <c r="H1023" s="136" t="s">
        <v>8996</v>
      </c>
      <c r="I1023" s="136" t="s">
        <v>8997</v>
      </c>
      <c r="J1023" s="136" t="s">
        <v>8998</v>
      </c>
      <c r="L1023" s="136"/>
      <c r="M1023" s="136"/>
      <c r="N1023" s="136"/>
    </row>
    <row r="1024" spans="6:14">
      <c r="F1024" s="136" t="s">
        <v>8999</v>
      </c>
      <c r="G1024" s="136">
        <v>1021</v>
      </c>
      <c r="H1024" s="136" t="s">
        <v>1332</v>
      </c>
      <c r="I1024" s="136" t="s">
        <v>1333</v>
      </c>
      <c r="J1024" s="136" t="s">
        <v>9000</v>
      </c>
      <c r="L1024" s="136"/>
      <c r="M1024" s="136"/>
      <c r="N1024" s="136"/>
    </row>
    <row r="1025" spans="6:14">
      <c r="F1025" s="136" t="s">
        <v>9001</v>
      </c>
      <c r="G1025" s="136">
        <v>1022</v>
      </c>
      <c r="H1025" s="136" t="s">
        <v>9002</v>
      </c>
      <c r="I1025" s="136" t="s">
        <v>9003</v>
      </c>
      <c r="J1025" s="136" t="s">
        <v>9004</v>
      </c>
      <c r="L1025" s="136"/>
      <c r="M1025" s="136"/>
      <c r="N1025" s="136"/>
    </row>
    <row r="1026" spans="6:14">
      <c r="F1026" s="136" t="s">
        <v>9005</v>
      </c>
      <c r="G1026" s="136">
        <v>1023</v>
      </c>
      <c r="H1026" s="136" t="s">
        <v>849</v>
      </c>
      <c r="I1026" s="136" t="s">
        <v>850</v>
      </c>
      <c r="J1026" s="136" t="s">
        <v>9006</v>
      </c>
      <c r="L1026" s="136"/>
      <c r="M1026" s="136"/>
      <c r="N1026" s="136"/>
    </row>
    <row r="1027" spans="6:14">
      <c r="F1027" s="136" t="s">
        <v>9007</v>
      </c>
      <c r="G1027" s="136">
        <v>1024</v>
      </c>
      <c r="H1027" s="136" t="s">
        <v>9008</v>
      </c>
      <c r="I1027" s="136" t="s">
        <v>9009</v>
      </c>
      <c r="J1027" s="136" t="s">
        <v>9010</v>
      </c>
      <c r="L1027" s="136"/>
      <c r="M1027" s="136"/>
      <c r="N1027" s="136"/>
    </row>
    <row r="1028" spans="6:14">
      <c r="F1028" s="136" t="s">
        <v>9011</v>
      </c>
      <c r="G1028" s="136">
        <v>1025</v>
      </c>
      <c r="H1028" s="136" t="s">
        <v>5641</v>
      </c>
      <c r="I1028" s="136" t="s">
        <v>5642</v>
      </c>
      <c r="J1028" s="136" t="s">
        <v>9012</v>
      </c>
      <c r="L1028" s="136"/>
      <c r="M1028" s="136"/>
      <c r="N1028" s="136"/>
    </row>
    <row r="1029" spans="6:14">
      <c r="F1029" s="136" t="s">
        <v>9013</v>
      </c>
      <c r="G1029" s="136">
        <v>1026</v>
      </c>
      <c r="H1029" s="136" t="s">
        <v>5908</v>
      </c>
      <c r="I1029" s="136" t="s">
        <v>5909</v>
      </c>
      <c r="J1029" s="136" t="s">
        <v>9014</v>
      </c>
      <c r="L1029" s="136"/>
      <c r="M1029" s="136"/>
      <c r="N1029" s="136"/>
    </row>
    <row r="1030" spans="6:14">
      <c r="F1030" s="136" t="s">
        <v>9015</v>
      </c>
      <c r="G1030" s="136">
        <v>1027</v>
      </c>
      <c r="H1030" s="136" t="s">
        <v>64</v>
      </c>
      <c r="I1030" s="136" t="s">
        <v>65</v>
      </c>
      <c r="J1030" s="136" t="s">
        <v>9016</v>
      </c>
      <c r="L1030" s="136"/>
      <c r="M1030" s="136"/>
      <c r="N1030" s="136"/>
    </row>
    <row r="1031" spans="6:14">
      <c r="F1031" s="136" t="s">
        <v>9017</v>
      </c>
      <c r="G1031" s="136">
        <v>1028</v>
      </c>
      <c r="H1031" s="136" t="s">
        <v>2762</v>
      </c>
      <c r="I1031" s="136" t="s">
        <v>2763</v>
      </c>
      <c r="J1031" s="136" t="s">
        <v>9018</v>
      </c>
      <c r="L1031" s="136"/>
      <c r="M1031" s="136"/>
      <c r="N1031" s="136"/>
    </row>
    <row r="1032" spans="6:14">
      <c r="F1032" s="136" t="s">
        <v>9019</v>
      </c>
      <c r="G1032" s="136">
        <v>1029</v>
      </c>
      <c r="H1032" s="136" t="s">
        <v>9020</v>
      </c>
      <c r="I1032" s="136" t="s">
        <v>9021</v>
      </c>
      <c r="J1032" s="136" t="s">
        <v>9022</v>
      </c>
      <c r="L1032" s="136"/>
      <c r="M1032" s="136"/>
      <c r="N1032" s="136"/>
    </row>
    <row r="1033" spans="6:14">
      <c r="F1033" s="136" t="s">
        <v>9023</v>
      </c>
      <c r="G1033" s="136">
        <v>1030</v>
      </c>
      <c r="H1033" s="136" t="s">
        <v>9024</v>
      </c>
      <c r="I1033" s="136" t="s">
        <v>9025</v>
      </c>
      <c r="J1033" s="136" t="s">
        <v>9026</v>
      </c>
      <c r="L1033" s="136"/>
      <c r="M1033" s="136"/>
      <c r="N1033" s="136"/>
    </row>
    <row r="1034" spans="6:14">
      <c r="F1034" s="136" t="s">
        <v>9027</v>
      </c>
      <c r="G1034" s="136">
        <v>1031</v>
      </c>
      <c r="H1034" s="136" t="s">
        <v>4284</v>
      </c>
      <c r="I1034" s="136" t="s">
        <v>4285</v>
      </c>
      <c r="J1034" s="136" t="s">
        <v>9028</v>
      </c>
      <c r="L1034" s="136"/>
      <c r="M1034" s="136"/>
      <c r="N1034" s="136"/>
    </row>
    <row r="1035" spans="6:14">
      <c r="F1035" s="136" t="s">
        <v>9029</v>
      </c>
      <c r="G1035" s="136">
        <v>1032</v>
      </c>
      <c r="H1035" s="136" t="s">
        <v>9030</v>
      </c>
      <c r="I1035" s="136" t="s">
        <v>9031</v>
      </c>
      <c r="J1035" s="136" t="s">
        <v>9032</v>
      </c>
      <c r="L1035" s="136"/>
      <c r="M1035" s="136"/>
      <c r="N1035" s="136"/>
    </row>
    <row r="1036" spans="6:14">
      <c r="F1036" s="136" t="s">
        <v>9033</v>
      </c>
      <c r="G1036" s="136">
        <v>1033</v>
      </c>
      <c r="H1036" s="136" t="s">
        <v>4569</v>
      </c>
      <c r="I1036" s="136" t="s">
        <v>4570</v>
      </c>
      <c r="J1036" s="136" t="s">
        <v>9034</v>
      </c>
      <c r="L1036" s="136"/>
      <c r="M1036" s="136"/>
      <c r="N1036" s="136"/>
    </row>
    <row r="1037" spans="6:14">
      <c r="F1037" s="136" t="s">
        <v>9035</v>
      </c>
      <c r="G1037" s="136">
        <v>1034</v>
      </c>
      <c r="H1037" s="136" t="s">
        <v>1858</v>
      </c>
      <c r="I1037" s="136" t="s">
        <v>1859</v>
      </c>
      <c r="J1037" s="136" t="s">
        <v>9036</v>
      </c>
      <c r="L1037" s="136"/>
      <c r="M1037" s="136"/>
      <c r="N1037" s="136"/>
    </row>
    <row r="1038" spans="6:14">
      <c r="F1038" s="136" t="s">
        <v>9037</v>
      </c>
      <c r="G1038" s="136">
        <v>1035</v>
      </c>
      <c r="H1038" s="136" t="s">
        <v>2179</v>
      </c>
      <c r="I1038" s="136" t="s">
        <v>2180</v>
      </c>
      <c r="J1038" s="136" t="s">
        <v>9038</v>
      </c>
      <c r="L1038" s="136"/>
      <c r="M1038" s="136"/>
      <c r="N1038" s="136"/>
    </row>
    <row r="1039" spans="6:14">
      <c r="F1039" s="136" t="s">
        <v>9039</v>
      </c>
      <c r="G1039" s="136">
        <v>1036</v>
      </c>
      <c r="H1039" s="136" t="s">
        <v>4676</v>
      </c>
      <c r="I1039" s="136" t="s">
        <v>4677</v>
      </c>
      <c r="J1039" s="136" t="s">
        <v>9040</v>
      </c>
      <c r="L1039" s="136"/>
      <c r="M1039" s="136"/>
      <c r="N1039" s="136"/>
    </row>
    <row r="1040" spans="6:14">
      <c r="F1040" s="136" t="s">
        <v>9041</v>
      </c>
      <c r="G1040" s="136">
        <v>1037</v>
      </c>
      <c r="H1040" s="136" t="s">
        <v>3949</v>
      </c>
      <c r="I1040" s="136" t="s">
        <v>3950</v>
      </c>
      <c r="J1040" s="136" t="s">
        <v>9042</v>
      </c>
      <c r="L1040" s="136"/>
      <c r="M1040" s="136"/>
      <c r="N1040" s="136"/>
    </row>
    <row r="1041" spans="6:14">
      <c r="F1041" s="136" t="s">
        <v>9043</v>
      </c>
      <c r="G1041" s="136">
        <v>1038</v>
      </c>
      <c r="H1041" s="136" t="s">
        <v>607</v>
      </c>
      <c r="I1041" s="136" t="s">
        <v>608</v>
      </c>
      <c r="J1041" s="136" t="s">
        <v>9044</v>
      </c>
      <c r="L1041" s="136"/>
      <c r="M1041" s="136"/>
      <c r="N1041" s="136"/>
    </row>
    <row r="1042" spans="6:14">
      <c r="F1042" s="136" t="s">
        <v>9045</v>
      </c>
      <c r="G1042" s="136">
        <v>1039</v>
      </c>
      <c r="H1042" s="136" t="s">
        <v>9046</v>
      </c>
      <c r="I1042" s="136" t="s">
        <v>9047</v>
      </c>
      <c r="J1042" s="136" t="s">
        <v>9048</v>
      </c>
      <c r="L1042" s="136"/>
      <c r="M1042" s="136"/>
      <c r="N1042" s="136"/>
    </row>
    <row r="1043" spans="6:14">
      <c r="F1043" s="136" t="s">
        <v>9049</v>
      </c>
      <c r="G1043" s="136">
        <v>1040</v>
      </c>
      <c r="H1043" s="136" t="s">
        <v>1449</v>
      </c>
      <c r="I1043" s="136" t="s">
        <v>1450</v>
      </c>
      <c r="J1043" s="136" t="s">
        <v>9050</v>
      </c>
      <c r="L1043" s="136"/>
      <c r="M1043" s="136"/>
      <c r="N1043" s="136"/>
    </row>
    <row r="1044" spans="6:14">
      <c r="F1044" s="136" t="s">
        <v>9051</v>
      </c>
      <c r="G1044" s="136">
        <v>1041</v>
      </c>
      <c r="H1044" s="136" t="s">
        <v>9052</v>
      </c>
      <c r="I1044" s="136" t="s">
        <v>9053</v>
      </c>
      <c r="J1044" s="136" t="s">
        <v>9054</v>
      </c>
      <c r="L1044" s="136"/>
      <c r="M1044" s="136"/>
      <c r="N1044" s="136"/>
    </row>
    <row r="1045" spans="6:14">
      <c r="F1045" s="136" t="s">
        <v>9055</v>
      </c>
      <c r="G1045" s="136">
        <v>1042</v>
      </c>
      <c r="H1045" s="136" t="s">
        <v>3796</v>
      </c>
      <c r="I1045" s="136" t="s">
        <v>3797</v>
      </c>
      <c r="J1045" s="136" t="s">
        <v>9056</v>
      </c>
      <c r="L1045" s="136"/>
      <c r="M1045" s="136"/>
      <c r="N1045" s="136"/>
    </row>
    <row r="1046" spans="6:14">
      <c r="F1046" s="136" t="s">
        <v>9057</v>
      </c>
      <c r="G1046" s="136">
        <v>1043</v>
      </c>
      <c r="H1046" s="136" t="s">
        <v>2728</v>
      </c>
      <c r="I1046" s="136" t="s">
        <v>2729</v>
      </c>
      <c r="J1046" s="136" t="s">
        <v>9058</v>
      </c>
      <c r="L1046" s="136"/>
      <c r="M1046" s="136"/>
      <c r="N1046" s="136"/>
    </row>
    <row r="1047" spans="6:14">
      <c r="F1047" s="136" t="s">
        <v>9059</v>
      </c>
      <c r="G1047" s="136">
        <v>1044</v>
      </c>
      <c r="H1047" s="136" t="s">
        <v>9046</v>
      </c>
      <c r="I1047" s="136" t="s">
        <v>9060</v>
      </c>
      <c r="J1047" s="136" t="s">
        <v>9061</v>
      </c>
      <c r="L1047" s="136"/>
      <c r="M1047" s="136"/>
      <c r="N1047" s="136"/>
    </row>
    <row r="1048" spans="6:14">
      <c r="F1048" s="136" t="s">
        <v>9062</v>
      </c>
      <c r="G1048" s="136">
        <v>1045</v>
      </c>
      <c r="H1048" s="136" t="s">
        <v>5319</v>
      </c>
      <c r="I1048" s="136" t="s">
        <v>5320</v>
      </c>
      <c r="J1048" s="136" t="s">
        <v>9063</v>
      </c>
      <c r="L1048" s="136"/>
      <c r="M1048" s="136"/>
      <c r="N1048" s="136"/>
    </row>
    <row r="1049" spans="6:14">
      <c r="F1049" s="136" t="s">
        <v>9064</v>
      </c>
      <c r="G1049" s="136">
        <v>1046</v>
      </c>
      <c r="H1049" s="136" t="s">
        <v>5132</v>
      </c>
      <c r="I1049" s="136" t="s">
        <v>5133</v>
      </c>
      <c r="J1049" s="136" t="s">
        <v>9065</v>
      </c>
      <c r="L1049" s="136"/>
      <c r="M1049" s="136"/>
      <c r="N1049" s="136"/>
    </row>
    <row r="1050" spans="6:14">
      <c r="F1050" s="136" t="s">
        <v>9066</v>
      </c>
      <c r="G1050" s="136">
        <v>1047</v>
      </c>
      <c r="H1050" s="136" t="s">
        <v>9067</v>
      </c>
      <c r="I1050" s="136" t="s">
        <v>9068</v>
      </c>
      <c r="J1050" s="136" t="s">
        <v>9069</v>
      </c>
      <c r="L1050" s="136"/>
      <c r="M1050" s="136"/>
      <c r="N1050" s="136"/>
    </row>
    <row r="1051" spans="6:14">
      <c r="F1051" s="136" t="s">
        <v>9070</v>
      </c>
      <c r="G1051" s="136">
        <v>1048</v>
      </c>
      <c r="H1051" s="136" t="s">
        <v>3970</v>
      </c>
      <c r="I1051" s="136" t="s">
        <v>3971</v>
      </c>
      <c r="J1051" s="136" t="s">
        <v>9071</v>
      </c>
      <c r="L1051" s="136"/>
      <c r="M1051" s="136"/>
      <c r="N1051" s="136"/>
    </row>
    <row r="1052" spans="6:14">
      <c r="F1052" s="136" t="s">
        <v>9072</v>
      </c>
      <c r="G1052" s="136">
        <v>1049</v>
      </c>
      <c r="H1052" s="136" t="s">
        <v>9073</v>
      </c>
      <c r="I1052" s="136" t="s">
        <v>9074</v>
      </c>
      <c r="J1052" s="136" t="s">
        <v>9075</v>
      </c>
      <c r="L1052" s="136"/>
      <c r="M1052" s="136"/>
      <c r="N1052" s="136"/>
    </row>
    <row r="1053" spans="6:14">
      <c r="F1053" s="136" t="s">
        <v>9076</v>
      </c>
      <c r="G1053" s="136">
        <v>1050</v>
      </c>
      <c r="H1053" s="136" t="s">
        <v>3047</v>
      </c>
      <c r="I1053" s="136" t="s">
        <v>3048</v>
      </c>
      <c r="J1053" s="136" t="s">
        <v>9077</v>
      </c>
      <c r="L1053" s="136"/>
      <c r="M1053" s="136"/>
      <c r="N1053" s="136"/>
    </row>
    <row r="1054" spans="6:14">
      <c r="F1054" s="136" t="s">
        <v>9078</v>
      </c>
      <c r="G1054" s="136">
        <v>1051</v>
      </c>
      <c r="H1054" s="136" t="s">
        <v>4939</v>
      </c>
      <c r="I1054" s="136" t="s">
        <v>4940</v>
      </c>
      <c r="J1054" s="136" t="s">
        <v>9079</v>
      </c>
      <c r="L1054" s="136"/>
      <c r="M1054" s="136"/>
      <c r="N1054" s="136"/>
    </row>
    <row r="1055" spans="6:14">
      <c r="F1055" s="136" t="s">
        <v>9080</v>
      </c>
      <c r="G1055" s="136">
        <v>1052</v>
      </c>
      <c r="H1055" s="136" t="s">
        <v>531</v>
      </c>
      <c r="I1055" s="136" t="s">
        <v>532</v>
      </c>
      <c r="J1055" s="136" t="s">
        <v>9081</v>
      </c>
      <c r="L1055" s="136"/>
      <c r="M1055" s="136"/>
      <c r="N1055" s="136"/>
    </row>
    <row r="1056" spans="6:14">
      <c r="F1056" s="136" t="s">
        <v>9082</v>
      </c>
      <c r="G1056" s="136">
        <v>1053</v>
      </c>
      <c r="H1056" s="136" t="s">
        <v>1610</v>
      </c>
      <c r="I1056" s="136" t="s">
        <v>1611</v>
      </c>
      <c r="J1056" s="136" t="s">
        <v>9083</v>
      </c>
      <c r="L1056" s="136"/>
      <c r="M1056" s="136"/>
      <c r="N1056" s="136"/>
    </row>
    <row r="1057" spans="6:14">
      <c r="F1057" s="136" t="s">
        <v>9084</v>
      </c>
      <c r="G1057" s="136">
        <v>1054</v>
      </c>
      <c r="H1057" s="136" t="s">
        <v>5469</v>
      </c>
      <c r="I1057" s="136" t="s">
        <v>5470</v>
      </c>
      <c r="J1057" s="136" t="s">
        <v>9085</v>
      </c>
      <c r="L1057" s="136"/>
      <c r="M1057" s="136"/>
      <c r="N1057" s="136"/>
    </row>
    <row r="1058" spans="6:14">
      <c r="F1058" s="136" t="s">
        <v>9086</v>
      </c>
      <c r="G1058" s="136">
        <v>1055</v>
      </c>
      <c r="H1058" s="136" t="s">
        <v>3607</v>
      </c>
      <c r="I1058" s="136" t="s">
        <v>3608</v>
      </c>
      <c r="J1058" s="136" t="s">
        <v>9087</v>
      </c>
      <c r="L1058" s="136"/>
      <c r="M1058" s="136"/>
      <c r="N1058" s="136"/>
    </row>
    <row r="1059" spans="6:14">
      <c r="F1059" s="136" t="s">
        <v>9088</v>
      </c>
      <c r="G1059" s="136">
        <v>1056</v>
      </c>
      <c r="H1059" s="136" t="s">
        <v>9089</v>
      </c>
      <c r="I1059" s="136" t="s">
        <v>9090</v>
      </c>
      <c r="J1059" s="136" t="s">
        <v>9091</v>
      </c>
      <c r="L1059" s="136"/>
      <c r="M1059" s="136"/>
      <c r="N1059" s="136"/>
    </row>
    <row r="1060" spans="6:14">
      <c r="F1060" s="136" t="s">
        <v>9092</v>
      </c>
      <c r="G1060" s="136">
        <v>1057</v>
      </c>
      <c r="H1060" s="136" t="s">
        <v>9093</v>
      </c>
      <c r="I1060" s="136" t="s">
        <v>9094</v>
      </c>
      <c r="J1060" s="136" t="s">
        <v>9095</v>
      </c>
      <c r="L1060" s="136"/>
      <c r="M1060" s="136"/>
      <c r="N1060" s="136"/>
    </row>
    <row r="1061" spans="6:14">
      <c r="F1061" s="136" t="s">
        <v>9096</v>
      </c>
      <c r="G1061" s="136">
        <v>1058</v>
      </c>
      <c r="H1061" s="136" t="s">
        <v>1703</v>
      </c>
      <c r="I1061" s="136" t="s">
        <v>1704</v>
      </c>
      <c r="J1061" s="136" t="s">
        <v>9097</v>
      </c>
      <c r="L1061" s="136"/>
      <c r="M1061" s="136"/>
      <c r="N1061" s="136"/>
    </row>
    <row r="1062" spans="6:14">
      <c r="F1062" s="136" t="s">
        <v>9098</v>
      </c>
      <c r="G1062" s="136">
        <v>1059</v>
      </c>
      <c r="H1062" s="136" t="s">
        <v>9099</v>
      </c>
      <c r="I1062" s="136" t="s">
        <v>9100</v>
      </c>
      <c r="J1062" s="136" t="s">
        <v>9101</v>
      </c>
      <c r="L1062" s="136"/>
      <c r="M1062" s="136"/>
      <c r="N1062" s="136"/>
    </row>
    <row r="1063" spans="6:14">
      <c r="F1063" s="136" t="s">
        <v>9102</v>
      </c>
      <c r="G1063" s="136">
        <v>1060</v>
      </c>
      <c r="H1063" s="136" t="s">
        <v>9103</v>
      </c>
      <c r="I1063" s="136" t="s">
        <v>9104</v>
      </c>
      <c r="J1063" s="136" t="s">
        <v>9105</v>
      </c>
      <c r="L1063" s="136"/>
      <c r="M1063" s="136"/>
      <c r="N1063" s="136"/>
    </row>
    <row r="1064" spans="6:14">
      <c r="F1064" s="136" t="s">
        <v>9106</v>
      </c>
      <c r="G1064" s="136">
        <v>1061</v>
      </c>
      <c r="H1064" s="136" t="s">
        <v>4481</v>
      </c>
      <c r="I1064" s="136" t="s">
        <v>2823</v>
      </c>
      <c r="J1064" s="136" t="s">
        <v>9107</v>
      </c>
      <c r="L1064" s="136"/>
      <c r="M1064" s="136"/>
      <c r="N1064" s="136"/>
    </row>
    <row r="1065" spans="6:14">
      <c r="F1065" s="136" t="s">
        <v>9108</v>
      </c>
      <c r="G1065" s="136">
        <v>1062</v>
      </c>
      <c r="H1065" s="136" t="s">
        <v>2736</v>
      </c>
      <c r="I1065" s="136" t="s">
        <v>2737</v>
      </c>
      <c r="J1065" s="136" t="s">
        <v>9109</v>
      </c>
      <c r="L1065" s="136"/>
      <c r="M1065" s="136"/>
      <c r="N1065" s="136"/>
    </row>
    <row r="1066" spans="6:14">
      <c r="F1066" s="136" t="s">
        <v>9110</v>
      </c>
      <c r="G1066" s="136">
        <v>1063</v>
      </c>
      <c r="H1066" s="136" t="s">
        <v>4565</v>
      </c>
      <c r="I1066" s="136" t="s">
        <v>4566</v>
      </c>
      <c r="J1066" s="136" t="s">
        <v>9111</v>
      </c>
      <c r="L1066" s="136"/>
      <c r="M1066" s="136"/>
      <c r="N1066" s="136"/>
    </row>
    <row r="1067" spans="6:14">
      <c r="F1067" s="136" t="s">
        <v>9112</v>
      </c>
      <c r="G1067" s="136">
        <v>1064</v>
      </c>
      <c r="H1067" s="136" t="s">
        <v>1464</v>
      </c>
      <c r="I1067" s="136" t="s">
        <v>1465</v>
      </c>
      <c r="J1067" s="136" t="s">
        <v>9113</v>
      </c>
      <c r="L1067" s="136"/>
      <c r="M1067" s="136"/>
      <c r="N1067" s="136"/>
    </row>
    <row r="1068" spans="6:14">
      <c r="F1068" s="136" t="s">
        <v>9114</v>
      </c>
      <c r="G1068" s="136">
        <v>1065</v>
      </c>
      <c r="H1068" s="136" t="s">
        <v>1807</v>
      </c>
      <c r="I1068" s="136" t="s">
        <v>1808</v>
      </c>
      <c r="J1068" s="136" t="s">
        <v>9115</v>
      </c>
      <c r="L1068" s="136"/>
      <c r="M1068" s="136"/>
      <c r="N1068" s="136"/>
    </row>
    <row r="1069" spans="6:14">
      <c r="F1069" s="136" t="s">
        <v>9116</v>
      </c>
      <c r="G1069" s="136">
        <v>1066</v>
      </c>
      <c r="H1069" s="136" t="s">
        <v>2909</v>
      </c>
      <c r="I1069" s="136" t="s">
        <v>2909</v>
      </c>
      <c r="J1069" s="136" t="s">
        <v>9117</v>
      </c>
      <c r="L1069" s="136"/>
      <c r="M1069" s="136"/>
      <c r="N1069" s="136"/>
    </row>
    <row r="1070" spans="6:14">
      <c r="F1070" s="136" t="s">
        <v>9118</v>
      </c>
      <c r="G1070" s="136">
        <v>1067</v>
      </c>
      <c r="H1070" s="136" t="s">
        <v>9119</v>
      </c>
      <c r="I1070" s="136" t="s">
        <v>9120</v>
      </c>
      <c r="J1070" s="136" t="s">
        <v>9121</v>
      </c>
      <c r="L1070" s="136"/>
      <c r="M1070" s="136"/>
      <c r="N1070" s="136"/>
    </row>
    <row r="1071" spans="6:14">
      <c r="F1071" s="136" t="s">
        <v>9122</v>
      </c>
      <c r="G1071" s="136">
        <v>1068</v>
      </c>
      <c r="H1071" s="136" t="s">
        <v>9123</v>
      </c>
      <c r="I1071" s="136" t="s">
        <v>9124</v>
      </c>
      <c r="J1071" s="136" t="s">
        <v>9125</v>
      </c>
      <c r="L1071" s="136"/>
      <c r="M1071" s="136"/>
      <c r="N1071" s="136"/>
    </row>
    <row r="1072" spans="6:14">
      <c r="F1072" s="136" t="s">
        <v>9126</v>
      </c>
      <c r="G1072" s="136">
        <v>1069</v>
      </c>
      <c r="H1072" s="136" t="s">
        <v>9127</v>
      </c>
      <c r="I1072" s="136" t="s">
        <v>9128</v>
      </c>
      <c r="J1072" s="136" t="s">
        <v>9129</v>
      </c>
      <c r="L1072" s="136"/>
      <c r="M1072" s="136"/>
      <c r="N1072" s="136"/>
    </row>
    <row r="1073" spans="6:14">
      <c r="F1073" s="136" t="s">
        <v>9130</v>
      </c>
      <c r="G1073" s="136">
        <v>1070</v>
      </c>
      <c r="H1073" s="136" t="s">
        <v>9131</v>
      </c>
      <c r="I1073" s="136" t="s">
        <v>9132</v>
      </c>
      <c r="J1073" s="136" t="s">
        <v>9133</v>
      </c>
      <c r="L1073" s="136"/>
      <c r="M1073" s="136"/>
      <c r="N1073" s="136"/>
    </row>
    <row r="1074" spans="6:14">
      <c r="F1074" s="136" t="s">
        <v>9134</v>
      </c>
      <c r="G1074" s="136">
        <v>1071</v>
      </c>
      <c r="H1074" s="136" t="s">
        <v>4319</v>
      </c>
      <c r="I1074" s="136" t="s">
        <v>4320</v>
      </c>
      <c r="J1074" s="136" t="s">
        <v>9135</v>
      </c>
      <c r="L1074" s="136"/>
      <c r="M1074" s="136"/>
      <c r="N1074" s="136"/>
    </row>
    <row r="1075" spans="6:14">
      <c r="F1075" s="136" t="s">
        <v>9136</v>
      </c>
      <c r="G1075" s="136">
        <v>1072</v>
      </c>
      <c r="H1075" s="136" t="s">
        <v>5767</v>
      </c>
      <c r="I1075" s="136" t="s">
        <v>5768</v>
      </c>
      <c r="J1075" s="136" t="s">
        <v>9137</v>
      </c>
      <c r="L1075" s="136"/>
      <c r="M1075" s="136"/>
      <c r="N1075" s="136"/>
    </row>
    <row r="1076" spans="6:14">
      <c r="F1076" s="136" t="s">
        <v>9138</v>
      </c>
      <c r="G1076" s="136">
        <v>1073</v>
      </c>
      <c r="H1076" s="136" t="s">
        <v>3033</v>
      </c>
      <c r="I1076" s="136" t="s">
        <v>3034</v>
      </c>
      <c r="J1076" s="136" t="s">
        <v>9139</v>
      </c>
      <c r="L1076" s="136"/>
      <c r="M1076" s="136"/>
      <c r="N1076" s="136"/>
    </row>
    <row r="1077" spans="6:14">
      <c r="F1077" s="136" t="s">
        <v>9140</v>
      </c>
      <c r="G1077" s="136">
        <v>1074</v>
      </c>
      <c r="H1077" s="136" t="s">
        <v>9141</v>
      </c>
      <c r="I1077" s="136" t="s">
        <v>9142</v>
      </c>
      <c r="J1077" s="136" t="s">
        <v>9143</v>
      </c>
      <c r="L1077" s="136"/>
      <c r="M1077" s="136"/>
      <c r="N1077" s="136"/>
    </row>
    <row r="1078" spans="6:14">
      <c r="F1078" s="136" t="s">
        <v>9144</v>
      </c>
      <c r="G1078" s="136">
        <v>1075</v>
      </c>
      <c r="H1078" s="136" t="s">
        <v>1924</v>
      </c>
      <c r="I1078" s="136" t="s">
        <v>1925</v>
      </c>
      <c r="J1078" s="136" t="s">
        <v>9145</v>
      </c>
      <c r="L1078" s="136"/>
      <c r="M1078" s="136"/>
      <c r="N1078" s="136"/>
    </row>
    <row r="1079" spans="6:14">
      <c r="F1079" s="136" t="s">
        <v>9146</v>
      </c>
      <c r="G1079" s="136">
        <v>1076</v>
      </c>
      <c r="H1079" s="136" t="s">
        <v>9147</v>
      </c>
      <c r="I1079" s="136" t="s">
        <v>9148</v>
      </c>
      <c r="J1079" s="136" t="s">
        <v>9149</v>
      </c>
      <c r="L1079" s="136"/>
      <c r="M1079" s="136"/>
      <c r="N1079" s="136"/>
    </row>
    <row r="1080" spans="6:14">
      <c r="F1080" s="136" t="s">
        <v>9150</v>
      </c>
      <c r="G1080" s="136">
        <v>1077</v>
      </c>
      <c r="H1080" s="136" t="s">
        <v>5540</v>
      </c>
      <c r="I1080" s="136" t="s">
        <v>5541</v>
      </c>
      <c r="J1080" s="136" t="s">
        <v>9151</v>
      </c>
      <c r="L1080" s="136"/>
      <c r="M1080" s="136"/>
      <c r="N1080" s="136"/>
    </row>
    <row r="1081" spans="6:14">
      <c r="F1081" s="136" t="s">
        <v>9152</v>
      </c>
      <c r="G1081" s="136">
        <v>1078</v>
      </c>
      <c r="H1081" s="136" t="s">
        <v>9153</v>
      </c>
      <c r="I1081" s="136" t="s">
        <v>9154</v>
      </c>
      <c r="J1081" s="136" t="s">
        <v>9155</v>
      </c>
      <c r="L1081" s="136"/>
      <c r="M1081" s="136"/>
      <c r="N1081" s="136"/>
    </row>
    <row r="1082" spans="6:14">
      <c r="F1082" s="136" t="s">
        <v>9156</v>
      </c>
      <c r="G1082" s="136">
        <v>1079</v>
      </c>
      <c r="H1082" s="136" t="s">
        <v>1149</v>
      </c>
      <c r="I1082" s="136" t="s">
        <v>1150</v>
      </c>
      <c r="J1082" s="136" t="s">
        <v>9157</v>
      </c>
      <c r="L1082" s="136"/>
      <c r="M1082" s="136"/>
      <c r="N1082" s="136"/>
    </row>
    <row r="1083" spans="6:14">
      <c r="F1083" s="136" t="s">
        <v>9158</v>
      </c>
      <c r="G1083" s="136">
        <v>1080</v>
      </c>
      <c r="H1083" s="136" t="s">
        <v>4561</v>
      </c>
      <c r="I1083" s="136" t="s">
        <v>4562</v>
      </c>
      <c r="J1083" s="136" t="s">
        <v>9159</v>
      </c>
      <c r="L1083" s="136"/>
      <c r="M1083" s="136"/>
      <c r="N1083" s="136"/>
    </row>
    <row r="1084" spans="6:14">
      <c r="F1084" s="136" t="s">
        <v>9160</v>
      </c>
      <c r="G1084" s="136">
        <v>1081</v>
      </c>
      <c r="H1084" s="136" t="s">
        <v>3844</v>
      </c>
      <c r="I1084" s="136" t="s">
        <v>3845</v>
      </c>
      <c r="J1084" s="136" t="s">
        <v>9161</v>
      </c>
      <c r="L1084" s="136"/>
      <c r="M1084" s="136"/>
      <c r="N1084" s="136"/>
    </row>
    <row r="1085" spans="6:14">
      <c r="F1085" s="136" t="s">
        <v>9162</v>
      </c>
      <c r="G1085" s="136">
        <v>1082</v>
      </c>
      <c r="H1085" s="136" t="s">
        <v>3362</v>
      </c>
      <c r="I1085" s="136" t="s">
        <v>3363</v>
      </c>
      <c r="J1085" s="136" t="s">
        <v>9163</v>
      </c>
      <c r="L1085" s="136"/>
      <c r="M1085" s="136"/>
      <c r="N1085" s="136"/>
    </row>
    <row r="1086" spans="6:14">
      <c r="F1086" s="136" t="s">
        <v>9164</v>
      </c>
      <c r="G1086" s="136">
        <v>1083</v>
      </c>
      <c r="H1086" s="136" t="s">
        <v>4930</v>
      </c>
      <c r="I1086" s="136" t="s">
        <v>4869</v>
      </c>
      <c r="J1086" s="136" t="s">
        <v>9165</v>
      </c>
      <c r="L1086" s="136"/>
      <c r="M1086" s="136"/>
      <c r="N1086" s="136"/>
    </row>
    <row r="1087" spans="6:14">
      <c r="F1087" s="136" t="s">
        <v>9166</v>
      </c>
      <c r="G1087" s="136">
        <v>1084</v>
      </c>
      <c r="H1087" s="136" t="s">
        <v>9167</v>
      </c>
      <c r="I1087" s="136" t="s">
        <v>9168</v>
      </c>
      <c r="J1087" s="136" t="s">
        <v>9169</v>
      </c>
      <c r="L1087" s="136"/>
      <c r="M1087" s="136"/>
      <c r="N1087" s="136"/>
    </row>
    <row r="1088" spans="6:14">
      <c r="F1088" s="136" t="s">
        <v>9170</v>
      </c>
      <c r="G1088" s="136">
        <v>1085</v>
      </c>
      <c r="H1088" s="136" t="s">
        <v>4726</v>
      </c>
      <c r="I1088" s="136" t="s">
        <v>4727</v>
      </c>
      <c r="J1088" s="136" t="s">
        <v>9171</v>
      </c>
      <c r="L1088" s="136"/>
      <c r="M1088" s="136"/>
      <c r="N1088" s="136"/>
    </row>
    <row r="1089" spans="6:14">
      <c r="F1089" s="136" t="s">
        <v>9172</v>
      </c>
      <c r="G1089" s="136">
        <v>1086</v>
      </c>
      <c r="H1089" s="136" t="s">
        <v>3403</v>
      </c>
      <c r="I1089" s="136" t="s">
        <v>3404</v>
      </c>
      <c r="J1089" s="136" t="s">
        <v>9173</v>
      </c>
      <c r="L1089" s="136"/>
      <c r="M1089" s="136"/>
      <c r="N1089" s="136"/>
    </row>
    <row r="1090" spans="6:14">
      <c r="F1090" s="136" t="s">
        <v>9174</v>
      </c>
      <c r="G1090" s="136">
        <v>1087</v>
      </c>
      <c r="H1090" s="136" t="s">
        <v>2181</v>
      </c>
      <c r="I1090" s="136" t="s">
        <v>2182</v>
      </c>
      <c r="J1090" s="136" t="s">
        <v>9175</v>
      </c>
      <c r="L1090" s="136"/>
      <c r="M1090" s="136"/>
      <c r="N1090" s="136"/>
    </row>
    <row r="1091" spans="6:14">
      <c r="F1091" s="136" t="s">
        <v>9176</v>
      </c>
      <c r="G1091" s="136">
        <v>1088</v>
      </c>
      <c r="H1091" s="136" t="s">
        <v>1462</v>
      </c>
      <c r="I1091" s="136" t="s">
        <v>1463</v>
      </c>
      <c r="J1091" s="136" t="s">
        <v>9177</v>
      </c>
      <c r="L1091" s="136"/>
      <c r="M1091" s="136"/>
      <c r="N1091" s="136"/>
    </row>
    <row r="1092" spans="6:14">
      <c r="F1092" s="136" t="s">
        <v>9178</v>
      </c>
      <c r="G1092" s="136">
        <v>1089</v>
      </c>
      <c r="H1092" s="136" t="s">
        <v>5285</v>
      </c>
      <c r="I1092" s="136" t="s">
        <v>5286</v>
      </c>
      <c r="J1092" s="136" t="s">
        <v>9179</v>
      </c>
      <c r="L1092" s="136"/>
      <c r="M1092" s="136"/>
      <c r="N1092" s="136"/>
    </row>
    <row r="1093" spans="6:14">
      <c r="F1093" s="136" t="s">
        <v>9180</v>
      </c>
      <c r="G1093" s="136">
        <v>1090</v>
      </c>
      <c r="H1093" s="136" t="s">
        <v>9181</v>
      </c>
      <c r="I1093" s="136" t="s">
        <v>9182</v>
      </c>
      <c r="J1093" s="136" t="s">
        <v>9183</v>
      </c>
      <c r="L1093" s="136"/>
      <c r="M1093" s="136"/>
      <c r="N1093" s="136"/>
    </row>
    <row r="1094" spans="6:14">
      <c r="F1094" s="136" t="s">
        <v>9184</v>
      </c>
      <c r="G1094" s="136">
        <v>1091</v>
      </c>
      <c r="H1094" s="136" t="s">
        <v>3107</v>
      </c>
      <c r="I1094" s="136" t="s">
        <v>3108</v>
      </c>
      <c r="J1094" s="136" t="s">
        <v>9185</v>
      </c>
      <c r="L1094" s="136"/>
      <c r="M1094" s="136"/>
      <c r="N1094" s="136"/>
    </row>
    <row r="1095" spans="6:14">
      <c r="F1095" s="136" t="s">
        <v>9186</v>
      </c>
      <c r="G1095" s="136">
        <v>1092</v>
      </c>
      <c r="H1095" s="136" t="s">
        <v>152</v>
      </c>
      <c r="I1095" s="136" t="s">
        <v>153</v>
      </c>
      <c r="J1095" s="136" t="s">
        <v>9187</v>
      </c>
      <c r="L1095" s="136"/>
      <c r="M1095" s="136"/>
      <c r="N1095" s="136"/>
    </row>
    <row r="1096" spans="6:14">
      <c r="F1096" s="136" t="s">
        <v>9188</v>
      </c>
      <c r="G1096" s="136">
        <v>1093</v>
      </c>
      <c r="H1096" s="136" t="s">
        <v>1768</v>
      </c>
      <c r="I1096" s="136" t="s">
        <v>1769</v>
      </c>
      <c r="J1096" s="136" t="s">
        <v>9189</v>
      </c>
      <c r="L1096" s="136"/>
      <c r="M1096" s="136"/>
      <c r="N1096" s="136"/>
    </row>
    <row r="1097" spans="6:14">
      <c r="F1097" s="136" t="s">
        <v>9190</v>
      </c>
      <c r="G1097" s="136">
        <v>1094</v>
      </c>
      <c r="H1097" s="136" t="s">
        <v>685</v>
      </c>
      <c r="I1097" s="136" t="s">
        <v>686</v>
      </c>
      <c r="J1097" s="136" t="s">
        <v>9191</v>
      </c>
      <c r="L1097" s="136"/>
      <c r="M1097" s="136"/>
      <c r="N1097" s="136"/>
    </row>
    <row r="1098" spans="6:14">
      <c r="F1098" s="136" t="s">
        <v>9192</v>
      </c>
      <c r="G1098" s="136">
        <v>1095</v>
      </c>
      <c r="H1098" s="136" t="s">
        <v>2855</v>
      </c>
      <c r="I1098" s="136" t="s">
        <v>2856</v>
      </c>
      <c r="J1098" s="136" t="s">
        <v>9193</v>
      </c>
      <c r="L1098" s="136"/>
      <c r="M1098" s="136"/>
      <c r="N1098" s="136"/>
    </row>
    <row r="1099" spans="6:14">
      <c r="F1099" s="136" t="s">
        <v>9194</v>
      </c>
      <c r="G1099" s="136">
        <v>1096</v>
      </c>
      <c r="H1099" s="136" t="s">
        <v>1717</v>
      </c>
      <c r="I1099" s="136" t="s">
        <v>1718</v>
      </c>
      <c r="J1099" s="136" t="s">
        <v>9195</v>
      </c>
      <c r="L1099" s="136"/>
      <c r="M1099" s="136"/>
      <c r="N1099" s="136"/>
    </row>
    <row r="1100" spans="6:14">
      <c r="F1100" s="136" t="s">
        <v>9196</v>
      </c>
      <c r="G1100" s="136">
        <v>1097</v>
      </c>
      <c r="H1100" s="136" t="s">
        <v>9197</v>
      </c>
      <c r="I1100" s="136" t="s">
        <v>9198</v>
      </c>
      <c r="J1100" s="136" t="s">
        <v>9199</v>
      </c>
      <c r="L1100" s="136"/>
      <c r="M1100" s="136"/>
      <c r="N1100" s="136"/>
    </row>
    <row r="1101" spans="6:14">
      <c r="F1101" s="136" t="s">
        <v>9200</v>
      </c>
      <c r="G1101" s="136">
        <v>1098</v>
      </c>
      <c r="H1101" s="136" t="s">
        <v>478</v>
      </c>
      <c r="I1101" s="136" t="s">
        <v>479</v>
      </c>
      <c r="J1101" s="136" t="s">
        <v>9201</v>
      </c>
      <c r="L1101" s="136"/>
      <c r="M1101" s="136"/>
      <c r="N1101" s="136"/>
    </row>
    <row r="1102" spans="6:14">
      <c r="F1102" s="136" t="s">
        <v>9202</v>
      </c>
      <c r="G1102" s="136">
        <v>1099</v>
      </c>
      <c r="H1102" s="136" t="s">
        <v>4231</v>
      </c>
      <c r="I1102" s="136" t="s">
        <v>4232</v>
      </c>
      <c r="J1102" s="136" t="s">
        <v>9203</v>
      </c>
      <c r="L1102" s="136"/>
      <c r="M1102" s="136"/>
      <c r="N1102" s="136"/>
    </row>
    <row r="1103" spans="6:14">
      <c r="F1103" s="136" t="s">
        <v>9204</v>
      </c>
      <c r="G1103" s="136">
        <v>1100</v>
      </c>
      <c r="H1103" s="136" t="s">
        <v>5190</v>
      </c>
      <c r="I1103" s="136" t="s">
        <v>5191</v>
      </c>
      <c r="J1103" s="136" t="s">
        <v>9205</v>
      </c>
      <c r="L1103" s="136"/>
      <c r="M1103" s="136"/>
      <c r="N1103" s="136"/>
    </row>
    <row r="1104" spans="6:14">
      <c r="F1104" s="136" t="s">
        <v>9206</v>
      </c>
      <c r="G1104" s="136">
        <v>1101</v>
      </c>
      <c r="H1104" s="136" t="s">
        <v>2694</v>
      </c>
      <c r="I1104" s="136" t="s">
        <v>2695</v>
      </c>
      <c r="J1104" s="136" t="s">
        <v>9207</v>
      </c>
      <c r="L1104" s="136"/>
      <c r="M1104" s="136"/>
      <c r="N1104" s="136"/>
    </row>
    <row r="1105" spans="6:14">
      <c r="F1105" s="136" t="s">
        <v>9208</v>
      </c>
      <c r="G1105" s="136">
        <v>1102</v>
      </c>
      <c r="H1105" s="136" t="s">
        <v>828</v>
      </c>
      <c r="I1105" s="136" t="s">
        <v>829</v>
      </c>
      <c r="J1105" s="136" t="s">
        <v>9209</v>
      </c>
      <c r="L1105" s="136"/>
      <c r="M1105" s="136"/>
      <c r="N1105" s="136"/>
    </row>
    <row r="1106" spans="6:14">
      <c r="F1106" s="136" t="s">
        <v>9210</v>
      </c>
      <c r="G1106" s="136">
        <v>1103</v>
      </c>
      <c r="H1106" s="136" t="s">
        <v>9211</v>
      </c>
      <c r="I1106" s="136" t="s">
        <v>9212</v>
      </c>
      <c r="J1106" s="136" t="s">
        <v>9213</v>
      </c>
      <c r="L1106" s="136"/>
      <c r="M1106" s="136"/>
      <c r="N1106" s="136"/>
    </row>
    <row r="1107" spans="6:14">
      <c r="F1107" s="136" t="s">
        <v>9214</v>
      </c>
      <c r="G1107" s="136">
        <v>1104</v>
      </c>
      <c r="H1107" s="136" t="s">
        <v>1308</v>
      </c>
      <c r="I1107" s="136" t="s">
        <v>1309</v>
      </c>
      <c r="J1107" s="136" t="s">
        <v>9215</v>
      </c>
      <c r="L1107" s="136"/>
      <c r="M1107" s="136"/>
      <c r="N1107" s="136"/>
    </row>
    <row r="1108" spans="6:14">
      <c r="F1108" s="136" t="s">
        <v>9216</v>
      </c>
      <c r="G1108" s="136">
        <v>1105</v>
      </c>
      <c r="H1108" s="136" t="s">
        <v>5534</v>
      </c>
      <c r="I1108" s="136" t="s">
        <v>5535</v>
      </c>
      <c r="J1108" s="136" t="s">
        <v>9217</v>
      </c>
      <c r="L1108" s="136"/>
      <c r="M1108" s="136"/>
      <c r="N1108" s="136"/>
    </row>
    <row r="1109" spans="6:14">
      <c r="F1109" s="136" t="s">
        <v>9218</v>
      </c>
      <c r="G1109" s="136">
        <v>1106</v>
      </c>
      <c r="H1109" s="136" t="s">
        <v>9219</v>
      </c>
      <c r="I1109" s="136" t="s">
        <v>9220</v>
      </c>
      <c r="J1109" s="136" t="s">
        <v>9221</v>
      </c>
      <c r="L1109" s="136"/>
      <c r="M1109" s="136"/>
      <c r="N1109" s="136"/>
    </row>
    <row r="1110" spans="6:14">
      <c r="F1110" s="136" t="s">
        <v>9222</v>
      </c>
      <c r="G1110" s="136">
        <v>1107</v>
      </c>
      <c r="H1110" s="136" t="s">
        <v>9223</v>
      </c>
      <c r="I1110" s="136" t="s">
        <v>9224</v>
      </c>
      <c r="J1110" s="136" t="s">
        <v>9225</v>
      </c>
      <c r="L1110" s="136"/>
      <c r="M1110" s="136"/>
      <c r="N1110" s="136"/>
    </row>
    <row r="1111" spans="6:14">
      <c r="F1111" s="136" t="s">
        <v>9226</v>
      </c>
      <c r="G1111" s="136">
        <v>1108</v>
      </c>
      <c r="H1111" s="136" t="s">
        <v>9227</v>
      </c>
      <c r="I1111" s="136" t="s">
        <v>9228</v>
      </c>
      <c r="J1111" s="136" t="s">
        <v>9229</v>
      </c>
      <c r="L1111" s="136"/>
      <c r="M1111" s="136"/>
      <c r="N1111" s="136"/>
    </row>
    <row r="1112" spans="6:14">
      <c r="F1112" s="136" t="s">
        <v>9230</v>
      </c>
      <c r="G1112" s="136">
        <v>1109</v>
      </c>
      <c r="H1112" s="136" t="s">
        <v>813</v>
      </c>
      <c r="I1112" s="136" t="s">
        <v>814</v>
      </c>
      <c r="J1112" s="136" t="s">
        <v>9231</v>
      </c>
      <c r="L1112" s="136"/>
      <c r="M1112" s="136"/>
      <c r="N1112" s="136"/>
    </row>
    <row r="1113" spans="6:14">
      <c r="F1113" s="136" t="s">
        <v>9232</v>
      </c>
      <c r="G1113" s="136">
        <v>1110</v>
      </c>
      <c r="H1113" s="136" t="s">
        <v>4519</v>
      </c>
      <c r="I1113" s="136" t="s">
        <v>4520</v>
      </c>
      <c r="J1113" s="136" t="s">
        <v>9233</v>
      </c>
      <c r="L1113" s="136"/>
      <c r="M1113" s="136"/>
      <c r="N1113" s="136"/>
    </row>
    <row r="1114" spans="6:14">
      <c r="F1114" s="136" t="s">
        <v>9234</v>
      </c>
      <c r="G1114" s="136">
        <v>1111</v>
      </c>
      <c r="H1114" s="136" t="s">
        <v>9235</v>
      </c>
      <c r="I1114" s="136" t="s">
        <v>9236</v>
      </c>
      <c r="J1114" s="136" t="s">
        <v>9237</v>
      </c>
      <c r="L1114" s="136"/>
      <c r="M1114" s="136"/>
      <c r="N1114" s="136"/>
    </row>
    <row r="1115" spans="6:14">
      <c r="F1115" s="136" t="s">
        <v>9238</v>
      </c>
      <c r="G1115" s="136">
        <v>1112</v>
      </c>
      <c r="H1115" s="136" t="s">
        <v>5734</v>
      </c>
      <c r="I1115" s="136" t="s">
        <v>23713</v>
      </c>
      <c r="J1115" s="136" t="s">
        <v>9239</v>
      </c>
      <c r="L1115" s="136"/>
      <c r="M1115" s="136"/>
      <c r="N1115" s="136"/>
    </row>
    <row r="1116" spans="6:14">
      <c r="F1116" s="136" t="s">
        <v>9240</v>
      </c>
      <c r="G1116" s="136">
        <v>1113</v>
      </c>
      <c r="H1116" s="136" t="s">
        <v>4821</v>
      </c>
      <c r="I1116" s="136" t="s">
        <v>4822</v>
      </c>
      <c r="J1116" s="136" t="s">
        <v>9241</v>
      </c>
      <c r="L1116" s="136"/>
      <c r="M1116" s="136"/>
      <c r="N1116" s="136"/>
    </row>
    <row r="1117" spans="6:14">
      <c r="F1117" s="136" t="s">
        <v>9242</v>
      </c>
      <c r="G1117" s="136">
        <v>1114</v>
      </c>
      <c r="H1117" s="136" t="s">
        <v>9243</v>
      </c>
      <c r="I1117" s="136" t="s">
        <v>9244</v>
      </c>
      <c r="J1117" s="136" t="s">
        <v>9245</v>
      </c>
      <c r="L1117" s="136"/>
      <c r="M1117" s="136"/>
      <c r="N1117" s="136"/>
    </row>
    <row r="1118" spans="6:14">
      <c r="F1118" s="136" t="s">
        <v>9246</v>
      </c>
      <c r="G1118" s="136">
        <v>1115</v>
      </c>
      <c r="H1118" s="136" t="s">
        <v>5634</v>
      </c>
      <c r="I1118" s="136" t="s">
        <v>540</v>
      </c>
      <c r="J1118" s="136" t="s">
        <v>9247</v>
      </c>
      <c r="L1118" s="136"/>
      <c r="M1118" s="136"/>
      <c r="N1118" s="136"/>
    </row>
    <row r="1119" spans="6:14">
      <c r="F1119" s="136" t="s">
        <v>9248</v>
      </c>
      <c r="G1119" s="136">
        <v>1116</v>
      </c>
      <c r="H1119" s="136" t="s">
        <v>6114</v>
      </c>
      <c r="I1119" s="136" t="s">
        <v>6115</v>
      </c>
      <c r="J1119" s="136" t="s">
        <v>9249</v>
      </c>
      <c r="L1119" s="136"/>
      <c r="M1119" s="136"/>
      <c r="N1119" s="136"/>
    </row>
    <row r="1120" spans="6:14">
      <c r="F1120" s="136" t="s">
        <v>9250</v>
      </c>
      <c r="G1120" s="136">
        <v>1117</v>
      </c>
      <c r="H1120" s="136" t="s">
        <v>3611</v>
      </c>
      <c r="I1120" s="136" t="s">
        <v>3612</v>
      </c>
      <c r="J1120" s="136" t="s">
        <v>9251</v>
      </c>
      <c r="L1120" s="136"/>
      <c r="M1120" s="136"/>
      <c r="N1120" s="136"/>
    </row>
    <row r="1121" spans="6:14">
      <c r="F1121" s="136" t="s">
        <v>9252</v>
      </c>
      <c r="G1121" s="136">
        <v>1118</v>
      </c>
      <c r="H1121" s="136" t="s">
        <v>4200</v>
      </c>
      <c r="I1121" s="136" t="s">
        <v>4201</v>
      </c>
      <c r="J1121" s="136" t="s">
        <v>9253</v>
      </c>
      <c r="L1121" s="136"/>
      <c r="M1121" s="136"/>
      <c r="N1121" s="136"/>
    </row>
    <row r="1122" spans="6:14">
      <c r="F1122" s="136" t="s">
        <v>9254</v>
      </c>
      <c r="G1122" s="136">
        <v>1119</v>
      </c>
      <c r="H1122" s="136" t="s">
        <v>5572</v>
      </c>
      <c r="I1122" s="136" t="s">
        <v>5573</v>
      </c>
      <c r="J1122" s="136" t="s">
        <v>9255</v>
      </c>
      <c r="L1122" s="136"/>
      <c r="M1122" s="136"/>
      <c r="N1122" s="136"/>
    </row>
    <row r="1123" spans="6:14">
      <c r="F1123" s="136" t="s">
        <v>9256</v>
      </c>
      <c r="G1123" s="136">
        <v>1120</v>
      </c>
      <c r="H1123" s="136" t="s">
        <v>9257</v>
      </c>
      <c r="I1123" s="136" t="s">
        <v>9258</v>
      </c>
      <c r="J1123" s="136" t="s">
        <v>9259</v>
      </c>
      <c r="L1123" s="136"/>
      <c r="M1123" s="136"/>
      <c r="N1123" s="136"/>
    </row>
    <row r="1124" spans="6:14">
      <c r="F1124" s="136" t="s">
        <v>9260</v>
      </c>
      <c r="G1124" s="136">
        <v>1121</v>
      </c>
      <c r="H1124" s="136" t="s">
        <v>3512</v>
      </c>
      <c r="I1124" s="136" t="s">
        <v>3513</v>
      </c>
      <c r="J1124" s="136" t="s">
        <v>9261</v>
      </c>
      <c r="L1124" s="136"/>
      <c r="M1124" s="136"/>
      <c r="N1124" s="136"/>
    </row>
    <row r="1125" spans="6:14">
      <c r="F1125" s="136" t="s">
        <v>9262</v>
      </c>
      <c r="G1125" s="136">
        <v>1122</v>
      </c>
      <c r="H1125" s="136" t="s">
        <v>4637</v>
      </c>
      <c r="I1125" s="136" t="s">
        <v>4638</v>
      </c>
      <c r="J1125" s="136" t="s">
        <v>9263</v>
      </c>
      <c r="L1125" s="136"/>
      <c r="M1125" s="136"/>
      <c r="N1125" s="136"/>
    </row>
    <row r="1126" spans="6:14">
      <c r="F1126" s="136" t="s">
        <v>9264</v>
      </c>
      <c r="G1126" s="136">
        <v>1123</v>
      </c>
      <c r="H1126" s="136" t="s">
        <v>4041</v>
      </c>
      <c r="I1126" s="136" t="s">
        <v>4042</v>
      </c>
      <c r="J1126" s="136" t="s">
        <v>9265</v>
      </c>
      <c r="L1126" s="136"/>
      <c r="M1126" s="136"/>
      <c r="N1126" s="136"/>
    </row>
    <row r="1127" spans="6:14">
      <c r="F1127" s="136" t="s">
        <v>9266</v>
      </c>
      <c r="G1127" s="136">
        <v>1124</v>
      </c>
      <c r="H1127" s="136" t="s">
        <v>3727</v>
      </c>
      <c r="I1127" s="136" t="s">
        <v>3728</v>
      </c>
      <c r="J1127" s="136" t="s">
        <v>9267</v>
      </c>
      <c r="L1127" s="136"/>
      <c r="M1127" s="136"/>
      <c r="N1127" s="136"/>
    </row>
    <row r="1128" spans="6:14">
      <c r="F1128" s="136" t="s">
        <v>9268</v>
      </c>
      <c r="G1128" s="136">
        <v>1125</v>
      </c>
      <c r="H1128" s="136" t="s">
        <v>9269</v>
      </c>
      <c r="I1128" s="136" t="s">
        <v>9270</v>
      </c>
      <c r="J1128" s="136" t="s">
        <v>9271</v>
      </c>
      <c r="L1128" s="136"/>
      <c r="M1128" s="136"/>
      <c r="N1128" s="136"/>
    </row>
    <row r="1129" spans="6:14">
      <c r="F1129" s="136" t="s">
        <v>9272</v>
      </c>
      <c r="G1129" s="136">
        <v>1126</v>
      </c>
      <c r="H1129" s="136" t="s">
        <v>1822</v>
      </c>
      <c r="I1129" s="136" t="s">
        <v>1823</v>
      </c>
      <c r="J1129" s="136" t="s">
        <v>9273</v>
      </c>
      <c r="L1129" s="136"/>
      <c r="M1129" s="136"/>
      <c r="N1129" s="136"/>
    </row>
    <row r="1130" spans="6:14">
      <c r="F1130" s="136" t="s">
        <v>9274</v>
      </c>
      <c r="G1130" s="136">
        <v>1127</v>
      </c>
      <c r="H1130" s="136" t="s">
        <v>9275</v>
      </c>
      <c r="I1130" s="136" t="s">
        <v>9276</v>
      </c>
      <c r="J1130" s="136" t="s">
        <v>9277</v>
      </c>
      <c r="L1130" s="136"/>
      <c r="M1130" s="136"/>
      <c r="N1130" s="136"/>
    </row>
    <row r="1131" spans="6:14">
      <c r="F1131" s="136" t="s">
        <v>9278</v>
      </c>
      <c r="G1131" s="136">
        <v>1128</v>
      </c>
      <c r="H1131" s="136" t="s">
        <v>6193</v>
      </c>
      <c r="I1131" s="136" t="s">
        <v>6194</v>
      </c>
      <c r="J1131" s="136" t="s">
        <v>9279</v>
      </c>
      <c r="L1131" s="136"/>
      <c r="M1131" s="136"/>
      <c r="N1131" s="136"/>
    </row>
    <row r="1132" spans="6:14">
      <c r="F1132" s="136" t="s">
        <v>9280</v>
      </c>
      <c r="G1132" s="136">
        <v>1129</v>
      </c>
      <c r="H1132" s="136" t="s">
        <v>4702</v>
      </c>
      <c r="I1132" s="136" t="s">
        <v>4703</v>
      </c>
      <c r="J1132" s="136" t="s">
        <v>9281</v>
      </c>
      <c r="L1132" s="136"/>
      <c r="M1132" s="136"/>
      <c r="N1132" s="136"/>
    </row>
    <row r="1133" spans="6:14">
      <c r="F1133" s="136" t="s">
        <v>9282</v>
      </c>
      <c r="G1133" s="136">
        <v>1130</v>
      </c>
      <c r="H1133" s="136" t="s">
        <v>1842</v>
      </c>
      <c r="I1133" s="136" t="s">
        <v>1843</v>
      </c>
      <c r="J1133" s="136" t="s">
        <v>9283</v>
      </c>
      <c r="L1133" s="136"/>
      <c r="M1133" s="136"/>
      <c r="N1133" s="136"/>
    </row>
    <row r="1134" spans="6:14">
      <c r="F1134" s="136" t="s">
        <v>9284</v>
      </c>
      <c r="G1134" s="136">
        <v>1131</v>
      </c>
      <c r="H1134" s="136" t="s">
        <v>4156</v>
      </c>
      <c r="I1134" s="136" t="s">
        <v>2572</v>
      </c>
      <c r="J1134" s="136" t="s">
        <v>9285</v>
      </c>
      <c r="L1134" s="136"/>
      <c r="M1134" s="136"/>
      <c r="N1134" s="136"/>
    </row>
    <row r="1135" spans="6:14">
      <c r="F1135" s="136" t="s">
        <v>9286</v>
      </c>
      <c r="G1135" s="136">
        <v>1132</v>
      </c>
      <c r="H1135" s="136" t="s">
        <v>1324</v>
      </c>
      <c r="I1135" s="136" t="s">
        <v>1325</v>
      </c>
      <c r="J1135" s="136" t="s">
        <v>9287</v>
      </c>
      <c r="L1135" s="136"/>
      <c r="M1135" s="136"/>
      <c r="N1135" s="136"/>
    </row>
    <row r="1136" spans="6:14">
      <c r="F1136" s="136" t="s">
        <v>9288</v>
      </c>
      <c r="G1136" s="136">
        <v>1133</v>
      </c>
      <c r="H1136" s="136" t="s">
        <v>9289</v>
      </c>
      <c r="I1136" s="136" t="s">
        <v>9290</v>
      </c>
      <c r="J1136" s="136" t="s">
        <v>9291</v>
      </c>
      <c r="L1136" s="136"/>
      <c r="M1136" s="136"/>
      <c r="N1136" s="136"/>
    </row>
    <row r="1137" spans="6:14">
      <c r="F1137" s="136" t="s">
        <v>9292</v>
      </c>
      <c r="G1137" s="136">
        <v>1134</v>
      </c>
      <c r="H1137" s="136" t="s">
        <v>9293</v>
      </c>
      <c r="I1137" s="136" t="s">
        <v>9294</v>
      </c>
      <c r="J1137" s="136" t="s">
        <v>9295</v>
      </c>
      <c r="L1137" s="136"/>
      <c r="M1137" s="136"/>
      <c r="N1137" s="136"/>
    </row>
    <row r="1138" spans="6:14">
      <c r="F1138" s="136" t="s">
        <v>9296</v>
      </c>
      <c r="G1138" s="136">
        <v>1135</v>
      </c>
      <c r="H1138" s="136" t="s">
        <v>9297</v>
      </c>
      <c r="I1138" s="136" t="s">
        <v>9298</v>
      </c>
      <c r="J1138" s="136" t="s">
        <v>9299</v>
      </c>
      <c r="L1138" s="136"/>
      <c r="M1138" s="136"/>
      <c r="N1138" s="136"/>
    </row>
    <row r="1139" spans="6:14">
      <c r="F1139" s="136" t="s">
        <v>9300</v>
      </c>
      <c r="G1139" s="136">
        <v>1136</v>
      </c>
      <c r="H1139" s="136" t="s">
        <v>2493</v>
      </c>
      <c r="I1139" s="136" t="s">
        <v>2494</v>
      </c>
      <c r="J1139" s="136" t="s">
        <v>9301</v>
      </c>
      <c r="L1139" s="136"/>
      <c r="M1139" s="136"/>
      <c r="N1139" s="136"/>
    </row>
    <row r="1140" spans="6:14">
      <c r="F1140" s="136" t="s">
        <v>9302</v>
      </c>
      <c r="G1140" s="136">
        <v>1137</v>
      </c>
      <c r="H1140" s="136" t="s">
        <v>5512</v>
      </c>
      <c r="I1140" s="136" t="s">
        <v>5513</v>
      </c>
      <c r="J1140" s="136" t="s">
        <v>9303</v>
      </c>
      <c r="L1140" s="136"/>
      <c r="M1140" s="136"/>
      <c r="N1140" s="136"/>
    </row>
    <row r="1141" spans="6:14">
      <c r="F1141" s="136" t="s">
        <v>9304</v>
      </c>
      <c r="G1141" s="136">
        <v>1138</v>
      </c>
      <c r="H1141" s="136" t="s">
        <v>9305</v>
      </c>
      <c r="I1141" s="136" t="s">
        <v>9306</v>
      </c>
      <c r="J1141" s="136" t="s">
        <v>9307</v>
      </c>
      <c r="L1141" s="136"/>
      <c r="M1141" s="136"/>
      <c r="N1141" s="136"/>
    </row>
    <row r="1142" spans="6:14">
      <c r="F1142" s="136" t="s">
        <v>9308</v>
      </c>
      <c r="G1142" s="136">
        <v>1139</v>
      </c>
      <c r="H1142" s="136" t="s">
        <v>9309</v>
      </c>
      <c r="I1142" s="136" t="s">
        <v>9310</v>
      </c>
      <c r="J1142" s="136" t="s">
        <v>9311</v>
      </c>
      <c r="L1142" s="136"/>
      <c r="M1142" s="136"/>
      <c r="N1142" s="136"/>
    </row>
    <row r="1143" spans="6:14">
      <c r="F1143" s="136" t="s">
        <v>9312</v>
      </c>
      <c r="G1143" s="136">
        <v>1140</v>
      </c>
      <c r="H1143" s="136" t="s">
        <v>4884</v>
      </c>
      <c r="I1143" s="136" t="s">
        <v>4885</v>
      </c>
      <c r="J1143" s="136" t="s">
        <v>9313</v>
      </c>
      <c r="L1143" s="136"/>
      <c r="M1143" s="136"/>
      <c r="N1143" s="136"/>
    </row>
    <row r="1144" spans="6:14">
      <c r="F1144" s="136" t="s">
        <v>9314</v>
      </c>
      <c r="G1144" s="136">
        <v>1141</v>
      </c>
      <c r="H1144" s="136" t="s">
        <v>9315</v>
      </c>
      <c r="I1144" s="136" t="s">
        <v>9316</v>
      </c>
      <c r="J1144" s="136" t="s">
        <v>9317</v>
      </c>
      <c r="L1144" s="136"/>
      <c r="M1144" s="136"/>
      <c r="N1144" s="136"/>
    </row>
    <row r="1145" spans="6:14">
      <c r="F1145" s="136" t="s">
        <v>9318</v>
      </c>
      <c r="G1145" s="136">
        <v>1142</v>
      </c>
      <c r="H1145" s="136" t="s">
        <v>3482</v>
      </c>
      <c r="I1145" s="136" t="s">
        <v>3485</v>
      </c>
      <c r="J1145" s="136" t="s">
        <v>9319</v>
      </c>
      <c r="L1145" s="136"/>
      <c r="M1145" s="136"/>
      <c r="N1145" s="136"/>
    </row>
    <row r="1146" spans="6:14">
      <c r="F1146" s="136" t="s">
        <v>9320</v>
      </c>
      <c r="G1146" s="136">
        <v>1143</v>
      </c>
      <c r="H1146" s="136" t="s">
        <v>9321</v>
      </c>
      <c r="I1146" s="136" t="s">
        <v>9322</v>
      </c>
      <c r="J1146" s="136" t="s">
        <v>9323</v>
      </c>
      <c r="L1146" s="136"/>
      <c r="M1146" s="136"/>
      <c r="N1146" s="136"/>
    </row>
    <row r="1147" spans="6:14">
      <c r="F1147" s="136" t="s">
        <v>9324</v>
      </c>
      <c r="G1147" s="136">
        <v>1144</v>
      </c>
      <c r="H1147" s="136" t="s">
        <v>9325</v>
      </c>
      <c r="I1147" s="136" t="s">
        <v>9326</v>
      </c>
      <c r="J1147" s="136" t="s">
        <v>9327</v>
      </c>
      <c r="L1147" s="136"/>
      <c r="M1147" s="136"/>
      <c r="N1147" s="136"/>
    </row>
    <row r="1148" spans="6:14">
      <c r="F1148" s="136" t="s">
        <v>9328</v>
      </c>
      <c r="G1148" s="136">
        <v>1145</v>
      </c>
      <c r="H1148" s="136" t="s">
        <v>9329</v>
      </c>
      <c r="I1148" s="136" t="s">
        <v>9330</v>
      </c>
      <c r="J1148" s="136" t="s">
        <v>9331</v>
      </c>
      <c r="L1148" s="136"/>
      <c r="M1148" s="136"/>
      <c r="N1148" s="136"/>
    </row>
    <row r="1149" spans="6:14">
      <c r="F1149" s="136" t="s">
        <v>9332</v>
      </c>
      <c r="G1149" s="136">
        <v>1146</v>
      </c>
      <c r="H1149" s="136" t="s">
        <v>1846</v>
      </c>
      <c r="I1149" s="136" t="s">
        <v>1847</v>
      </c>
      <c r="J1149" s="136" t="s">
        <v>9333</v>
      </c>
      <c r="L1149" s="136"/>
      <c r="M1149" s="136"/>
      <c r="N1149" s="136"/>
    </row>
    <row r="1150" spans="6:14">
      <c r="F1150" s="136" t="s">
        <v>9334</v>
      </c>
      <c r="G1150" s="136">
        <v>1147</v>
      </c>
      <c r="H1150" s="136" t="s">
        <v>9335</v>
      </c>
      <c r="I1150" s="136" t="s">
        <v>9336</v>
      </c>
      <c r="J1150" s="136" t="s">
        <v>9337</v>
      </c>
      <c r="L1150" s="136"/>
      <c r="M1150" s="136"/>
      <c r="N1150" s="136"/>
    </row>
    <row r="1151" spans="6:14">
      <c r="F1151" s="136" t="s">
        <v>9338</v>
      </c>
      <c r="G1151" s="136">
        <v>1148</v>
      </c>
      <c r="H1151" s="136" t="s">
        <v>4110</v>
      </c>
      <c r="I1151" s="136" t="s">
        <v>4111</v>
      </c>
      <c r="J1151" s="136" t="s">
        <v>9339</v>
      </c>
      <c r="L1151" s="136"/>
      <c r="M1151" s="136"/>
      <c r="N1151" s="136"/>
    </row>
    <row r="1152" spans="6:14">
      <c r="F1152" s="136" t="s">
        <v>9340</v>
      </c>
      <c r="G1152" s="136">
        <v>1149</v>
      </c>
      <c r="H1152" s="136" t="s">
        <v>9341</v>
      </c>
      <c r="I1152" s="136" t="s">
        <v>9342</v>
      </c>
      <c r="J1152" s="136" t="s">
        <v>9343</v>
      </c>
      <c r="L1152" s="136"/>
      <c r="M1152" s="136"/>
      <c r="N1152" s="136"/>
    </row>
    <row r="1153" spans="6:14">
      <c r="F1153" s="136" t="s">
        <v>9344</v>
      </c>
      <c r="G1153" s="136">
        <v>1150</v>
      </c>
      <c r="H1153" s="136" t="s">
        <v>9345</v>
      </c>
      <c r="I1153" s="136" t="s">
        <v>9346</v>
      </c>
      <c r="J1153" s="136" t="s">
        <v>9347</v>
      </c>
      <c r="L1153" s="136"/>
      <c r="M1153" s="136"/>
      <c r="N1153" s="136"/>
    </row>
    <row r="1154" spans="6:14">
      <c r="F1154" s="136" t="s">
        <v>9348</v>
      </c>
      <c r="G1154" s="136">
        <v>1151</v>
      </c>
      <c r="H1154" s="136" t="s">
        <v>5254</v>
      </c>
      <c r="I1154" s="136" t="s">
        <v>5255</v>
      </c>
      <c r="J1154" s="136" t="s">
        <v>9349</v>
      </c>
      <c r="L1154" s="136"/>
      <c r="M1154" s="136"/>
      <c r="N1154" s="136"/>
    </row>
    <row r="1155" spans="6:14">
      <c r="F1155" s="136" t="s">
        <v>9350</v>
      </c>
      <c r="G1155" s="136">
        <v>1152</v>
      </c>
      <c r="H1155" s="136" t="s">
        <v>2894</v>
      </c>
      <c r="I1155" s="136" t="s">
        <v>655</v>
      </c>
      <c r="J1155" s="136" t="s">
        <v>9351</v>
      </c>
      <c r="L1155" s="136"/>
      <c r="M1155" s="136"/>
      <c r="N1155" s="136"/>
    </row>
    <row r="1156" spans="6:14">
      <c r="F1156" s="136" t="s">
        <v>9352</v>
      </c>
      <c r="G1156" s="136">
        <v>1153</v>
      </c>
      <c r="H1156" s="136" t="s">
        <v>3782</v>
      </c>
      <c r="I1156" s="136" t="s">
        <v>3783</v>
      </c>
      <c r="J1156" s="136" t="s">
        <v>9353</v>
      </c>
      <c r="L1156" s="136"/>
      <c r="M1156" s="136"/>
      <c r="N1156" s="136"/>
    </row>
    <row r="1157" spans="6:14">
      <c r="F1157" s="136" t="s">
        <v>9354</v>
      </c>
      <c r="G1157" s="136">
        <v>1154</v>
      </c>
      <c r="H1157" s="136" t="s">
        <v>3010</v>
      </c>
      <c r="I1157" s="136" t="s">
        <v>3011</v>
      </c>
      <c r="J1157" s="136" t="s">
        <v>9355</v>
      </c>
      <c r="L1157" s="136"/>
      <c r="M1157" s="136"/>
      <c r="N1157" s="136"/>
    </row>
    <row r="1158" spans="6:14">
      <c r="F1158" s="136" t="s">
        <v>9356</v>
      </c>
      <c r="G1158" s="136">
        <v>1155</v>
      </c>
      <c r="H1158" s="136" t="s">
        <v>9357</v>
      </c>
      <c r="I1158" s="136" t="s">
        <v>9358</v>
      </c>
      <c r="J1158" s="136" t="s">
        <v>9359</v>
      </c>
      <c r="L1158" s="136"/>
      <c r="M1158" s="136"/>
      <c r="N1158" s="136"/>
    </row>
    <row r="1159" spans="6:14">
      <c r="F1159" s="136" t="s">
        <v>9360</v>
      </c>
      <c r="G1159" s="136">
        <v>1156</v>
      </c>
      <c r="H1159" s="136" t="s">
        <v>9361</v>
      </c>
      <c r="I1159" s="136" t="s">
        <v>9362</v>
      </c>
      <c r="J1159" s="136" t="s">
        <v>9363</v>
      </c>
      <c r="L1159" s="136"/>
      <c r="M1159" s="136"/>
      <c r="N1159" s="136"/>
    </row>
    <row r="1160" spans="6:14">
      <c r="F1160" s="136" t="s">
        <v>9364</v>
      </c>
      <c r="G1160" s="136">
        <v>1157</v>
      </c>
      <c r="H1160" s="136" t="s">
        <v>9365</v>
      </c>
      <c r="I1160" s="136" t="s">
        <v>9366</v>
      </c>
      <c r="J1160" s="136" t="s">
        <v>9367</v>
      </c>
      <c r="L1160" s="136"/>
      <c r="M1160" s="136"/>
      <c r="N1160" s="136"/>
    </row>
    <row r="1161" spans="6:14">
      <c r="F1161" s="136" t="s">
        <v>9368</v>
      </c>
      <c r="G1161" s="136">
        <v>1158</v>
      </c>
      <c r="H1161" s="136" t="s">
        <v>2841</v>
      </c>
      <c r="I1161" s="136" t="s">
        <v>2844</v>
      </c>
      <c r="J1161" s="136" t="s">
        <v>9369</v>
      </c>
      <c r="L1161" s="136"/>
      <c r="M1161" s="136"/>
      <c r="N1161" s="136"/>
    </row>
    <row r="1162" spans="6:14">
      <c r="F1162" s="136" t="s">
        <v>9370</v>
      </c>
      <c r="G1162" s="136">
        <v>1159</v>
      </c>
      <c r="H1162" s="136" t="s">
        <v>9371</v>
      </c>
      <c r="I1162" s="136" t="s">
        <v>9372</v>
      </c>
      <c r="J1162" s="136" t="s">
        <v>9373</v>
      </c>
      <c r="L1162" s="136"/>
      <c r="M1162" s="136"/>
      <c r="N1162" s="136"/>
    </row>
    <row r="1163" spans="6:14">
      <c r="F1163" s="136" t="s">
        <v>9374</v>
      </c>
      <c r="G1163" s="136">
        <v>1160</v>
      </c>
      <c r="H1163" s="136" t="s">
        <v>2215</v>
      </c>
      <c r="I1163" s="136" t="s">
        <v>2216</v>
      </c>
      <c r="J1163" s="136" t="s">
        <v>9375</v>
      </c>
      <c r="L1163" s="136"/>
      <c r="M1163" s="136"/>
      <c r="N1163" s="136"/>
    </row>
    <row r="1164" spans="6:14">
      <c r="F1164" s="136" t="s">
        <v>9376</v>
      </c>
      <c r="G1164" s="136">
        <v>1161</v>
      </c>
      <c r="H1164" s="136" t="s">
        <v>642</v>
      </c>
      <c r="I1164" s="136" t="s">
        <v>643</v>
      </c>
      <c r="J1164" s="136" t="s">
        <v>9377</v>
      </c>
      <c r="L1164" s="136"/>
      <c r="M1164" s="136"/>
      <c r="N1164" s="136"/>
    </row>
    <row r="1165" spans="6:14">
      <c r="F1165" s="136" t="s">
        <v>9378</v>
      </c>
      <c r="G1165" s="136">
        <v>1162</v>
      </c>
      <c r="H1165" s="136" t="s">
        <v>2740</v>
      </c>
      <c r="I1165" s="136" t="s">
        <v>2741</v>
      </c>
      <c r="J1165" s="136" t="s">
        <v>9379</v>
      </c>
      <c r="L1165" s="136"/>
      <c r="M1165" s="136"/>
      <c r="N1165" s="136"/>
    </row>
    <row r="1166" spans="6:14">
      <c r="F1166" s="136" t="s">
        <v>9380</v>
      </c>
      <c r="G1166" s="136">
        <v>1163</v>
      </c>
      <c r="H1166" s="136" t="s">
        <v>9381</v>
      </c>
      <c r="I1166" s="136" t="s">
        <v>9381</v>
      </c>
      <c r="J1166" s="136" t="s">
        <v>9382</v>
      </c>
      <c r="L1166" s="136"/>
      <c r="M1166" s="136"/>
      <c r="N1166" s="136"/>
    </row>
    <row r="1167" spans="6:14">
      <c r="F1167" s="136" t="s">
        <v>9383</v>
      </c>
      <c r="G1167" s="136">
        <v>1164</v>
      </c>
      <c r="H1167" s="136" t="s">
        <v>9384</v>
      </c>
      <c r="I1167" s="136" t="s">
        <v>9385</v>
      </c>
      <c r="J1167" s="136" t="s">
        <v>9386</v>
      </c>
      <c r="L1167" s="136"/>
      <c r="M1167" s="136"/>
      <c r="N1167" s="136"/>
    </row>
    <row r="1168" spans="6:14">
      <c r="F1168" s="136" t="s">
        <v>9387</v>
      </c>
      <c r="G1168" s="136">
        <v>1165</v>
      </c>
      <c r="H1168" s="136" t="s">
        <v>5124</v>
      </c>
      <c r="I1168" s="136" t="s">
        <v>5127</v>
      </c>
      <c r="J1168" s="136" t="s">
        <v>9388</v>
      </c>
      <c r="L1168" s="136"/>
      <c r="M1168" s="136"/>
      <c r="N1168" s="136"/>
    </row>
    <row r="1169" spans="6:14">
      <c r="F1169" s="136" t="s">
        <v>9389</v>
      </c>
      <c r="G1169" s="136">
        <v>1166</v>
      </c>
      <c r="H1169" s="136" t="s">
        <v>4559</v>
      </c>
      <c r="I1169" s="136" t="s">
        <v>4560</v>
      </c>
      <c r="J1169" s="136" t="s">
        <v>9390</v>
      </c>
      <c r="L1169" s="136"/>
      <c r="M1169" s="136"/>
      <c r="N1169" s="136"/>
    </row>
    <row r="1170" spans="6:14">
      <c r="F1170" s="136" t="s">
        <v>9391</v>
      </c>
      <c r="G1170" s="136">
        <v>1167</v>
      </c>
      <c r="H1170" s="136" t="s">
        <v>9392</v>
      </c>
      <c r="I1170" s="136" t="s">
        <v>9393</v>
      </c>
      <c r="J1170" s="136" t="s">
        <v>9394</v>
      </c>
      <c r="L1170" s="136"/>
      <c r="M1170" s="136"/>
      <c r="N1170" s="136"/>
    </row>
    <row r="1171" spans="6:14">
      <c r="F1171" s="136" t="s">
        <v>9395</v>
      </c>
      <c r="G1171" s="136">
        <v>1168</v>
      </c>
      <c r="H1171" s="136" t="s">
        <v>5657</v>
      </c>
      <c r="I1171" s="136" t="s">
        <v>5658</v>
      </c>
      <c r="J1171" s="136" t="s">
        <v>9396</v>
      </c>
      <c r="L1171" s="136"/>
      <c r="M1171" s="136"/>
      <c r="N1171" s="136"/>
    </row>
    <row r="1172" spans="6:14">
      <c r="F1172" s="136" t="s">
        <v>9397</v>
      </c>
      <c r="G1172" s="136">
        <v>1169</v>
      </c>
      <c r="H1172" s="136" t="s">
        <v>2724</v>
      </c>
      <c r="I1172" s="136" t="s">
        <v>2725</v>
      </c>
      <c r="J1172" s="136" t="s">
        <v>9398</v>
      </c>
      <c r="L1172" s="136"/>
      <c r="M1172" s="136"/>
      <c r="N1172" s="136"/>
    </row>
    <row r="1173" spans="6:14">
      <c r="F1173" s="136" t="s">
        <v>9399</v>
      </c>
      <c r="G1173" s="136">
        <v>1170</v>
      </c>
      <c r="H1173" s="136" t="s">
        <v>2917</v>
      </c>
      <c r="I1173" s="136" t="s">
        <v>2919</v>
      </c>
      <c r="J1173" s="136" t="s">
        <v>9400</v>
      </c>
      <c r="L1173" s="136"/>
      <c r="M1173" s="136"/>
      <c r="N1173" s="136"/>
    </row>
    <row r="1174" spans="6:14">
      <c r="F1174" s="136" t="s">
        <v>9401</v>
      </c>
      <c r="G1174" s="136">
        <v>1171</v>
      </c>
      <c r="H1174" s="136" t="s">
        <v>4557</v>
      </c>
      <c r="I1174" s="136" t="s">
        <v>4558</v>
      </c>
      <c r="J1174" s="136" t="s">
        <v>9402</v>
      </c>
      <c r="L1174" s="136"/>
      <c r="M1174" s="136"/>
      <c r="N1174" s="136"/>
    </row>
    <row r="1175" spans="6:14">
      <c r="F1175" s="136" t="s">
        <v>9403</v>
      </c>
      <c r="G1175" s="136">
        <v>1172</v>
      </c>
      <c r="H1175" s="136" t="s">
        <v>2563</v>
      </c>
      <c r="I1175" s="136" t="s">
        <v>2565</v>
      </c>
      <c r="J1175" s="136" t="s">
        <v>9404</v>
      </c>
      <c r="L1175" s="136"/>
      <c r="M1175" s="136"/>
      <c r="N1175" s="136"/>
    </row>
    <row r="1176" spans="6:14">
      <c r="F1176" s="136" t="s">
        <v>9405</v>
      </c>
      <c r="G1176" s="136">
        <v>1173</v>
      </c>
      <c r="H1176" s="136" t="s">
        <v>9406</v>
      </c>
      <c r="I1176" s="136" t="s">
        <v>9407</v>
      </c>
      <c r="J1176" s="136" t="s">
        <v>9408</v>
      </c>
      <c r="L1176" s="136"/>
      <c r="M1176" s="136"/>
      <c r="N1176" s="136"/>
    </row>
    <row r="1177" spans="6:14">
      <c r="F1177" s="136" t="s">
        <v>9409</v>
      </c>
      <c r="G1177" s="136">
        <v>1174</v>
      </c>
      <c r="H1177" s="136" t="s">
        <v>3383</v>
      </c>
      <c r="I1177" s="136" t="s">
        <v>3384</v>
      </c>
      <c r="J1177" s="136" t="s">
        <v>9410</v>
      </c>
      <c r="L1177" s="136"/>
      <c r="M1177" s="136"/>
      <c r="N1177" s="136"/>
    </row>
    <row r="1178" spans="6:14">
      <c r="F1178" s="136" t="s">
        <v>9411</v>
      </c>
      <c r="G1178" s="136">
        <v>1175</v>
      </c>
      <c r="H1178" s="136" t="s">
        <v>213</v>
      </c>
      <c r="I1178" s="136" t="s">
        <v>214</v>
      </c>
      <c r="J1178" s="136" t="s">
        <v>9412</v>
      </c>
      <c r="L1178" s="136"/>
      <c r="M1178" s="136"/>
      <c r="N1178" s="136"/>
    </row>
    <row r="1179" spans="6:14">
      <c r="F1179" s="136" t="s">
        <v>9413</v>
      </c>
      <c r="G1179" s="136">
        <v>1176</v>
      </c>
      <c r="H1179" s="136" t="s">
        <v>4151</v>
      </c>
      <c r="I1179" s="136" t="s">
        <v>4152</v>
      </c>
      <c r="J1179" s="136" t="s">
        <v>9414</v>
      </c>
      <c r="L1179" s="136"/>
      <c r="M1179" s="136"/>
      <c r="N1179" s="136"/>
    </row>
    <row r="1180" spans="6:14">
      <c r="F1180" s="136" t="s">
        <v>9415</v>
      </c>
      <c r="G1180" s="136">
        <v>1177</v>
      </c>
      <c r="H1180" s="136" t="s">
        <v>548</v>
      </c>
      <c r="I1180" s="136" t="s">
        <v>561</v>
      </c>
      <c r="J1180" s="136" t="s">
        <v>9416</v>
      </c>
      <c r="L1180" s="136"/>
      <c r="M1180" s="136"/>
      <c r="N1180" s="136"/>
    </row>
    <row r="1181" spans="6:14">
      <c r="F1181" s="136" t="s">
        <v>9417</v>
      </c>
      <c r="G1181" s="136">
        <v>1178</v>
      </c>
      <c r="H1181" s="136" t="s">
        <v>2955</v>
      </c>
      <c r="I1181" s="136" t="s">
        <v>2956</v>
      </c>
      <c r="J1181" s="136" t="s">
        <v>9418</v>
      </c>
      <c r="L1181" s="136"/>
      <c r="M1181" s="136"/>
      <c r="N1181" s="136"/>
    </row>
    <row r="1182" spans="6:14">
      <c r="F1182" s="136" t="s">
        <v>9419</v>
      </c>
      <c r="G1182" s="136">
        <v>1179</v>
      </c>
      <c r="H1182" s="136" t="s">
        <v>1135</v>
      </c>
      <c r="I1182" s="136" t="s">
        <v>1135</v>
      </c>
      <c r="J1182" s="136" t="s">
        <v>9420</v>
      </c>
      <c r="L1182" s="136"/>
      <c r="M1182" s="136"/>
      <c r="N1182" s="136"/>
    </row>
    <row r="1183" spans="6:14">
      <c r="F1183" s="136" t="s">
        <v>9421</v>
      </c>
      <c r="G1183" s="136">
        <v>1180</v>
      </c>
      <c r="H1183" s="136" t="s">
        <v>9422</v>
      </c>
      <c r="I1183" s="136" t="s">
        <v>9423</v>
      </c>
      <c r="J1183" s="136" t="s">
        <v>9424</v>
      </c>
      <c r="L1183" s="136"/>
      <c r="M1183" s="136"/>
      <c r="N1183" s="136"/>
    </row>
    <row r="1184" spans="6:14">
      <c r="F1184" s="136" t="s">
        <v>9425</v>
      </c>
      <c r="G1184" s="136">
        <v>1181</v>
      </c>
      <c r="H1184" s="136" t="s">
        <v>9426</v>
      </c>
      <c r="I1184" s="136" t="s">
        <v>9427</v>
      </c>
      <c r="J1184" s="136" t="s">
        <v>9428</v>
      </c>
      <c r="L1184" s="136"/>
      <c r="M1184" s="136"/>
      <c r="N1184" s="136"/>
    </row>
    <row r="1185" spans="6:14">
      <c r="F1185" s="136" t="s">
        <v>9429</v>
      </c>
      <c r="G1185" s="136">
        <v>1182</v>
      </c>
      <c r="H1185" s="136" t="s">
        <v>9430</v>
      </c>
      <c r="I1185" s="136" t="s">
        <v>9431</v>
      </c>
      <c r="J1185" s="136" t="s">
        <v>9432</v>
      </c>
      <c r="L1185" s="136"/>
      <c r="M1185" s="136"/>
      <c r="N1185" s="136"/>
    </row>
    <row r="1186" spans="6:14">
      <c r="F1186" s="136" t="s">
        <v>9433</v>
      </c>
      <c r="G1186" s="136">
        <v>1183</v>
      </c>
      <c r="H1186" s="136" t="s">
        <v>687</v>
      </c>
      <c r="I1186" s="136" t="s">
        <v>689</v>
      </c>
      <c r="J1186" s="136" t="s">
        <v>9434</v>
      </c>
      <c r="L1186" s="136"/>
      <c r="M1186" s="136"/>
      <c r="N1186" s="136"/>
    </row>
    <row r="1187" spans="6:14">
      <c r="F1187" s="136" t="s">
        <v>9435</v>
      </c>
      <c r="G1187" s="136">
        <v>1184</v>
      </c>
      <c r="H1187" s="136" t="s">
        <v>536</v>
      </c>
      <c r="I1187" s="136" t="s">
        <v>537</v>
      </c>
      <c r="J1187" s="136" t="s">
        <v>9436</v>
      </c>
      <c r="L1187" s="136"/>
      <c r="M1187" s="136"/>
      <c r="N1187" s="136"/>
    </row>
    <row r="1188" spans="6:14">
      <c r="F1188" s="136" t="s">
        <v>9437</v>
      </c>
      <c r="G1188" s="136">
        <v>1185</v>
      </c>
      <c r="H1188" s="136" t="s">
        <v>1320</v>
      </c>
      <c r="I1188" s="136" t="s">
        <v>1321</v>
      </c>
      <c r="J1188" s="136" t="s">
        <v>9438</v>
      </c>
      <c r="L1188" s="136"/>
      <c r="M1188" s="136"/>
      <c r="N1188" s="136"/>
    </row>
    <row r="1189" spans="6:14">
      <c r="F1189" s="136" t="s">
        <v>9439</v>
      </c>
      <c r="G1189" s="136">
        <v>1186</v>
      </c>
      <c r="H1189" s="136" t="s">
        <v>1622</v>
      </c>
      <c r="I1189" s="136" t="s">
        <v>1630</v>
      </c>
      <c r="J1189" s="136" t="s">
        <v>9440</v>
      </c>
      <c r="L1189" s="136"/>
      <c r="M1189" s="136"/>
      <c r="N1189" s="136"/>
    </row>
    <row r="1190" spans="6:14">
      <c r="F1190" s="136" t="s">
        <v>9441</v>
      </c>
      <c r="G1190" s="136">
        <v>1187</v>
      </c>
      <c r="H1190" s="136" t="s">
        <v>548</v>
      </c>
      <c r="I1190" s="136" t="s">
        <v>562</v>
      </c>
      <c r="J1190" s="136" t="s">
        <v>9442</v>
      </c>
      <c r="L1190" s="136"/>
      <c r="M1190" s="136"/>
      <c r="N1190" s="136"/>
    </row>
    <row r="1191" spans="6:14">
      <c r="F1191" s="136" t="s">
        <v>9443</v>
      </c>
      <c r="G1191" s="136">
        <v>1188</v>
      </c>
      <c r="H1191" s="136" t="s">
        <v>9444</v>
      </c>
      <c r="I1191" s="136" t="s">
        <v>9445</v>
      </c>
      <c r="J1191" s="136" t="s">
        <v>9446</v>
      </c>
      <c r="L1191" s="136"/>
      <c r="M1191" s="136"/>
      <c r="N1191" s="136"/>
    </row>
    <row r="1192" spans="6:14">
      <c r="F1192" s="136" t="s">
        <v>9447</v>
      </c>
      <c r="G1192" s="136">
        <v>1189</v>
      </c>
      <c r="H1192" s="136" t="s">
        <v>4693</v>
      </c>
      <c r="I1192" s="136" t="s">
        <v>4694</v>
      </c>
      <c r="J1192" s="136" t="s">
        <v>9448</v>
      </c>
      <c r="L1192" s="136"/>
      <c r="M1192" s="136"/>
      <c r="N1192" s="136"/>
    </row>
    <row r="1193" spans="6:14">
      <c r="F1193" s="136" t="s">
        <v>9449</v>
      </c>
      <c r="G1193" s="136">
        <v>1190</v>
      </c>
      <c r="H1193" s="136" t="s">
        <v>9450</v>
      </c>
      <c r="I1193" s="136" t="s">
        <v>9451</v>
      </c>
      <c r="J1193" s="136" t="s">
        <v>9452</v>
      </c>
      <c r="L1193" s="136"/>
      <c r="M1193" s="136"/>
      <c r="N1193" s="136"/>
    </row>
    <row r="1194" spans="6:14">
      <c r="F1194" s="136" t="s">
        <v>9453</v>
      </c>
      <c r="G1194" s="136">
        <v>1191</v>
      </c>
      <c r="H1194" s="136" t="s">
        <v>9454</v>
      </c>
      <c r="I1194" s="136" t="s">
        <v>9455</v>
      </c>
      <c r="J1194" s="136" t="s">
        <v>9456</v>
      </c>
      <c r="L1194" s="136"/>
      <c r="M1194" s="136"/>
      <c r="N1194" s="136"/>
    </row>
    <row r="1195" spans="6:14">
      <c r="F1195" s="136" t="s">
        <v>9457</v>
      </c>
      <c r="G1195" s="136">
        <v>1192</v>
      </c>
      <c r="H1195" s="136" t="s">
        <v>9458</v>
      </c>
      <c r="I1195" s="136" t="s">
        <v>9459</v>
      </c>
      <c r="J1195" s="136" t="s">
        <v>9460</v>
      </c>
      <c r="L1195" s="136"/>
      <c r="M1195" s="136"/>
      <c r="N1195" s="136"/>
    </row>
    <row r="1196" spans="6:14">
      <c r="F1196" s="136" t="s">
        <v>9461</v>
      </c>
      <c r="G1196" s="136">
        <v>1193</v>
      </c>
      <c r="H1196" s="136" t="s">
        <v>9462</v>
      </c>
      <c r="I1196" s="136" t="s">
        <v>9463</v>
      </c>
      <c r="J1196" s="136" t="s">
        <v>9464</v>
      </c>
      <c r="L1196" s="136"/>
      <c r="M1196" s="136"/>
      <c r="N1196" s="136"/>
    </row>
    <row r="1197" spans="6:14">
      <c r="F1197" s="136" t="s">
        <v>9465</v>
      </c>
      <c r="G1197" s="136">
        <v>1194</v>
      </c>
      <c r="H1197" s="136" t="s">
        <v>4092</v>
      </c>
      <c r="I1197" s="136" t="s">
        <v>4093</v>
      </c>
      <c r="J1197" s="136" t="s">
        <v>9466</v>
      </c>
      <c r="L1197" s="136"/>
      <c r="M1197" s="136"/>
      <c r="N1197" s="136"/>
    </row>
    <row r="1198" spans="6:14">
      <c r="F1198" s="136" t="s">
        <v>9467</v>
      </c>
      <c r="G1198" s="136">
        <v>1195</v>
      </c>
      <c r="H1198" s="136" t="s">
        <v>9468</v>
      </c>
      <c r="I1198" s="136" t="s">
        <v>9469</v>
      </c>
      <c r="J1198" s="136" t="s">
        <v>9470</v>
      </c>
      <c r="L1198" s="136"/>
      <c r="M1198" s="136"/>
      <c r="N1198" s="136"/>
    </row>
    <row r="1199" spans="6:14">
      <c r="F1199" s="136" t="s">
        <v>9471</v>
      </c>
      <c r="G1199" s="136">
        <v>1196</v>
      </c>
      <c r="H1199" s="136" t="s">
        <v>2682</v>
      </c>
      <c r="I1199" s="136" t="s">
        <v>2683</v>
      </c>
      <c r="J1199" s="136" t="s">
        <v>9472</v>
      </c>
      <c r="L1199" s="136"/>
      <c r="M1199" s="136"/>
      <c r="N1199" s="136"/>
    </row>
    <row r="1200" spans="6:14">
      <c r="F1200" s="136" t="s">
        <v>9473</v>
      </c>
      <c r="G1200" s="136">
        <v>1197</v>
      </c>
      <c r="H1200" s="136" t="s">
        <v>9474</v>
      </c>
      <c r="I1200" s="136" t="s">
        <v>9475</v>
      </c>
      <c r="J1200" s="136" t="s">
        <v>9476</v>
      </c>
      <c r="L1200" s="136"/>
      <c r="M1200" s="136"/>
      <c r="N1200" s="136"/>
    </row>
    <row r="1201" spans="6:14">
      <c r="F1201" s="136" t="s">
        <v>9477</v>
      </c>
      <c r="G1201" s="136">
        <v>1198</v>
      </c>
      <c r="H1201" s="136" t="s">
        <v>9478</v>
      </c>
      <c r="I1201" s="136" t="s">
        <v>9479</v>
      </c>
      <c r="J1201" s="136" t="s">
        <v>9480</v>
      </c>
      <c r="L1201" s="136"/>
      <c r="M1201" s="136"/>
      <c r="N1201" s="136"/>
    </row>
    <row r="1202" spans="6:14">
      <c r="F1202" s="136" t="s">
        <v>9481</v>
      </c>
      <c r="G1202" s="136">
        <v>1199</v>
      </c>
      <c r="H1202" s="136" t="s">
        <v>3759</v>
      </c>
      <c r="I1202" s="136" t="s">
        <v>3760</v>
      </c>
      <c r="J1202" s="136" t="s">
        <v>9482</v>
      </c>
      <c r="L1202" s="136"/>
      <c r="M1202" s="136"/>
      <c r="N1202" s="136"/>
    </row>
    <row r="1203" spans="6:14">
      <c r="F1203" s="136" t="s">
        <v>9483</v>
      </c>
      <c r="G1203" s="136">
        <v>1200</v>
      </c>
      <c r="H1203" s="136" t="s">
        <v>5124</v>
      </c>
      <c r="I1203" s="136" t="s">
        <v>5128</v>
      </c>
      <c r="J1203" s="136" t="s">
        <v>9484</v>
      </c>
      <c r="L1203" s="136"/>
      <c r="M1203" s="136"/>
      <c r="N1203" s="136"/>
    </row>
    <row r="1204" spans="6:14">
      <c r="F1204" s="136" t="s">
        <v>9485</v>
      </c>
      <c r="G1204" s="136">
        <v>1201</v>
      </c>
      <c r="H1204" s="136" t="s">
        <v>4427</v>
      </c>
      <c r="I1204" s="136" t="s">
        <v>4428</v>
      </c>
      <c r="J1204" s="136" t="s">
        <v>9486</v>
      </c>
      <c r="L1204" s="136"/>
      <c r="M1204" s="136"/>
      <c r="N1204" s="136"/>
    </row>
    <row r="1205" spans="6:14">
      <c r="F1205" s="136" t="s">
        <v>9487</v>
      </c>
      <c r="G1205" s="136">
        <v>1202</v>
      </c>
      <c r="H1205" s="136" t="s">
        <v>9488</v>
      </c>
      <c r="I1205" s="136" t="s">
        <v>9489</v>
      </c>
      <c r="J1205" s="136" t="s">
        <v>9490</v>
      </c>
      <c r="L1205" s="136"/>
      <c r="M1205" s="136"/>
      <c r="N1205" s="136"/>
    </row>
    <row r="1206" spans="6:14">
      <c r="F1206" s="136" t="s">
        <v>9491</v>
      </c>
      <c r="G1206" s="136">
        <v>1203</v>
      </c>
      <c r="H1206" s="136" t="s">
        <v>5910</v>
      </c>
      <c r="I1206" s="136" t="s">
        <v>5911</v>
      </c>
      <c r="J1206" s="136" t="s">
        <v>9492</v>
      </c>
      <c r="L1206" s="136"/>
      <c r="M1206" s="136"/>
      <c r="N1206" s="136"/>
    </row>
    <row r="1207" spans="6:14">
      <c r="F1207" s="136" t="s">
        <v>9493</v>
      </c>
      <c r="G1207" s="136">
        <v>1204</v>
      </c>
      <c r="H1207" s="136" t="s">
        <v>2704</v>
      </c>
      <c r="I1207" s="136" t="s">
        <v>2705</v>
      </c>
      <c r="J1207" s="136" t="s">
        <v>9494</v>
      </c>
      <c r="L1207" s="136"/>
      <c r="M1207" s="136"/>
      <c r="N1207" s="136"/>
    </row>
    <row r="1208" spans="6:14">
      <c r="F1208" s="136" t="s">
        <v>9495</v>
      </c>
      <c r="G1208" s="136">
        <v>1205</v>
      </c>
      <c r="H1208" s="136" t="s">
        <v>2892</v>
      </c>
      <c r="I1208" s="136" t="s">
        <v>2893</v>
      </c>
      <c r="J1208" s="136" t="s">
        <v>9496</v>
      </c>
      <c r="L1208" s="136"/>
      <c r="M1208" s="136"/>
      <c r="N1208" s="136"/>
    </row>
    <row r="1209" spans="6:14">
      <c r="F1209" s="136" t="s">
        <v>9497</v>
      </c>
      <c r="G1209" s="136">
        <v>1206</v>
      </c>
      <c r="H1209" s="136" t="s">
        <v>2841</v>
      </c>
      <c r="I1209" s="136" t="s">
        <v>2845</v>
      </c>
      <c r="J1209" s="136" t="s">
        <v>9498</v>
      </c>
      <c r="L1209" s="136"/>
      <c r="M1209" s="136"/>
      <c r="N1209" s="136"/>
    </row>
    <row r="1210" spans="6:14">
      <c r="F1210" s="136" t="s">
        <v>9499</v>
      </c>
      <c r="G1210" s="136">
        <v>1207</v>
      </c>
      <c r="H1210" s="136" t="s">
        <v>9500</v>
      </c>
      <c r="I1210" s="136" t="s">
        <v>9501</v>
      </c>
      <c r="J1210" s="136" t="s">
        <v>9502</v>
      </c>
      <c r="L1210" s="136"/>
      <c r="M1210" s="136"/>
      <c r="N1210" s="136"/>
    </row>
    <row r="1211" spans="6:14">
      <c r="F1211" s="136" t="s">
        <v>9503</v>
      </c>
      <c r="G1211" s="136">
        <v>1208</v>
      </c>
      <c r="H1211" s="136" t="s">
        <v>2066</v>
      </c>
      <c r="I1211" s="136" t="s">
        <v>2067</v>
      </c>
      <c r="J1211" s="136" t="s">
        <v>9504</v>
      </c>
      <c r="L1211" s="136"/>
      <c r="M1211" s="136"/>
      <c r="N1211" s="136"/>
    </row>
    <row r="1212" spans="6:14">
      <c r="F1212" s="136" t="s">
        <v>9505</v>
      </c>
      <c r="G1212" s="136">
        <v>1209</v>
      </c>
      <c r="H1212" s="136" t="s">
        <v>5773</v>
      </c>
      <c r="I1212" s="136" t="s">
        <v>5774</v>
      </c>
      <c r="J1212" s="136" t="s">
        <v>9506</v>
      </c>
      <c r="L1212" s="136"/>
      <c r="M1212" s="136"/>
      <c r="N1212" s="136"/>
    </row>
    <row r="1213" spans="6:14">
      <c r="F1213" s="136" t="s">
        <v>9507</v>
      </c>
      <c r="G1213" s="136">
        <v>1210</v>
      </c>
      <c r="H1213" s="136" t="s">
        <v>9508</v>
      </c>
      <c r="I1213" s="136" t="s">
        <v>9509</v>
      </c>
      <c r="J1213" s="136" t="s">
        <v>9510</v>
      </c>
      <c r="L1213" s="136"/>
      <c r="M1213" s="136"/>
      <c r="N1213" s="136"/>
    </row>
    <row r="1214" spans="6:14">
      <c r="F1214" s="136" t="s">
        <v>9511</v>
      </c>
      <c r="G1214" s="136">
        <v>1211</v>
      </c>
      <c r="H1214" s="136" t="s">
        <v>9512</v>
      </c>
      <c r="I1214" s="136" t="s">
        <v>9513</v>
      </c>
      <c r="J1214" s="136" t="s">
        <v>9514</v>
      </c>
      <c r="L1214" s="136"/>
      <c r="M1214" s="136"/>
      <c r="N1214" s="136"/>
    </row>
    <row r="1215" spans="6:14">
      <c r="F1215" s="136" t="s">
        <v>9515</v>
      </c>
      <c r="G1215" s="136">
        <v>1212</v>
      </c>
      <c r="H1215" s="136" t="s">
        <v>3061</v>
      </c>
      <c r="I1215" s="136" t="s">
        <v>3062</v>
      </c>
      <c r="J1215" s="136" t="s">
        <v>9516</v>
      </c>
      <c r="L1215" s="136"/>
      <c r="M1215" s="136"/>
      <c r="N1215" s="136"/>
    </row>
    <row r="1216" spans="6:14">
      <c r="F1216" s="136" t="s">
        <v>9517</v>
      </c>
      <c r="G1216" s="136">
        <v>1213</v>
      </c>
      <c r="H1216" s="136" t="s">
        <v>4912</v>
      </c>
      <c r="I1216" s="136" t="s">
        <v>4913</v>
      </c>
      <c r="J1216" s="136" t="s">
        <v>9518</v>
      </c>
      <c r="L1216" s="136"/>
      <c r="M1216" s="136"/>
      <c r="N1216" s="136"/>
    </row>
    <row r="1217" spans="6:14">
      <c r="F1217" s="136" t="s">
        <v>9519</v>
      </c>
      <c r="G1217" s="136">
        <v>1214</v>
      </c>
      <c r="H1217" s="136" t="s">
        <v>548</v>
      </c>
      <c r="I1217" s="136" t="s">
        <v>563</v>
      </c>
      <c r="J1217" s="136" t="s">
        <v>9520</v>
      </c>
      <c r="L1217" s="136"/>
      <c r="M1217" s="136"/>
      <c r="N1217" s="136"/>
    </row>
    <row r="1218" spans="6:14">
      <c r="F1218" s="136" t="s">
        <v>9521</v>
      </c>
      <c r="G1218" s="136">
        <v>1215</v>
      </c>
      <c r="H1218" s="136" t="s">
        <v>9522</v>
      </c>
      <c r="I1218" s="136" t="s">
        <v>9523</v>
      </c>
      <c r="J1218" s="136" t="s">
        <v>9524</v>
      </c>
      <c r="L1218" s="136"/>
      <c r="M1218" s="136"/>
      <c r="N1218" s="136"/>
    </row>
    <row r="1219" spans="6:14">
      <c r="F1219" s="136" t="s">
        <v>9525</v>
      </c>
      <c r="G1219" s="136">
        <v>1216</v>
      </c>
      <c r="H1219" s="136" t="s">
        <v>9526</v>
      </c>
      <c r="I1219" s="136" t="s">
        <v>9527</v>
      </c>
      <c r="J1219" s="136" t="s">
        <v>9528</v>
      </c>
      <c r="L1219" s="136"/>
      <c r="M1219" s="136"/>
      <c r="N1219" s="136"/>
    </row>
    <row r="1220" spans="6:14">
      <c r="F1220" s="136" t="s">
        <v>9529</v>
      </c>
      <c r="G1220" s="136">
        <v>1217</v>
      </c>
      <c r="H1220" s="136" t="s">
        <v>9530</v>
      </c>
      <c r="I1220" s="136" t="s">
        <v>9531</v>
      </c>
      <c r="J1220" s="136" t="s">
        <v>9532</v>
      </c>
      <c r="L1220" s="136"/>
      <c r="M1220" s="136"/>
      <c r="N1220" s="136"/>
    </row>
    <row r="1221" spans="6:14">
      <c r="F1221" s="136" t="s">
        <v>9533</v>
      </c>
      <c r="G1221" s="136">
        <v>1218</v>
      </c>
      <c r="H1221" s="136" t="s">
        <v>5124</v>
      </c>
      <c r="I1221" s="136" t="s">
        <v>513</v>
      </c>
      <c r="J1221" s="136" t="s">
        <v>9534</v>
      </c>
      <c r="L1221" s="136"/>
      <c r="M1221" s="136"/>
      <c r="N1221" s="136"/>
    </row>
    <row r="1222" spans="6:14">
      <c r="F1222" s="136" t="s">
        <v>9535</v>
      </c>
      <c r="G1222" s="136">
        <v>1219</v>
      </c>
      <c r="H1222" s="136" t="s">
        <v>5941</v>
      </c>
      <c r="I1222" s="136" t="s">
        <v>5942</v>
      </c>
      <c r="J1222" s="136" t="s">
        <v>9536</v>
      </c>
      <c r="L1222" s="136"/>
      <c r="M1222" s="136"/>
      <c r="N1222" s="136"/>
    </row>
    <row r="1223" spans="6:14">
      <c r="F1223" s="136" t="s">
        <v>9537</v>
      </c>
      <c r="G1223" s="136">
        <v>1220</v>
      </c>
      <c r="H1223" s="136" t="s">
        <v>9538</v>
      </c>
      <c r="I1223" s="136" t="s">
        <v>9539</v>
      </c>
      <c r="J1223" s="136" t="s">
        <v>9540</v>
      </c>
      <c r="L1223" s="136"/>
      <c r="M1223" s="136"/>
      <c r="N1223" s="136"/>
    </row>
    <row r="1224" spans="6:14">
      <c r="F1224" s="136" t="s">
        <v>9541</v>
      </c>
      <c r="G1224" s="136">
        <v>1221</v>
      </c>
      <c r="H1224" s="136" t="s">
        <v>918</v>
      </c>
      <c r="I1224" s="136" t="s">
        <v>919</v>
      </c>
      <c r="J1224" s="136" t="s">
        <v>9542</v>
      </c>
      <c r="L1224" s="136"/>
      <c r="M1224" s="136"/>
      <c r="N1224" s="136"/>
    </row>
    <row r="1225" spans="6:14">
      <c r="F1225" s="136" t="s">
        <v>9543</v>
      </c>
      <c r="G1225" s="136">
        <v>1222</v>
      </c>
      <c r="H1225" s="136" t="s">
        <v>9544</v>
      </c>
      <c r="I1225" s="136" t="s">
        <v>9545</v>
      </c>
      <c r="J1225" s="136" t="s">
        <v>9546</v>
      </c>
      <c r="L1225" s="136"/>
      <c r="M1225" s="136"/>
      <c r="N1225" s="136"/>
    </row>
    <row r="1226" spans="6:14">
      <c r="F1226" s="136" t="s">
        <v>9547</v>
      </c>
      <c r="G1226" s="136">
        <v>1223</v>
      </c>
      <c r="H1226" s="136" t="s">
        <v>9548</v>
      </c>
      <c r="I1226" s="136" t="s">
        <v>9549</v>
      </c>
      <c r="J1226" s="136" t="s">
        <v>9550</v>
      </c>
      <c r="L1226" s="136"/>
      <c r="M1226" s="136"/>
      <c r="N1226" s="136"/>
    </row>
    <row r="1227" spans="6:14">
      <c r="F1227" s="136" t="s">
        <v>9551</v>
      </c>
      <c r="G1227" s="136">
        <v>1224</v>
      </c>
      <c r="H1227" s="136" t="s">
        <v>9552</v>
      </c>
      <c r="I1227" s="136" t="s">
        <v>9553</v>
      </c>
      <c r="J1227" s="136" t="s">
        <v>9554</v>
      </c>
      <c r="L1227" s="136"/>
      <c r="M1227" s="136"/>
      <c r="N1227" s="136"/>
    </row>
    <row r="1228" spans="6:14">
      <c r="F1228" s="136" t="s">
        <v>9555</v>
      </c>
      <c r="G1228" s="136">
        <v>1225</v>
      </c>
      <c r="H1228" s="136" t="s">
        <v>5868</v>
      </c>
      <c r="I1228" s="136" t="s">
        <v>5869</v>
      </c>
      <c r="J1228" s="136" t="s">
        <v>9556</v>
      </c>
      <c r="L1228" s="136"/>
      <c r="M1228" s="136"/>
      <c r="N1228" s="136"/>
    </row>
    <row r="1229" spans="6:14">
      <c r="F1229" s="136" t="s">
        <v>9557</v>
      </c>
      <c r="G1229" s="136">
        <v>1226</v>
      </c>
      <c r="H1229" s="136" t="s">
        <v>5229</v>
      </c>
      <c r="I1229" s="136" t="s">
        <v>5230</v>
      </c>
      <c r="J1229" s="136" t="s">
        <v>9558</v>
      </c>
      <c r="L1229" s="136"/>
      <c r="M1229" s="136"/>
      <c r="N1229" s="136"/>
    </row>
    <row r="1230" spans="6:14">
      <c r="F1230" s="136" t="s">
        <v>9559</v>
      </c>
      <c r="G1230" s="136">
        <v>1227</v>
      </c>
      <c r="H1230" s="136" t="s">
        <v>9560</v>
      </c>
      <c r="I1230" s="136" t="s">
        <v>9561</v>
      </c>
      <c r="J1230" s="136" t="s">
        <v>9562</v>
      </c>
      <c r="L1230" s="136"/>
      <c r="M1230" s="136"/>
      <c r="N1230" s="136"/>
    </row>
    <row r="1231" spans="6:14">
      <c r="F1231" s="136" t="s">
        <v>9563</v>
      </c>
      <c r="G1231" s="136">
        <v>1228</v>
      </c>
      <c r="H1231" s="136" t="s">
        <v>9564</v>
      </c>
      <c r="I1231" s="136" t="s">
        <v>9565</v>
      </c>
      <c r="J1231" s="136" t="s">
        <v>9566</v>
      </c>
      <c r="L1231" s="136"/>
      <c r="M1231" s="136"/>
      <c r="N1231" s="136"/>
    </row>
    <row r="1232" spans="6:14">
      <c r="F1232" s="136" t="s">
        <v>9567</v>
      </c>
      <c r="G1232" s="136">
        <v>1229</v>
      </c>
      <c r="H1232" s="136" t="s">
        <v>9568</v>
      </c>
      <c r="I1232" s="136" t="s">
        <v>9569</v>
      </c>
      <c r="J1232" s="136" t="s">
        <v>9570</v>
      </c>
      <c r="L1232" s="136"/>
      <c r="M1232" s="136"/>
      <c r="N1232" s="136"/>
    </row>
    <row r="1233" spans="6:14">
      <c r="F1233" s="136" t="s">
        <v>9571</v>
      </c>
      <c r="G1233" s="136">
        <v>1230</v>
      </c>
      <c r="H1233" s="136" t="s">
        <v>5923</v>
      </c>
      <c r="I1233" s="136" t="s">
        <v>5924</v>
      </c>
      <c r="J1233" s="136" t="s">
        <v>9572</v>
      </c>
      <c r="L1233" s="136"/>
      <c r="M1233" s="136"/>
      <c r="N1233" s="136"/>
    </row>
    <row r="1234" spans="6:14">
      <c r="F1234" s="136" t="s">
        <v>9573</v>
      </c>
      <c r="G1234" s="136">
        <v>1231</v>
      </c>
      <c r="H1234" s="136" t="s">
        <v>9574</v>
      </c>
      <c r="I1234" s="136" t="s">
        <v>9575</v>
      </c>
      <c r="J1234" s="136" t="s">
        <v>9576</v>
      </c>
      <c r="L1234" s="136"/>
      <c r="M1234" s="136"/>
      <c r="N1234" s="136"/>
    </row>
    <row r="1235" spans="6:14">
      <c r="F1235" s="136" t="s">
        <v>9577</v>
      </c>
      <c r="G1235" s="136">
        <v>1232</v>
      </c>
      <c r="H1235" s="136" t="s">
        <v>1472</v>
      </c>
      <c r="I1235" s="136" t="s">
        <v>1473</v>
      </c>
      <c r="J1235" s="136" t="s">
        <v>9578</v>
      </c>
      <c r="L1235" s="136"/>
      <c r="M1235" s="136"/>
      <c r="N1235" s="136"/>
    </row>
    <row r="1236" spans="6:14">
      <c r="F1236" s="136" t="s">
        <v>9579</v>
      </c>
      <c r="G1236" s="136">
        <v>1233</v>
      </c>
      <c r="H1236" s="136" t="s">
        <v>5016</v>
      </c>
      <c r="I1236" s="136" t="s">
        <v>5017</v>
      </c>
      <c r="J1236" s="136" t="s">
        <v>9580</v>
      </c>
      <c r="L1236" s="136"/>
      <c r="M1236" s="136"/>
      <c r="N1236" s="136"/>
    </row>
    <row r="1237" spans="6:14">
      <c r="F1237" s="136" t="s">
        <v>9581</v>
      </c>
      <c r="G1237" s="136">
        <v>1234</v>
      </c>
      <c r="H1237" s="136" t="s">
        <v>1318</v>
      </c>
      <c r="I1237" s="136" t="s">
        <v>1319</v>
      </c>
      <c r="J1237" s="136" t="s">
        <v>9582</v>
      </c>
      <c r="L1237" s="136"/>
      <c r="M1237" s="136"/>
      <c r="N1237" s="136"/>
    </row>
    <row r="1238" spans="6:14">
      <c r="F1238" s="136" t="s">
        <v>9583</v>
      </c>
      <c r="G1238" s="136">
        <v>1235</v>
      </c>
      <c r="H1238" s="136" t="s">
        <v>9584</v>
      </c>
      <c r="I1238" s="136" t="s">
        <v>9585</v>
      </c>
      <c r="J1238" s="136" t="s">
        <v>9586</v>
      </c>
      <c r="L1238" s="136"/>
      <c r="M1238" s="136"/>
      <c r="N1238" s="136"/>
    </row>
    <row r="1239" spans="6:14">
      <c r="F1239" s="136" t="s">
        <v>9587</v>
      </c>
      <c r="G1239" s="136">
        <v>1236</v>
      </c>
      <c r="H1239" s="136" t="s">
        <v>548</v>
      </c>
      <c r="I1239" s="136" t="s">
        <v>564</v>
      </c>
      <c r="J1239" s="136" t="s">
        <v>9588</v>
      </c>
      <c r="L1239" s="136"/>
      <c r="M1239" s="136"/>
      <c r="N1239" s="136"/>
    </row>
    <row r="1240" spans="6:14">
      <c r="F1240" s="136" t="s">
        <v>9589</v>
      </c>
      <c r="G1240" s="136">
        <v>1237</v>
      </c>
      <c r="H1240" s="136" t="s">
        <v>5319</v>
      </c>
      <c r="I1240" s="136" t="s">
        <v>5321</v>
      </c>
      <c r="J1240" s="136" t="s">
        <v>9590</v>
      </c>
      <c r="L1240" s="136"/>
      <c r="M1240" s="136"/>
      <c r="N1240" s="136"/>
    </row>
    <row r="1241" spans="6:14">
      <c r="F1241" s="136" t="s">
        <v>9591</v>
      </c>
      <c r="G1241" s="136">
        <v>1238</v>
      </c>
      <c r="H1241" s="136" t="s">
        <v>3823</v>
      </c>
      <c r="I1241" s="136" t="s">
        <v>3824</v>
      </c>
      <c r="J1241" s="136" t="s">
        <v>9592</v>
      </c>
      <c r="L1241" s="136"/>
      <c r="M1241" s="136"/>
      <c r="N1241" s="136"/>
    </row>
    <row r="1242" spans="6:14">
      <c r="F1242" s="136" t="s">
        <v>9593</v>
      </c>
      <c r="G1242" s="136">
        <v>1239</v>
      </c>
      <c r="H1242" s="136" t="s">
        <v>2963</v>
      </c>
      <c r="I1242" s="136" t="s">
        <v>2964</v>
      </c>
      <c r="J1242" s="136" t="s">
        <v>9594</v>
      </c>
      <c r="L1242" s="136"/>
      <c r="M1242" s="136"/>
      <c r="N1242" s="136"/>
    </row>
    <row r="1243" spans="6:14">
      <c r="F1243" s="136" t="s">
        <v>9595</v>
      </c>
      <c r="G1243" s="136">
        <v>1240</v>
      </c>
      <c r="H1243" s="136" t="s">
        <v>9596</v>
      </c>
      <c r="I1243" s="136" t="s">
        <v>9597</v>
      </c>
      <c r="J1243" s="136" t="s">
        <v>9598</v>
      </c>
      <c r="L1243" s="136"/>
      <c r="M1243" s="136"/>
      <c r="N1243" s="136"/>
    </row>
    <row r="1244" spans="6:14">
      <c r="F1244" s="136" t="s">
        <v>9599</v>
      </c>
      <c r="G1244" s="136">
        <v>1241</v>
      </c>
      <c r="H1244" s="136" t="s">
        <v>9600</v>
      </c>
      <c r="I1244" s="136" t="s">
        <v>9601</v>
      </c>
      <c r="J1244" s="136" t="s">
        <v>9602</v>
      </c>
      <c r="L1244" s="136"/>
      <c r="M1244" s="136"/>
      <c r="N1244" s="136"/>
    </row>
    <row r="1245" spans="6:14">
      <c r="F1245" s="136" t="s">
        <v>9603</v>
      </c>
      <c r="G1245" s="136">
        <v>1242</v>
      </c>
      <c r="H1245" s="136" t="s">
        <v>4242</v>
      </c>
      <c r="I1245" s="136" t="s">
        <v>4243</v>
      </c>
      <c r="J1245" s="136" t="s">
        <v>9604</v>
      </c>
      <c r="L1245" s="136"/>
      <c r="M1245" s="136"/>
      <c r="N1245" s="136"/>
    </row>
    <row r="1246" spans="6:14">
      <c r="F1246" s="136" t="s">
        <v>9605</v>
      </c>
      <c r="G1246" s="136">
        <v>1243</v>
      </c>
      <c r="H1246" s="136" t="s">
        <v>2113</v>
      </c>
      <c r="I1246" s="136" t="s">
        <v>2114</v>
      </c>
      <c r="J1246" s="136" t="s">
        <v>9606</v>
      </c>
      <c r="L1246" s="136"/>
      <c r="M1246" s="136"/>
      <c r="N1246" s="136"/>
    </row>
    <row r="1247" spans="6:14">
      <c r="F1247" s="136" t="s">
        <v>9607</v>
      </c>
      <c r="G1247" s="136">
        <v>1244</v>
      </c>
      <c r="H1247" s="136" t="s">
        <v>9608</v>
      </c>
      <c r="I1247" s="136" t="s">
        <v>9609</v>
      </c>
      <c r="J1247" s="136" t="s">
        <v>9610</v>
      </c>
      <c r="L1247" s="136"/>
      <c r="M1247" s="136"/>
      <c r="N1247" s="136"/>
    </row>
    <row r="1248" spans="6:14">
      <c r="F1248" s="136" t="s">
        <v>9611</v>
      </c>
      <c r="G1248" s="136">
        <v>1245</v>
      </c>
      <c r="H1248" s="136" t="s">
        <v>9612</v>
      </c>
      <c r="I1248" s="136" t="s">
        <v>9613</v>
      </c>
      <c r="J1248" s="136" t="s">
        <v>9614</v>
      </c>
      <c r="L1248" s="136"/>
      <c r="M1248" s="136"/>
      <c r="N1248" s="136"/>
    </row>
    <row r="1249" spans="6:14">
      <c r="F1249" s="136" t="s">
        <v>9615</v>
      </c>
      <c r="G1249" s="136">
        <v>1246</v>
      </c>
      <c r="H1249" s="136" t="s">
        <v>9616</v>
      </c>
      <c r="I1249" s="136" t="s">
        <v>9617</v>
      </c>
      <c r="J1249" s="136" t="s">
        <v>9618</v>
      </c>
      <c r="L1249" s="136"/>
      <c r="M1249" s="136"/>
      <c r="N1249" s="136"/>
    </row>
    <row r="1250" spans="6:14">
      <c r="F1250" s="136" t="s">
        <v>9619</v>
      </c>
      <c r="G1250" s="136">
        <v>1247</v>
      </c>
      <c r="H1250" s="136" t="s">
        <v>4397</v>
      </c>
      <c r="I1250" s="136" t="s">
        <v>4398</v>
      </c>
      <c r="J1250" s="136" t="s">
        <v>9620</v>
      </c>
      <c r="L1250" s="136"/>
      <c r="M1250" s="136"/>
      <c r="N1250" s="136"/>
    </row>
    <row r="1251" spans="6:14">
      <c r="F1251" s="136" t="s">
        <v>9621</v>
      </c>
      <c r="G1251" s="136">
        <v>1248</v>
      </c>
      <c r="H1251" s="136" t="s">
        <v>9622</v>
      </c>
      <c r="I1251" s="136" t="s">
        <v>9623</v>
      </c>
      <c r="J1251" s="136" t="s">
        <v>9624</v>
      </c>
      <c r="L1251" s="136"/>
      <c r="M1251" s="136"/>
      <c r="N1251" s="136"/>
    </row>
    <row r="1252" spans="6:14">
      <c r="F1252" s="136" t="s">
        <v>9625</v>
      </c>
      <c r="G1252" s="136">
        <v>1249</v>
      </c>
      <c r="H1252" s="136" t="s">
        <v>9626</v>
      </c>
      <c r="I1252" s="136" t="s">
        <v>9627</v>
      </c>
      <c r="J1252" s="136" t="s">
        <v>9628</v>
      </c>
      <c r="L1252" s="136"/>
      <c r="M1252" s="136"/>
      <c r="N1252" s="136"/>
    </row>
    <row r="1253" spans="6:14">
      <c r="F1253" s="136" t="s">
        <v>9629</v>
      </c>
      <c r="G1253" s="136">
        <v>1250</v>
      </c>
      <c r="H1253" s="136" t="s">
        <v>34</v>
      </c>
      <c r="I1253" s="136" t="s">
        <v>35</v>
      </c>
      <c r="J1253" s="136" t="s">
        <v>9630</v>
      </c>
      <c r="L1253" s="136"/>
      <c r="M1253" s="136"/>
      <c r="N1253" s="136"/>
    </row>
    <row r="1254" spans="6:14">
      <c r="F1254" s="136" t="s">
        <v>9631</v>
      </c>
      <c r="G1254" s="136">
        <v>1251</v>
      </c>
      <c r="H1254" s="136" t="s">
        <v>4933</v>
      </c>
      <c r="I1254" s="136" t="s">
        <v>4934</v>
      </c>
      <c r="J1254" s="136" t="s">
        <v>9632</v>
      </c>
      <c r="L1254" s="136"/>
      <c r="M1254" s="136"/>
      <c r="N1254" s="136"/>
    </row>
    <row r="1255" spans="6:14">
      <c r="F1255" s="136" t="s">
        <v>9633</v>
      </c>
      <c r="G1255" s="136">
        <v>1252</v>
      </c>
      <c r="H1255" s="136" t="s">
        <v>4790</v>
      </c>
      <c r="I1255" s="136" t="s">
        <v>4791</v>
      </c>
      <c r="J1255" s="136" t="s">
        <v>9634</v>
      </c>
      <c r="L1255" s="136"/>
      <c r="M1255" s="136"/>
      <c r="N1255" s="136"/>
    </row>
    <row r="1256" spans="6:14">
      <c r="F1256" s="136" t="s">
        <v>9635</v>
      </c>
      <c r="G1256" s="136">
        <v>1253</v>
      </c>
      <c r="H1256" s="136" t="s">
        <v>791</v>
      </c>
      <c r="I1256" s="136" t="s">
        <v>792</v>
      </c>
      <c r="J1256" s="136" t="s">
        <v>9636</v>
      </c>
      <c r="L1256" s="136"/>
      <c r="M1256" s="136"/>
      <c r="N1256" s="136"/>
    </row>
    <row r="1257" spans="6:14">
      <c r="F1257" s="136" t="s">
        <v>9637</v>
      </c>
      <c r="G1257" s="136">
        <v>1254</v>
      </c>
      <c r="H1257" s="136" t="s">
        <v>3171</v>
      </c>
      <c r="I1257" s="136" t="s">
        <v>3172</v>
      </c>
      <c r="J1257" s="136" t="s">
        <v>9638</v>
      </c>
      <c r="L1257" s="136"/>
      <c r="M1257" s="136"/>
      <c r="N1257" s="136"/>
    </row>
    <row r="1258" spans="6:14">
      <c r="F1258" s="136" t="s">
        <v>9639</v>
      </c>
      <c r="G1258" s="136">
        <v>1255</v>
      </c>
      <c r="H1258" s="136" t="s">
        <v>1209</v>
      </c>
      <c r="I1258" s="136" t="s">
        <v>1210</v>
      </c>
      <c r="J1258" s="136" t="s">
        <v>9640</v>
      </c>
      <c r="L1258" s="136"/>
      <c r="M1258" s="136"/>
      <c r="N1258" s="136"/>
    </row>
    <row r="1259" spans="6:14">
      <c r="F1259" s="136" t="s">
        <v>9641</v>
      </c>
      <c r="G1259" s="136">
        <v>1256</v>
      </c>
      <c r="H1259" s="136" t="s">
        <v>9642</v>
      </c>
      <c r="I1259" s="136" t="s">
        <v>9643</v>
      </c>
      <c r="J1259" s="136" t="s">
        <v>9644</v>
      </c>
      <c r="L1259" s="136"/>
      <c r="M1259" s="136"/>
      <c r="N1259" s="136"/>
    </row>
    <row r="1260" spans="6:14">
      <c r="F1260" s="136" t="s">
        <v>9645</v>
      </c>
      <c r="G1260" s="136">
        <v>1257</v>
      </c>
      <c r="H1260" s="136" t="s">
        <v>3941</v>
      </c>
      <c r="I1260" s="136" t="s">
        <v>3942</v>
      </c>
      <c r="J1260" s="136" t="s">
        <v>9646</v>
      </c>
      <c r="L1260" s="136"/>
      <c r="M1260" s="136"/>
      <c r="N1260" s="136"/>
    </row>
    <row r="1261" spans="6:14">
      <c r="F1261" s="136" t="s">
        <v>9647</v>
      </c>
      <c r="G1261" s="136">
        <v>1258</v>
      </c>
      <c r="H1261" s="136" t="s">
        <v>5018</v>
      </c>
      <c r="I1261" s="136" t="s">
        <v>5019</v>
      </c>
      <c r="J1261" s="136" t="s">
        <v>9648</v>
      </c>
      <c r="L1261" s="136"/>
      <c r="M1261" s="136"/>
      <c r="N1261" s="136"/>
    </row>
    <row r="1262" spans="6:14">
      <c r="F1262" s="136" t="s">
        <v>9649</v>
      </c>
      <c r="G1262" s="136">
        <v>1259</v>
      </c>
      <c r="H1262" s="136" t="s">
        <v>865</v>
      </c>
      <c r="I1262" s="136" t="s">
        <v>866</v>
      </c>
      <c r="J1262" s="136" t="s">
        <v>9650</v>
      </c>
      <c r="L1262" s="136"/>
      <c r="M1262" s="136"/>
      <c r="N1262" s="136"/>
    </row>
    <row r="1263" spans="6:14">
      <c r="F1263" s="136" t="s">
        <v>9651</v>
      </c>
      <c r="G1263" s="136">
        <v>1260</v>
      </c>
      <c r="H1263" s="136" t="s">
        <v>5227</v>
      </c>
      <c r="I1263" s="136" t="s">
        <v>5228</v>
      </c>
      <c r="J1263" s="136" t="s">
        <v>9652</v>
      </c>
      <c r="L1263" s="136"/>
      <c r="M1263" s="136"/>
      <c r="N1263" s="136"/>
    </row>
    <row r="1264" spans="6:14">
      <c r="F1264" s="136" t="s">
        <v>9653</v>
      </c>
      <c r="G1264" s="136">
        <v>1261</v>
      </c>
      <c r="H1264" s="136" t="s">
        <v>9654</v>
      </c>
      <c r="I1264" s="136" t="s">
        <v>7361</v>
      </c>
      <c r="J1264" s="136" t="s">
        <v>9655</v>
      </c>
      <c r="L1264" s="136"/>
      <c r="M1264" s="136"/>
      <c r="N1264" s="136"/>
    </row>
    <row r="1265" spans="6:14">
      <c r="F1265" s="136" t="s">
        <v>9656</v>
      </c>
      <c r="G1265" s="136">
        <v>1262</v>
      </c>
      <c r="H1265" s="136" t="s">
        <v>9657</v>
      </c>
      <c r="I1265" s="136" t="s">
        <v>9658</v>
      </c>
      <c r="J1265" s="136" t="s">
        <v>9659</v>
      </c>
      <c r="L1265" s="136"/>
      <c r="M1265" s="136"/>
      <c r="N1265" s="136"/>
    </row>
    <row r="1266" spans="6:14">
      <c r="F1266" s="136" t="s">
        <v>9660</v>
      </c>
      <c r="G1266" s="136">
        <v>1263</v>
      </c>
      <c r="H1266" s="136" t="s">
        <v>9661</v>
      </c>
      <c r="I1266" s="136" t="s">
        <v>9662</v>
      </c>
      <c r="J1266" s="136" t="s">
        <v>9663</v>
      </c>
      <c r="L1266" s="136"/>
      <c r="M1266" s="136"/>
      <c r="N1266" s="136"/>
    </row>
    <row r="1267" spans="6:14">
      <c r="F1267" s="136" t="s">
        <v>9664</v>
      </c>
      <c r="G1267" s="136">
        <v>1264</v>
      </c>
      <c r="H1267" s="136" t="s">
        <v>5676</v>
      </c>
      <c r="I1267" s="136" t="s">
        <v>5677</v>
      </c>
      <c r="J1267" s="136" t="s">
        <v>9665</v>
      </c>
      <c r="L1267" s="136"/>
      <c r="M1267" s="136"/>
      <c r="N1267" s="136"/>
    </row>
    <row r="1268" spans="6:14">
      <c r="F1268" s="136" t="s">
        <v>9666</v>
      </c>
      <c r="G1268" s="136">
        <v>1265</v>
      </c>
      <c r="H1268" s="136" t="s">
        <v>9667</v>
      </c>
      <c r="I1268" s="136" t="s">
        <v>9668</v>
      </c>
      <c r="J1268" s="136" t="s">
        <v>9669</v>
      </c>
      <c r="L1268" s="136"/>
      <c r="M1268" s="136"/>
      <c r="N1268" s="136"/>
    </row>
    <row r="1269" spans="6:14">
      <c r="F1269" s="136" t="s">
        <v>9670</v>
      </c>
      <c r="G1269" s="136">
        <v>1266</v>
      </c>
      <c r="H1269" s="136" t="s">
        <v>9671</v>
      </c>
      <c r="I1269" s="136" t="s">
        <v>9672</v>
      </c>
      <c r="J1269" s="136" t="s">
        <v>9673</v>
      </c>
      <c r="L1269" s="136"/>
      <c r="M1269" s="136"/>
      <c r="N1269" s="136"/>
    </row>
    <row r="1270" spans="6:14">
      <c r="F1270" s="136" t="s">
        <v>9674</v>
      </c>
      <c r="G1270" s="136">
        <v>1267</v>
      </c>
      <c r="H1270" s="136" t="s">
        <v>9675</v>
      </c>
      <c r="I1270" s="136" t="s">
        <v>9676</v>
      </c>
      <c r="J1270" s="136" t="s">
        <v>9677</v>
      </c>
      <c r="L1270" s="136"/>
      <c r="M1270" s="136"/>
      <c r="N1270" s="136"/>
    </row>
    <row r="1271" spans="6:14">
      <c r="F1271" s="136" t="s">
        <v>9678</v>
      </c>
      <c r="G1271" s="136">
        <v>1268</v>
      </c>
      <c r="H1271" s="136" t="s">
        <v>912</v>
      </c>
      <c r="I1271" s="136" t="s">
        <v>913</v>
      </c>
      <c r="J1271" s="136" t="s">
        <v>9679</v>
      </c>
      <c r="L1271" s="136"/>
      <c r="M1271" s="136"/>
      <c r="N1271" s="136"/>
    </row>
    <row r="1272" spans="6:14">
      <c r="F1272" s="136" t="s">
        <v>9680</v>
      </c>
      <c r="G1272" s="136">
        <v>1269</v>
      </c>
      <c r="H1272" s="136" t="s">
        <v>1258</v>
      </c>
      <c r="I1272" s="136" t="s">
        <v>1259</v>
      </c>
      <c r="J1272" s="136" t="s">
        <v>9681</v>
      </c>
      <c r="L1272" s="136"/>
      <c r="M1272" s="136"/>
      <c r="N1272" s="136"/>
    </row>
    <row r="1273" spans="6:14">
      <c r="F1273" s="136" t="s">
        <v>9682</v>
      </c>
      <c r="G1273" s="136">
        <v>1270</v>
      </c>
      <c r="H1273" s="136" t="s">
        <v>2496</v>
      </c>
      <c r="I1273" s="136" t="s">
        <v>2497</v>
      </c>
      <c r="J1273" s="136" t="s">
        <v>9683</v>
      </c>
      <c r="L1273" s="136"/>
      <c r="M1273" s="136"/>
      <c r="N1273" s="136"/>
    </row>
    <row r="1274" spans="6:14">
      <c r="F1274" s="136" t="s">
        <v>9684</v>
      </c>
      <c r="G1274" s="136">
        <v>1271</v>
      </c>
      <c r="H1274" s="136" t="s">
        <v>2424</v>
      </c>
      <c r="I1274" s="136" t="s">
        <v>2425</v>
      </c>
      <c r="J1274" s="136" t="s">
        <v>9685</v>
      </c>
      <c r="L1274" s="136"/>
      <c r="M1274" s="136"/>
      <c r="N1274" s="136"/>
    </row>
    <row r="1275" spans="6:14">
      <c r="F1275" s="136" t="s">
        <v>9686</v>
      </c>
      <c r="G1275" s="136">
        <v>1272</v>
      </c>
      <c r="H1275" s="136" t="s">
        <v>1681</v>
      </c>
      <c r="I1275" s="136" t="s">
        <v>1682</v>
      </c>
      <c r="J1275" s="136" t="s">
        <v>9687</v>
      </c>
      <c r="L1275" s="136"/>
      <c r="M1275" s="136"/>
      <c r="N1275" s="136"/>
    </row>
    <row r="1276" spans="6:14">
      <c r="F1276" s="136" t="s">
        <v>9688</v>
      </c>
      <c r="G1276" s="136">
        <v>1273</v>
      </c>
      <c r="H1276" s="136" t="s">
        <v>2963</v>
      </c>
      <c r="I1276" s="136" t="s">
        <v>2965</v>
      </c>
      <c r="J1276" s="136" t="s">
        <v>9689</v>
      </c>
      <c r="L1276" s="136"/>
      <c r="M1276" s="136"/>
      <c r="N1276" s="136"/>
    </row>
    <row r="1277" spans="6:14">
      <c r="F1277" s="136" t="s">
        <v>9690</v>
      </c>
      <c r="G1277" s="136">
        <v>1274</v>
      </c>
      <c r="H1277" s="136" t="s">
        <v>2782</v>
      </c>
      <c r="I1277" s="136" t="s">
        <v>2783</v>
      </c>
      <c r="J1277" s="136" t="s">
        <v>9691</v>
      </c>
      <c r="L1277" s="136"/>
      <c r="M1277" s="136"/>
      <c r="N1277" s="136"/>
    </row>
    <row r="1278" spans="6:14">
      <c r="F1278" s="136" t="s">
        <v>9692</v>
      </c>
      <c r="G1278" s="136">
        <v>1275</v>
      </c>
      <c r="H1278" s="136" t="s">
        <v>9693</v>
      </c>
      <c r="I1278" s="136" t="s">
        <v>9694</v>
      </c>
      <c r="J1278" s="136" t="s">
        <v>9695</v>
      </c>
      <c r="L1278" s="136"/>
      <c r="M1278" s="136"/>
      <c r="N1278" s="136"/>
    </row>
    <row r="1279" spans="6:14">
      <c r="F1279" s="136" t="s">
        <v>9696</v>
      </c>
      <c r="G1279" s="136">
        <v>1276</v>
      </c>
      <c r="H1279" s="136" t="s">
        <v>9697</v>
      </c>
      <c r="I1279" s="136" t="s">
        <v>9698</v>
      </c>
      <c r="J1279" s="136" t="s">
        <v>9699</v>
      </c>
      <c r="L1279" s="136"/>
      <c r="M1279" s="136"/>
      <c r="N1279" s="136"/>
    </row>
    <row r="1280" spans="6:14">
      <c r="F1280" s="136" t="s">
        <v>9700</v>
      </c>
      <c r="G1280" s="136">
        <v>1277</v>
      </c>
      <c r="H1280" s="136" t="s">
        <v>2616</v>
      </c>
      <c r="I1280" s="136" t="s">
        <v>2617</v>
      </c>
      <c r="J1280" s="136" t="s">
        <v>9701</v>
      </c>
      <c r="L1280" s="136"/>
      <c r="M1280" s="136"/>
      <c r="N1280" s="136"/>
    </row>
    <row r="1281" spans="6:14">
      <c r="F1281" s="136" t="s">
        <v>9702</v>
      </c>
      <c r="G1281" s="136">
        <v>1278</v>
      </c>
      <c r="H1281" s="136" t="s">
        <v>5830</v>
      </c>
      <c r="I1281" s="136" t="s">
        <v>5831</v>
      </c>
      <c r="J1281" s="136" t="s">
        <v>9703</v>
      </c>
      <c r="L1281" s="136"/>
      <c r="M1281" s="136"/>
      <c r="N1281" s="136"/>
    </row>
    <row r="1282" spans="6:14">
      <c r="F1282" s="136" t="s">
        <v>9704</v>
      </c>
      <c r="G1282" s="136">
        <v>1279</v>
      </c>
      <c r="H1282" s="136" t="s">
        <v>9705</v>
      </c>
      <c r="I1282" s="136" t="s">
        <v>9706</v>
      </c>
      <c r="J1282" s="136" t="s">
        <v>9707</v>
      </c>
      <c r="L1282" s="136"/>
      <c r="M1282" s="136"/>
      <c r="N1282" s="136"/>
    </row>
    <row r="1283" spans="6:14">
      <c r="F1283" s="136" t="s">
        <v>9708</v>
      </c>
      <c r="G1283" s="136">
        <v>1280</v>
      </c>
      <c r="H1283" s="136" t="s">
        <v>420</v>
      </c>
      <c r="I1283" s="136" t="s">
        <v>421</v>
      </c>
      <c r="J1283" s="136" t="s">
        <v>9709</v>
      </c>
      <c r="L1283" s="136"/>
      <c r="M1283" s="136"/>
      <c r="N1283" s="136"/>
    </row>
    <row r="1284" spans="6:14">
      <c r="F1284" s="136" t="s">
        <v>9710</v>
      </c>
      <c r="G1284" s="136">
        <v>1281</v>
      </c>
      <c r="H1284" s="136" t="s">
        <v>4565</v>
      </c>
      <c r="I1284" s="136" t="s">
        <v>4567</v>
      </c>
      <c r="J1284" s="136" t="s">
        <v>9711</v>
      </c>
      <c r="L1284" s="136"/>
      <c r="M1284" s="136"/>
      <c r="N1284" s="136"/>
    </row>
    <row r="1285" spans="6:14">
      <c r="F1285" s="136" t="s">
        <v>9712</v>
      </c>
      <c r="G1285" s="136">
        <v>1282</v>
      </c>
      <c r="H1285" s="136" t="s">
        <v>9713</v>
      </c>
      <c r="I1285" s="136" t="s">
        <v>9714</v>
      </c>
      <c r="J1285" s="136" t="s">
        <v>9715</v>
      </c>
      <c r="L1285" s="136"/>
      <c r="M1285" s="136"/>
      <c r="N1285" s="136"/>
    </row>
    <row r="1286" spans="6:14">
      <c r="F1286" s="136" t="s">
        <v>9716</v>
      </c>
      <c r="G1286" s="136">
        <v>1283</v>
      </c>
      <c r="H1286" s="136" t="s">
        <v>1222</v>
      </c>
      <c r="I1286" s="136" t="s">
        <v>1223</v>
      </c>
      <c r="J1286" s="136" t="s">
        <v>9717</v>
      </c>
      <c r="L1286" s="136"/>
      <c r="M1286" s="136"/>
      <c r="N1286" s="136"/>
    </row>
    <row r="1287" spans="6:14">
      <c r="F1287" s="136" t="s">
        <v>9718</v>
      </c>
      <c r="G1287" s="136">
        <v>1284</v>
      </c>
      <c r="H1287" s="136" t="s">
        <v>5349</v>
      </c>
      <c r="I1287" s="136" t="s">
        <v>5350</v>
      </c>
      <c r="J1287" s="136" t="s">
        <v>9719</v>
      </c>
      <c r="L1287" s="136"/>
      <c r="M1287" s="136"/>
      <c r="N1287" s="136"/>
    </row>
    <row r="1288" spans="6:14">
      <c r="F1288" s="136" t="s">
        <v>9720</v>
      </c>
      <c r="G1288" s="136">
        <v>1285</v>
      </c>
      <c r="H1288" s="136" t="s">
        <v>548</v>
      </c>
      <c r="I1288" s="136" t="s">
        <v>565</v>
      </c>
      <c r="J1288" s="136" t="s">
        <v>9721</v>
      </c>
      <c r="L1288" s="136"/>
      <c r="M1288" s="136"/>
      <c r="N1288" s="136"/>
    </row>
    <row r="1289" spans="6:14">
      <c r="F1289" s="136" t="s">
        <v>9722</v>
      </c>
      <c r="G1289" s="136">
        <v>1286</v>
      </c>
      <c r="H1289" s="136" t="s">
        <v>548</v>
      </c>
      <c r="I1289" s="136" t="s">
        <v>566</v>
      </c>
      <c r="J1289" s="136" t="s">
        <v>9723</v>
      </c>
      <c r="L1289" s="136"/>
      <c r="M1289" s="136"/>
      <c r="N1289" s="136"/>
    </row>
    <row r="1290" spans="6:14">
      <c r="F1290" s="136" t="s">
        <v>9724</v>
      </c>
      <c r="G1290" s="136">
        <v>1287</v>
      </c>
      <c r="H1290" s="136" t="s">
        <v>2141</v>
      </c>
      <c r="I1290" s="136" t="s">
        <v>2142</v>
      </c>
      <c r="J1290" s="136" t="s">
        <v>9725</v>
      </c>
      <c r="L1290" s="136"/>
      <c r="M1290" s="136"/>
      <c r="N1290" s="136"/>
    </row>
    <row r="1291" spans="6:14">
      <c r="F1291" s="136" t="s">
        <v>9726</v>
      </c>
      <c r="G1291" s="136">
        <v>1288</v>
      </c>
      <c r="H1291" s="136" t="s">
        <v>4323</v>
      </c>
      <c r="I1291" s="136" t="s">
        <v>4324</v>
      </c>
      <c r="J1291" s="136" t="s">
        <v>9727</v>
      </c>
      <c r="L1291" s="136"/>
      <c r="M1291" s="136"/>
      <c r="N1291" s="136"/>
    </row>
    <row r="1292" spans="6:14">
      <c r="F1292" s="136" t="s">
        <v>9728</v>
      </c>
      <c r="G1292" s="136">
        <v>1289</v>
      </c>
      <c r="H1292" s="136" t="s">
        <v>9729</v>
      </c>
      <c r="I1292" s="136" t="s">
        <v>9730</v>
      </c>
      <c r="J1292" s="136" t="s">
        <v>9731</v>
      </c>
      <c r="L1292" s="136"/>
      <c r="M1292" s="136"/>
      <c r="N1292" s="136"/>
    </row>
    <row r="1293" spans="6:14">
      <c r="F1293" s="136" t="s">
        <v>9732</v>
      </c>
      <c r="G1293" s="136">
        <v>1290</v>
      </c>
      <c r="H1293" s="136" t="s">
        <v>5279</v>
      </c>
      <c r="I1293" s="136" t="s">
        <v>5280</v>
      </c>
      <c r="J1293" s="136" t="s">
        <v>9733</v>
      </c>
      <c r="L1293" s="136"/>
      <c r="M1293" s="136"/>
      <c r="N1293" s="136"/>
    </row>
    <row r="1294" spans="6:14">
      <c r="F1294" s="136" t="s">
        <v>9734</v>
      </c>
      <c r="G1294" s="136">
        <v>1291</v>
      </c>
      <c r="H1294" s="136" t="s">
        <v>9735</v>
      </c>
      <c r="I1294" s="136" t="s">
        <v>9736</v>
      </c>
      <c r="J1294" s="136" t="s">
        <v>9737</v>
      </c>
      <c r="L1294" s="136"/>
      <c r="M1294" s="136"/>
      <c r="N1294" s="136"/>
    </row>
    <row r="1295" spans="6:14">
      <c r="F1295" s="136" t="s">
        <v>9738</v>
      </c>
      <c r="G1295" s="136">
        <v>1292</v>
      </c>
      <c r="H1295" s="136" t="s">
        <v>2841</v>
      </c>
      <c r="I1295" s="136" t="s">
        <v>2846</v>
      </c>
      <c r="J1295" s="136" t="s">
        <v>9739</v>
      </c>
      <c r="L1295" s="136"/>
      <c r="M1295" s="136"/>
      <c r="N1295" s="136"/>
    </row>
    <row r="1296" spans="6:14">
      <c r="F1296" s="136" t="s">
        <v>9740</v>
      </c>
      <c r="G1296" s="136">
        <v>1293</v>
      </c>
      <c r="H1296" s="136" t="s">
        <v>9741</v>
      </c>
      <c r="I1296" s="136" t="s">
        <v>9742</v>
      </c>
      <c r="J1296" s="136" t="s">
        <v>9743</v>
      </c>
      <c r="L1296" s="136"/>
      <c r="M1296" s="136"/>
      <c r="N1296" s="136"/>
    </row>
    <row r="1297" spans="6:14">
      <c r="F1297" s="136" t="s">
        <v>9744</v>
      </c>
      <c r="G1297" s="136">
        <v>1294</v>
      </c>
      <c r="H1297" s="136" t="s">
        <v>5440</v>
      </c>
      <c r="I1297" s="136" t="s">
        <v>4093</v>
      </c>
      <c r="J1297" s="136" t="s">
        <v>9745</v>
      </c>
      <c r="L1297" s="136"/>
      <c r="M1297" s="136"/>
      <c r="N1297" s="136"/>
    </row>
    <row r="1298" spans="6:14">
      <c r="F1298" s="136" t="s">
        <v>9746</v>
      </c>
      <c r="G1298" s="136">
        <v>1295</v>
      </c>
      <c r="H1298" s="136" t="s">
        <v>548</v>
      </c>
      <c r="I1298" s="136" t="s">
        <v>567</v>
      </c>
      <c r="J1298" s="136" t="s">
        <v>9747</v>
      </c>
      <c r="L1298" s="136"/>
      <c r="M1298" s="136"/>
      <c r="N1298" s="136"/>
    </row>
    <row r="1299" spans="6:14">
      <c r="F1299" s="136" t="s">
        <v>9748</v>
      </c>
      <c r="G1299" s="136">
        <v>1296</v>
      </c>
      <c r="H1299" s="136" t="s">
        <v>3393</v>
      </c>
      <c r="I1299" s="136" t="s">
        <v>3394</v>
      </c>
      <c r="J1299" s="136" t="s">
        <v>9749</v>
      </c>
      <c r="L1299" s="136"/>
      <c r="M1299" s="136"/>
      <c r="N1299" s="136"/>
    </row>
    <row r="1300" spans="6:14">
      <c r="F1300" s="136" t="s">
        <v>9750</v>
      </c>
      <c r="G1300" s="136">
        <v>1297</v>
      </c>
      <c r="H1300" s="136" t="s">
        <v>2849</v>
      </c>
      <c r="I1300" s="136" t="s">
        <v>2850</v>
      </c>
      <c r="J1300" s="136" t="s">
        <v>9751</v>
      </c>
      <c r="L1300" s="136"/>
      <c r="M1300" s="136"/>
      <c r="N1300" s="136"/>
    </row>
    <row r="1301" spans="6:14">
      <c r="F1301" s="136" t="s">
        <v>9752</v>
      </c>
      <c r="G1301" s="136">
        <v>1298</v>
      </c>
      <c r="H1301" s="136" t="s">
        <v>1322</v>
      </c>
      <c r="I1301" s="136" t="s">
        <v>1323</v>
      </c>
      <c r="J1301" s="136" t="s">
        <v>9753</v>
      </c>
      <c r="L1301" s="136"/>
      <c r="M1301" s="136"/>
      <c r="N1301" s="136"/>
    </row>
    <row r="1302" spans="6:14">
      <c r="F1302" s="136" t="s">
        <v>9754</v>
      </c>
      <c r="G1302" s="136">
        <v>1299</v>
      </c>
      <c r="H1302" s="136" t="s">
        <v>9755</v>
      </c>
      <c r="I1302" s="136" t="s">
        <v>9756</v>
      </c>
      <c r="J1302" s="136" t="s">
        <v>9757</v>
      </c>
      <c r="L1302" s="136"/>
      <c r="M1302" s="136"/>
      <c r="N1302" s="136"/>
    </row>
    <row r="1303" spans="6:14">
      <c r="F1303" s="136" t="s">
        <v>9758</v>
      </c>
      <c r="G1303" s="136">
        <v>1300</v>
      </c>
      <c r="H1303" s="136" t="s">
        <v>2722</v>
      </c>
      <c r="I1303" s="136" t="s">
        <v>2723</v>
      </c>
      <c r="J1303" s="136" t="s">
        <v>9759</v>
      </c>
      <c r="L1303" s="136"/>
      <c r="M1303" s="136"/>
      <c r="N1303" s="136"/>
    </row>
    <row r="1304" spans="6:14">
      <c r="F1304" s="136" t="s">
        <v>9760</v>
      </c>
      <c r="G1304" s="136">
        <v>1301</v>
      </c>
      <c r="H1304" s="136" t="s">
        <v>4832</v>
      </c>
      <c r="I1304" s="136" t="s">
        <v>4833</v>
      </c>
      <c r="J1304" s="136" t="s">
        <v>9761</v>
      </c>
      <c r="L1304" s="136"/>
      <c r="M1304" s="136"/>
      <c r="N1304" s="136"/>
    </row>
    <row r="1305" spans="6:14">
      <c r="F1305" s="136" t="s">
        <v>9762</v>
      </c>
      <c r="G1305" s="136">
        <v>1302</v>
      </c>
      <c r="H1305" s="136" t="s">
        <v>548</v>
      </c>
      <c r="I1305" s="136" t="s">
        <v>568</v>
      </c>
      <c r="J1305" s="136" t="s">
        <v>9763</v>
      </c>
      <c r="L1305" s="136"/>
      <c r="M1305" s="136"/>
      <c r="N1305" s="136"/>
    </row>
    <row r="1306" spans="6:14">
      <c r="F1306" s="136" t="s">
        <v>9764</v>
      </c>
      <c r="G1306" s="136">
        <v>1303</v>
      </c>
      <c r="H1306" s="136" t="s">
        <v>4756</v>
      </c>
      <c r="I1306" s="136" t="s">
        <v>4757</v>
      </c>
      <c r="J1306" s="136" t="s">
        <v>9765</v>
      </c>
      <c r="L1306" s="136"/>
      <c r="M1306" s="136"/>
      <c r="N1306" s="136"/>
    </row>
    <row r="1307" spans="6:14">
      <c r="F1307" s="136" t="s">
        <v>9766</v>
      </c>
      <c r="G1307" s="136">
        <v>1304</v>
      </c>
      <c r="H1307" s="136" t="s">
        <v>1744</v>
      </c>
      <c r="I1307" s="136" t="s">
        <v>1747</v>
      </c>
      <c r="J1307" s="136" t="s">
        <v>9767</v>
      </c>
      <c r="L1307" s="136"/>
      <c r="M1307" s="136"/>
      <c r="N1307" s="136"/>
    </row>
    <row r="1308" spans="6:14">
      <c r="F1308" s="136" t="s">
        <v>9768</v>
      </c>
      <c r="G1308" s="136">
        <v>1305</v>
      </c>
      <c r="H1308" s="136" t="s">
        <v>4589</v>
      </c>
      <c r="I1308" s="136" t="s">
        <v>4590</v>
      </c>
      <c r="J1308" s="136" t="s">
        <v>9769</v>
      </c>
      <c r="L1308" s="136"/>
      <c r="M1308" s="136"/>
      <c r="N1308" s="136"/>
    </row>
    <row r="1309" spans="6:14">
      <c r="F1309" s="136" t="s">
        <v>9770</v>
      </c>
      <c r="G1309" s="136">
        <v>1306</v>
      </c>
      <c r="H1309" s="136" t="s">
        <v>9771</v>
      </c>
      <c r="I1309" s="136" t="s">
        <v>9772</v>
      </c>
      <c r="J1309" s="136" t="s">
        <v>9773</v>
      </c>
      <c r="L1309" s="136"/>
      <c r="M1309" s="136"/>
      <c r="N1309" s="136"/>
    </row>
    <row r="1310" spans="6:14">
      <c r="F1310" s="136" t="s">
        <v>9774</v>
      </c>
      <c r="G1310" s="136">
        <v>1307</v>
      </c>
      <c r="H1310" s="136" t="s">
        <v>2612</v>
      </c>
      <c r="I1310" s="136" t="s">
        <v>2613</v>
      </c>
      <c r="J1310" s="136" t="s">
        <v>9775</v>
      </c>
      <c r="L1310" s="136"/>
      <c r="M1310" s="136"/>
      <c r="N1310" s="136"/>
    </row>
    <row r="1311" spans="6:14">
      <c r="F1311" s="136" t="s">
        <v>9776</v>
      </c>
      <c r="G1311" s="136">
        <v>1308</v>
      </c>
      <c r="H1311" s="136" t="s">
        <v>2040</v>
      </c>
      <c r="I1311" s="136" t="s">
        <v>2041</v>
      </c>
      <c r="J1311" s="136" t="s">
        <v>9777</v>
      </c>
      <c r="L1311" s="136"/>
      <c r="M1311" s="136"/>
      <c r="N1311" s="136"/>
    </row>
    <row r="1312" spans="6:14">
      <c r="F1312" s="136" t="s">
        <v>9778</v>
      </c>
      <c r="G1312" s="136">
        <v>1309</v>
      </c>
      <c r="H1312" s="136" t="s">
        <v>9779</v>
      </c>
      <c r="I1312" s="136" t="s">
        <v>9780</v>
      </c>
      <c r="J1312" s="136" t="s">
        <v>9781</v>
      </c>
      <c r="L1312" s="136"/>
      <c r="M1312" s="136"/>
      <c r="N1312" s="136"/>
    </row>
    <row r="1313" spans="6:14">
      <c r="F1313" s="136" t="s">
        <v>9782</v>
      </c>
      <c r="G1313" s="136">
        <v>1310</v>
      </c>
      <c r="H1313" s="136" t="s">
        <v>548</v>
      </c>
      <c r="I1313" s="136" t="s">
        <v>569</v>
      </c>
      <c r="J1313" s="136" t="s">
        <v>9783</v>
      </c>
      <c r="L1313" s="136"/>
      <c r="M1313" s="136"/>
      <c r="N1313" s="136"/>
    </row>
    <row r="1314" spans="6:14">
      <c r="F1314" s="136" t="s">
        <v>9784</v>
      </c>
      <c r="G1314" s="136">
        <v>1311</v>
      </c>
      <c r="H1314" s="136" t="s">
        <v>548</v>
      </c>
      <c r="I1314" s="136" t="s">
        <v>570</v>
      </c>
      <c r="J1314" s="136" t="s">
        <v>9785</v>
      </c>
      <c r="L1314" s="136"/>
      <c r="M1314" s="136"/>
      <c r="N1314" s="136"/>
    </row>
    <row r="1315" spans="6:14">
      <c r="F1315" s="136" t="s">
        <v>9786</v>
      </c>
      <c r="G1315" s="136">
        <v>1312</v>
      </c>
      <c r="H1315" s="136" t="s">
        <v>9787</v>
      </c>
      <c r="I1315" s="136" t="s">
        <v>9788</v>
      </c>
      <c r="J1315" s="136" t="s">
        <v>9789</v>
      </c>
      <c r="L1315" s="136"/>
      <c r="M1315" s="136"/>
      <c r="N1315" s="136"/>
    </row>
    <row r="1316" spans="6:14">
      <c r="F1316" s="136" t="s">
        <v>9790</v>
      </c>
      <c r="G1316" s="136">
        <v>1313</v>
      </c>
      <c r="H1316" s="136" t="s">
        <v>4811</v>
      </c>
      <c r="I1316" s="136" t="s">
        <v>4812</v>
      </c>
      <c r="J1316" s="136" t="s">
        <v>9791</v>
      </c>
      <c r="L1316" s="136"/>
      <c r="M1316" s="136"/>
      <c r="N1316" s="136"/>
    </row>
    <row r="1317" spans="6:14">
      <c r="F1317" s="136" t="s">
        <v>9792</v>
      </c>
      <c r="G1317" s="136">
        <v>1314</v>
      </c>
      <c r="H1317" s="136" t="s">
        <v>9793</v>
      </c>
      <c r="I1317" s="136" t="s">
        <v>9794</v>
      </c>
      <c r="J1317" s="136" t="s">
        <v>9795</v>
      </c>
      <c r="L1317" s="136"/>
      <c r="M1317" s="136"/>
      <c r="N1317" s="136"/>
    </row>
    <row r="1318" spans="6:14">
      <c r="F1318" s="136" t="s">
        <v>9796</v>
      </c>
      <c r="G1318" s="136">
        <v>1315</v>
      </c>
      <c r="H1318" s="136" t="s">
        <v>5453</v>
      </c>
      <c r="I1318" s="136" t="s">
        <v>5454</v>
      </c>
      <c r="J1318" s="136" t="s">
        <v>9797</v>
      </c>
      <c r="L1318" s="136"/>
      <c r="M1318" s="136"/>
      <c r="N1318" s="136"/>
    </row>
    <row r="1319" spans="6:14">
      <c r="F1319" s="136" t="s">
        <v>9798</v>
      </c>
      <c r="G1319" s="136">
        <v>1316</v>
      </c>
      <c r="H1319" s="136" t="s">
        <v>9799</v>
      </c>
      <c r="I1319" s="136" t="s">
        <v>9800</v>
      </c>
      <c r="J1319" s="136" t="s">
        <v>9801</v>
      </c>
      <c r="L1319" s="136"/>
      <c r="M1319" s="136"/>
      <c r="N1319" s="136"/>
    </row>
    <row r="1320" spans="6:14">
      <c r="F1320" s="136" t="s">
        <v>9802</v>
      </c>
      <c r="G1320" s="136">
        <v>1317</v>
      </c>
      <c r="H1320" s="136" t="s">
        <v>1916</v>
      </c>
      <c r="I1320" s="136" t="s">
        <v>1917</v>
      </c>
      <c r="J1320" s="136" t="s">
        <v>9803</v>
      </c>
      <c r="L1320" s="136"/>
      <c r="M1320" s="136"/>
      <c r="N1320" s="136"/>
    </row>
    <row r="1321" spans="6:14">
      <c r="F1321" s="136" t="s">
        <v>9804</v>
      </c>
      <c r="G1321" s="136">
        <v>1318</v>
      </c>
      <c r="H1321" s="136" t="s">
        <v>3552</v>
      </c>
      <c r="I1321" s="136" t="s">
        <v>3553</v>
      </c>
      <c r="J1321" s="136" t="s">
        <v>9805</v>
      </c>
      <c r="L1321" s="136"/>
      <c r="M1321" s="136"/>
      <c r="N1321" s="136"/>
    </row>
    <row r="1322" spans="6:14">
      <c r="F1322" s="136" t="s">
        <v>9806</v>
      </c>
      <c r="G1322" s="136">
        <v>1319</v>
      </c>
      <c r="H1322" s="136" t="s">
        <v>4908</v>
      </c>
      <c r="I1322" s="136" t="s">
        <v>4909</v>
      </c>
      <c r="J1322" s="136" t="s">
        <v>9807</v>
      </c>
      <c r="L1322" s="136"/>
      <c r="M1322" s="136"/>
      <c r="N1322" s="136"/>
    </row>
    <row r="1323" spans="6:14">
      <c r="F1323" s="136" t="s">
        <v>9808</v>
      </c>
      <c r="G1323" s="136">
        <v>1320</v>
      </c>
      <c r="H1323" s="136" t="s">
        <v>1399</v>
      </c>
      <c r="I1323" s="136" t="s">
        <v>1400</v>
      </c>
      <c r="J1323" s="136" t="s">
        <v>9809</v>
      </c>
      <c r="L1323" s="136"/>
      <c r="M1323" s="136"/>
      <c r="N1323" s="136"/>
    </row>
    <row r="1324" spans="6:14">
      <c r="F1324" s="136" t="s">
        <v>9810</v>
      </c>
      <c r="G1324" s="136">
        <v>1321</v>
      </c>
      <c r="H1324" s="136" t="s">
        <v>2805</v>
      </c>
      <c r="I1324" s="136" t="s">
        <v>2806</v>
      </c>
      <c r="J1324" s="136" t="s">
        <v>9811</v>
      </c>
      <c r="L1324" s="136"/>
      <c r="M1324" s="136"/>
      <c r="N1324" s="136"/>
    </row>
    <row r="1325" spans="6:14">
      <c r="F1325" s="136" t="s">
        <v>9812</v>
      </c>
      <c r="G1325" s="136">
        <v>1322</v>
      </c>
      <c r="H1325" s="136" t="s">
        <v>1436</v>
      </c>
      <c r="I1325" s="136" t="s">
        <v>1437</v>
      </c>
      <c r="J1325" s="136" t="s">
        <v>9813</v>
      </c>
      <c r="L1325" s="136"/>
      <c r="M1325" s="136"/>
      <c r="N1325" s="136"/>
    </row>
    <row r="1326" spans="6:14">
      <c r="F1326" s="136" t="s">
        <v>9814</v>
      </c>
      <c r="G1326" s="136">
        <v>1323</v>
      </c>
      <c r="H1326" s="136" t="s">
        <v>4894</v>
      </c>
      <c r="I1326" s="136" t="s">
        <v>4895</v>
      </c>
      <c r="J1326" s="136" t="s">
        <v>9815</v>
      </c>
      <c r="L1326" s="136"/>
      <c r="M1326" s="136"/>
      <c r="N1326" s="136"/>
    </row>
    <row r="1327" spans="6:14">
      <c r="F1327" s="136" t="s">
        <v>9816</v>
      </c>
      <c r="G1327" s="136">
        <v>1324</v>
      </c>
      <c r="H1327" s="136" t="s">
        <v>9817</v>
      </c>
      <c r="I1327" s="136" t="s">
        <v>9818</v>
      </c>
      <c r="J1327" s="136" t="s">
        <v>9819</v>
      </c>
      <c r="L1327" s="136"/>
      <c r="M1327" s="136"/>
      <c r="N1327" s="136"/>
    </row>
    <row r="1328" spans="6:14">
      <c r="F1328" s="136" t="s">
        <v>9820</v>
      </c>
      <c r="G1328" s="136">
        <v>1325</v>
      </c>
      <c r="H1328" s="136" t="s">
        <v>9821</v>
      </c>
      <c r="I1328" s="136" t="s">
        <v>2505</v>
      </c>
      <c r="J1328" s="136" t="s">
        <v>9822</v>
      </c>
      <c r="L1328" s="136"/>
      <c r="M1328" s="136"/>
      <c r="N1328" s="136"/>
    </row>
    <row r="1329" spans="6:14">
      <c r="F1329" s="136" t="s">
        <v>9823</v>
      </c>
      <c r="G1329" s="136">
        <v>1326</v>
      </c>
      <c r="H1329" s="136" t="s">
        <v>2712</v>
      </c>
      <c r="I1329" s="136" t="s">
        <v>2713</v>
      </c>
      <c r="J1329" s="136" t="s">
        <v>9824</v>
      </c>
      <c r="L1329" s="136"/>
      <c r="M1329" s="136"/>
      <c r="N1329" s="136"/>
    </row>
    <row r="1330" spans="6:14">
      <c r="F1330" s="136" t="s">
        <v>9825</v>
      </c>
      <c r="G1330" s="136">
        <v>1327</v>
      </c>
      <c r="H1330" s="136" t="s">
        <v>4796</v>
      </c>
      <c r="I1330" s="136" t="s">
        <v>4797</v>
      </c>
      <c r="J1330" s="136" t="s">
        <v>9826</v>
      </c>
      <c r="L1330" s="136"/>
      <c r="M1330" s="136"/>
      <c r="N1330" s="136"/>
    </row>
    <row r="1331" spans="6:14">
      <c r="F1331" s="136" t="s">
        <v>9827</v>
      </c>
      <c r="G1331" s="136">
        <v>1328</v>
      </c>
      <c r="H1331" s="136" t="s">
        <v>2297</v>
      </c>
      <c r="I1331" s="136" t="s">
        <v>2298</v>
      </c>
      <c r="J1331" s="136" t="s">
        <v>9828</v>
      </c>
      <c r="L1331" s="136"/>
      <c r="M1331" s="136"/>
      <c r="N1331" s="136"/>
    </row>
    <row r="1332" spans="6:14">
      <c r="F1332" s="136" t="s">
        <v>9829</v>
      </c>
      <c r="G1332" s="136">
        <v>1329</v>
      </c>
      <c r="H1332" s="136" t="s">
        <v>9830</v>
      </c>
      <c r="I1332" s="136" t="s">
        <v>9831</v>
      </c>
      <c r="J1332" s="136" t="s">
        <v>9832</v>
      </c>
      <c r="L1332" s="136"/>
      <c r="M1332" s="136"/>
      <c r="N1332" s="136"/>
    </row>
    <row r="1333" spans="6:14">
      <c r="F1333" s="136" t="s">
        <v>9833</v>
      </c>
      <c r="G1333" s="136">
        <v>1330</v>
      </c>
      <c r="H1333" s="136" t="s">
        <v>598</v>
      </c>
      <c r="I1333" s="136" t="s">
        <v>599</v>
      </c>
      <c r="J1333" s="136" t="s">
        <v>9834</v>
      </c>
      <c r="L1333" s="136"/>
      <c r="M1333" s="136"/>
      <c r="N1333" s="136"/>
    </row>
    <row r="1334" spans="6:14">
      <c r="F1334" s="136" t="s">
        <v>9835</v>
      </c>
      <c r="G1334" s="136">
        <v>1331</v>
      </c>
      <c r="H1334" s="136" t="s">
        <v>3191</v>
      </c>
      <c r="I1334" s="136" t="s">
        <v>3192</v>
      </c>
      <c r="J1334" s="136" t="s">
        <v>9836</v>
      </c>
      <c r="L1334" s="136"/>
      <c r="M1334" s="136"/>
      <c r="N1334" s="136"/>
    </row>
    <row r="1335" spans="6:14">
      <c r="F1335" s="136" t="s">
        <v>9837</v>
      </c>
      <c r="G1335" s="136">
        <v>1332</v>
      </c>
      <c r="H1335" s="136" t="s">
        <v>5488</v>
      </c>
      <c r="I1335" s="136" t="s">
        <v>5489</v>
      </c>
      <c r="J1335" s="136" t="s">
        <v>9838</v>
      </c>
      <c r="L1335" s="136"/>
      <c r="M1335" s="136"/>
      <c r="N1335" s="136"/>
    </row>
    <row r="1336" spans="6:14">
      <c r="F1336" s="136" t="s">
        <v>9839</v>
      </c>
      <c r="G1336" s="136">
        <v>1333</v>
      </c>
      <c r="H1336" s="136" t="s">
        <v>5842</v>
      </c>
      <c r="I1336" s="136" t="s">
        <v>5843</v>
      </c>
      <c r="J1336" s="136" t="s">
        <v>9840</v>
      </c>
      <c r="L1336" s="136"/>
      <c r="M1336" s="136"/>
      <c r="N1336" s="136"/>
    </row>
    <row r="1337" spans="6:14">
      <c r="F1337" s="136" t="s">
        <v>9841</v>
      </c>
      <c r="G1337" s="136">
        <v>1334</v>
      </c>
      <c r="H1337" s="136" t="s">
        <v>5570</v>
      </c>
      <c r="I1337" s="136" t="s">
        <v>5571</v>
      </c>
      <c r="J1337" s="136" t="s">
        <v>9842</v>
      </c>
      <c r="L1337" s="136"/>
      <c r="M1337" s="136"/>
      <c r="N1337" s="136"/>
    </row>
    <row r="1338" spans="6:14">
      <c r="F1338" s="136" t="s">
        <v>9843</v>
      </c>
      <c r="G1338" s="136">
        <v>1335</v>
      </c>
      <c r="H1338" s="136" t="s">
        <v>9844</v>
      </c>
      <c r="I1338" s="136" t="s">
        <v>9845</v>
      </c>
      <c r="J1338" s="136" t="s">
        <v>9846</v>
      </c>
      <c r="L1338" s="136"/>
      <c r="M1338" s="136"/>
      <c r="N1338" s="136"/>
    </row>
    <row r="1339" spans="6:14">
      <c r="F1339" s="136" t="s">
        <v>9847</v>
      </c>
      <c r="G1339" s="136">
        <v>1336</v>
      </c>
      <c r="H1339" s="136" t="s">
        <v>1910</v>
      </c>
      <c r="I1339" s="136" t="s">
        <v>1911</v>
      </c>
      <c r="J1339" s="136" t="s">
        <v>9848</v>
      </c>
      <c r="L1339" s="136"/>
      <c r="M1339" s="136"/>
      <c r="N1339" s="136"/>
    </row>
    <row r="1340" spans="6:14">
      <c r="F1340" s="136" t="s">
        <v>9849</v>
      </c>
      <c r="G1340" s="136">
        <v>1337</v>
      </c>
      <c r="H1340" s="136" t="s">
        <v>1910</v>
      </c>
      <c r="I1340" s="136" t="s">
        <v>1912</v>
      </c>
      <c r="J1340" s="136" t="s">
        <v>9850</v>
      </c>
      <c r="L1340" s="136"/>
      <c r="M1340" s="136"/>
      <c r="N1340" s="136"/>
    </row>
    <row r="1341" spans="6:14">
      <c r="F1341" s="136" t="s">
        <v>9851</v>
      </c>
      <c r="G1341" s="136">
        <v>1338</v>
      </c>
      <c r="H1341" s="136" t="s">
        <v>1910</v>
      </c>
      <c r="I1341" s="136" t="s">
        <v>1913</v>
      </c>
      <c r="J1341" s="136" t="s">
        <v>9852</v>
      </c>
      <c r="L1341" s="136"/>
      <c r="M1341" s="136"/>
      <c r="N1341" s="136"/>
    </row>
    <row r="1342" spans="6:14">
      <c r="F1342" s="136" t="s">
        <v>9853</v>
      </c>
      <c r="G1342" s="136">
        <v>1339</v>
      </c>
      <c r="H1342" s="136" t="s">
        <v>1910</v>
      </c>
      <c r="I1342" s="136" t="s">
        <v>1914</v>
      </c>
      <c r="J1342" s="136" t="s">
        <v>9854</v>
      </c>
      <c r="L1342" s="136"/>
      <c r="M1342" s="136"/>
      <c r="N1342" s="136"/>
    </row>
    <row r="1343" spans="6:14">
      <c r="F1343" s="136" t="s">
        <v>9855</v>
      </c>
      <c r="G1343" s="136">
        <v>1340</v>
      </c>
      <c r="H1343" s="136" t="s">
        <v>1910</v>
      </c>
      <c r="I1343" s="136" t="s">
        <v>1915</v>
      </c>
      <c r="J1343" s="136" t="s">
        <v>9856</v>
      </c>
      <c r="L1343" s="136"/>
      <c r="M1343" s="136"/>
      <c r="N1343" s="136"/>
    </row>
    <row r="1344" spans="6:14">
      <c r="F1344" s="136" t="s">
        <v>9857</v>
      </c>
      <c r="G1344" s="136">
        <v>1341</v>
      </c>
      <c r="H1344" s="136" t="s">
        <v>9858</v>
      </c>
      <c r="I1344" s="136" t="s">
        <v>9859</v>
      </c>
      <c r="J1344" s="136" t="s">
        <v>9860</v>
      </c>
      <c r="L1344" s="136"/>
      <c r="M1344" s="136"/>
      <c r="N1344" s="136"/>
    </row>
    <row r="1345" spans="6:14">
      <c r="F1345" s="136" t="s">
        <v>9861</v>
      </c>
      <c r="G1345" s="136">
        <v>1342</v>
      </c>
      <c r="H1345" s="136" t="s">
        <v>9862</v>
      </c>
      <c r="I1345" s="136" t="s">
        <v>9863</v>
      </c>
      <c r="J1345" s="136" t="s">
        <v>9864</v>
      </c>
      <c r="L1345" s="136"/>
      <c r="M1345" s="136"/>
      <c r="N1345" s="136"/>
    </row>
    <row r="1346" spans="6:14">
      <c r="F1346" s="136" t="s">
        <v>9865</v>
      </c>
      <c r="G1346" s="136">
        <v>1343</v>
      </c>
      <c r="H1346" s="136" t="s">
        <v>9866</v>
      </c>
      <c r="I1346" s="136" t="s">
        <v>9867</v>
      </c>
      <c r="J1346" s="136" t="s">
        <v>9868</v>
      </c>
      <c r="L1346" s="136"/>
      <c r="M1346" s="136"/>
      <c r="N1346" s="136"/>
    </row>
    <row r="1347" spans="6:14">
      <c r="F1347" s="136" t="s">
        <v>9869</v>
      </c>
      <c r="G1347" s="136">
        <v>1344</v>
      </c>
      <c r="H1347" s="136" t="s">
        <v>6226</v>
      </c>
      <c r="I1347" s="136" t="s">
        <v>6227</v>
      </c>
      <c r="J1347" s="136" t="s">
        <v>9870</v>
      </c>
      <c r="L1347" s="136"/>
      <c r="M1347" s="136"/>
      <c r="N1347" s="136"/>
    </row>
    <row r="1348" spans="6:14">
      <c r="F1348" s="136" t="s">
        <v>9871</v>
      </c>
      <c r="G1348" s="136">
        <v>1345</v>
      </c>
      <c r="H1348" s="136" t="s">
        <v>9872</v>
      </c>
      <c r="I1348" s="136" t="s">
        <v>9873</v>
      </c>
      <c r="J1348" s="136" t="s">
        <v>9874</v>
      </c>
      <c r="L1348" s="136"/>
      <c r="M1348" s="136"/>
      <c r="N1348" s="136"/>
    </row>
    <row r="1349" spans="6:14">
      <c r="F1349" s="136" t="s">
        <v>9875</v>
      </c>
      <c r="G1349" s="136">
        <v>1346</v>
      </c>
      <c r="H1349" s="136" t="s">
        <v>9876</v>
      </c>
      <c r="I1349" s="136" t="s">
        <v>9877</v>
      </c>
      <c r="J1349" s="136" t="s">
        <v>9878</v>
      </c>
      <c r="L1349" s="136"/>
      <c r="M1349" s="136"/>
      <c r="N1349" s="136"/>
    </row>
    <row r="1350" spans="6:14">
      <c r="F1350" s="136" t="s">
        <v>9879</v>
      </c>
      <c r="G1350" s="136">
        <v>1347</v>
      </c>
      <c r="H1350" s="136" t="s">
        <v>2299</v>
      </c>
      <c r="I1350" s="136" t="s">
        <v>2300</v>
      </c>
      <c r="J1350" s="136" t="s">
        <v>9880</v>
      </c>
      <c r="L1350" s="136"/>
      <c r="M1350" s="136"/>
      <c r="N1350" s="136"/>
    </row>
    <row r="1351" spans="6:14">
      <c r="F1351" s="136" t="s">
        <v>9881</v>
      </c>
      <c r="G1351" s="136">
        <v>1348</v>
      </c>
      <c r="H1351" s="136" t="s">
        <v>1189</v>
      </c>
      <c r="I1351" s="136" t="s">
        <v>1190</v>
      </c>
      <c r="J1351" s="136" t="s">
        <v>9882</v>
      </c>
      <c r="L1351" s="136"/>
      <c r="M1351" s="136"/>
      <c r="N1351" s="136"/>
    </row>
    <row r="1352" spans="6:14">
      <c r="F1352" s="136" t="s">
        <v>9883</v>
      </c>
      <c r="G1352" s="136">
        <v>1349</v>
      </c>
      <c r="H1352" s="136" t="s">
        <v>752</v>
      </c>
      <c r="I1352" s="136" t="s">
        <v>753</v>
      </c>
      <c r="J1352" s="136" t="s">
        <v>9884</v>
      </c>
      <c r="L1352" s="136"/>
      <c r="M1352" s="136"/>
      <c r="N1352" s="136"/>
    </row>
    <row r="1353" spans="6:14">
      <c r="F1353" s="136" t="s">
        <v>9885</v>
      </c>
      <c r="G1353" s="136">
        <v>1350</v>
      </c>
      <c r="H1353" s="136" t="s">
        <v>9886</v>
      </c>
      <c r="I1353" s="136" t="s">
        <v>9887</v>
      </c>
      <c r="J1353" s="136" t="s">
        <v>9888</v>
      </c>
      <c r="L1353" s="136"/>
      <c r="M1353" s="136"/>
      <c r="N1353" s="136"/>
    </row>
    <row r="1354" spans="6:14">
      <c r="F1354" s="136" t="s">
        <v>9889</v>
      </c>
      <c r="G1354" s="136">
        <v>1351</v>
      </c>
      <c r="H1354" s="136" t="s">
        <v>9890</v>
      </c>
      <c r="I1354" s="136" t="s">
        <v>9891</v>
      </c>
      <c r="J1354" s="136" t="s">
        <v>9892</v>
      </c>
      <c r="L1354" s="136"/>
      <c r="M1354" s="136"/>
      <c r="N1354" s="136"/>
    </row>
    <row r="1355" spans="6:14">
      <c r="F1355" s="136" t="s">
        <v>9893</v>
      </c>
      <c r="G1355" s="136">
        <v>1352</v>
      </c>
      <c r="H1355" s="136" t="s">
        <v>5193</v>
      </c>
      <c r="I1355" s="136" t="s">
        <v>5194</v>
      </c>
      <c r="J1355" s="136" t="s">
        <v>9894</v>
      </c>
      <c r="L1355" s="136"/>
      <c r="M1355" s="136"/>
      <c r="N1355" s="136"/>
    </row>
    <row r="1356" spans="6:14">
      <c r="F1356" s="136" t="s">
        <v>9895</v>
      </c>
      <c r="G1356" s="136">
        <v>1353</v>
      </c>
      <c r="H1356" s="136" t="s">
        <v>506</v>
      </c>
      <c r="I1356" s="136" t="s">
        <v>507</v>
      </c>
      <c r="J1356" s="136" t="s">
        <v>9896</v>
      </c>
      <c r="L1356" s="136"/>
      <c r="M1356" s="136"/>
      <c r="N1356" s="136"/>
    </row>
    <row r="1357" spans="6:14">
      <c r="F1357" s="136" t="s">
        <v>9897</v>
      </c>
      <c r="G1357" s="136">
        <v>1354</v>
      </c>
      <c r="H1357" s="136" t="s">
        <v>9898</v>
      </c>
      <c r="I1357" s="136" t="s">
        <v>9898</v>
      </c>
      <c r="J1357" s="136" t="s">
        <v>9899</v>
      </c>
      <c r="L1357" s="136"/>
      <c r="M1357" s="136"/>
      <c r="N1357" s="136"/>
    </row>
    <row r="1358" spans="6:14">
      <c r="F1358" s="136" t="s">
        <v>9900</v>
      </c>
      <c r="G1358" s="136">
        <v>1355</v>
      </c>
      <c r="H1358" s="136" t="s">
        <v>4509</v>
      </c>
      <c r="I1358" s="136" t="s">
        <v>4510</v>
      </c>
      <c r="J1358" s="136" t="s">
        <v>9901</v>
      </c>
      <c r="L1358" s="136"/>
      <c r="M1358" s="136"/>
      <c r="N1358" s="136"/>
    </row>
    <row r="1359" spans="6:14">
      <c r="F1359" s="136" t="s">
        <v>9902</v>
      </c>
      <c r="G1359" s="136">
        <v>1356</v>
      </c>
      <c r="H1359" s="136" t="s">
        <v>9903</v>
      </c>
      <c r="I1359" s="136" t="s">
        <v>9904</v>
      </c>
      <c r="J1359" s="136" t="s">
        <v>9905</v>
      </c>
      <c r="L1359" s="136"/>
      <c r="M1359" s="136"/>
      <c r="N1359" s="136"/>
    </row>
    <row r="1360" spans="6:14">
      <c r="F1360" s="136" t="s">
        <v>9906</v>
      </c>
      <c r="G1360" s="136">
        <v>1357</v>
      </c>
      <c r="H1360" s="136" t="s">
        <v>9907</v>
      </c>
      <c r="I1360" s="136" t="s">
        <v>9908</v>
      </c>
      <c r="J1360" s="136" t="s">
        <v>9909</v>
      </c>
      <c r="L1360" s="136"/>
      <c r="M1360" s="136"/>
      <c r="N1360" s="136"/>
    </row>
    <row r="1361" spans="6:14">
      <c r="F1361" s="136" t="s">
        <v>9910</v>
      </c>
      <c r="G1361" s="136">
        <v>1358</v>
      </c>
      <c r="H1361" s="136" t="s">
        <v>1053</v>
      </c>
      <c r="I1361" s="136" t="s">
        <v>1054</v>
      </c>
      <c r="J1361" s="136" t="s">
        <v>9911</v>
      </c>
      <c r="L1361" s="136"/>
      <c r="M1361" s="136"/>
      <c r="N1361" s="136"/>
    </row>
    <row r="1362" spans="6:14">
      <c r="F1362" s="136" t="s">
        <v>9912</v>
      </c>
      <c r="G1362" s="136">
        <v>1359</v>
      </c>
      <c r="H1362" s="136" t="s">
        <v>5576</v>
      </c>
      <c r="I1362" s="136" t="s">
        <v>5577</v>
      </c>
      <c r="J1362" s="136" t="s">
        <v>9913</v>
      </c>
      <c r="L1362" s="136"/>
      <c r="M1362" s="136"/>
      <c r="N1362" s="136"/>
    </row>
    <row r="1363" spans="6:14">
      <c r="F1363" s="136" t="s">
        <v>9914</v>
      </c>
      <c r="G1363" s="136">
        <v>1360</v>
      </c>
      <c r="H1363" s="136" t="s">
        <v>3903</v>
      </c>
      <c r="I1363" s="136" t="s">
        <v>3904</v>
      </c>
      <c r="J1363" s="136" t="s">
        <v>9915</v>
      </c>
      <c r="L1363" s="136"/>
      <c r="M1363" s="136"/>
      <c r="N1363" s="136"/>
    </row>
    <row r="1364" spans="6:14">
      <c r="F1364" s="136" t="s">
        <v>9916</v>
      </c>
      <c r="G1364" s="136">
        <v>1361</v>
      </c>
      <c r="H1364" s="136" t="s">
        <v>6210</v>
      </c>
      <c r="I1364" s="136" t="s">
        <v>6211</v>
      </c>
      <c r="J1364" s="136" t="s">
        <v>9917</v>
      </c>
      <c r="L1364" s="136"/>
      <c r="M1364" s="136"/>
      <c r="N1364" s="136"/>
    </row>
    <row r="1365" spans="6:14">
      <c r="F1365" s="136" t="s">
        <v>9918</v>
      </c>
      <c r="G1365" s="136">
        <v>1362</v>
      </c>
      <c r="H1365" s="136" t="s">
        <v>273</v>
      </c>
      <c r="I1365" s="136" t="s">
        <v>274</v>
      </c>
      <c r="J1365" s="136" t="s">
        <v>9919</v>
      </c>
      <c r="L1365" s="136"/>
      <c r="M1365" s="136"/>
      <c r="N1365" s="136"/>
    </row>
    <row r="1366" spans="6:14">
      <c r="F1366" s="136" t="s">
        <v>9920</v>
      </c>
      <c r="G1366" s="136">
        <v>1363</v>
      </c>
      <c r="H1366" s="136" t="s">
        <v>1778</v>
      </c>
      <c r="I1366" s="136" t="s">
        <v>1779</v>
      </c>
      <c r="J1366" s="136" t="s">
        <v>9921</v>
      </c>
      <c r="L1366" s="136"/>
      <c r="M1366" s="136"/>
      <c r="N1366" s="136"/>
    </row>
    <row r="1367" spans="6:14">
      <c r="F1367" s="136" t="s">
        <v>9922</v>
      </c>
      <c r="G1367" s="136">
        <v>1364</v>
      </c>
      <c r="H1367" s="136" t="s">
        <v>3817</v>
      </c>
      <c r="I1367" s="136" t="s">
        <v>3818</v>
      </c>
      <c r="J1367" s="136" t="s">
        <v>9923</v>
      </c>
      <c r="L1367" s="136"/>
      <c r="M1367" s="136"/>
      <c r="N1367" s="136"/>
    </row>
    <row r="1368" spans="6:14">
      <c r="F1368" s="136" t="s">
        <v>9924</v>
      </c>
      <c r="G1368" s="136">
        <v>1365</v>
      </c>
      <c r="H1368" s="136" t="s">
        <v>4776</v>
      </c>
      <c r="I1368" s="136" t="s">
        <v>4777</v>
      </c>
      <c r="J1368" s="136" t="s">
        <v>9925</v>
      </c>
      <c r="L1368" s="136"/>
      <c r="M1368" s="136"/>
      <c r="N1368" s="136"/>
    </row>
    <row r="1369" spans="6:14">
      <c r="F1369" s="136" t="s">
        <v>9926</v>
      </c>
      <c r="G1369" s="136">
        <v>1366</v>
      </c>
      <c r="H1369" s="136" t="s">
        <v>4101</v>
      </c>
      <c r="I1369" s="136" t="s">
        <v>4102</v>
      </c>
      <c r="J1369" s="136" t="s">
        <v>9927</v>
      </c>
      <c r="L1369" s="136"/>
      <c r="M1369" s="136"/>
      <c r="N1369" s="136"/>
    </row>
    <row r="1370" spans="6:14">
      <c r="F1370" s="136" t="s">
        <v>9928</v>
      </c>
      <c r="G1370" s="136">
        <v>1367</v>
      </c>
      <c r="H1370" s="136" t="s">
        <v>9929</v>
      </c>
      <c r="I1370" s="136" t="s">
        <v>9929</v>
      </c>
      <c r="J1370" s="136" t="s">
        <v>9930</v>
      </c>
      <c r="L1370" s="136"/>
      <c r="M1370" s="136"/>
      <c r="N1370" s="136"/>
    </row>
    <row r="1371" spans="6:14">
      <c r="F1371" s="136" t="s">
        <v>9931</v>
      </c>
      <c r="G1371" s="136">
        <v>1368</v>
      </c>
      <c r="H1371" s="136" t="s">
        <v>413</v>
      </c>
      <c r="I1371" s="136" t="s">
        <v>414</v>
      </c>
      <c r="J1371" s="136" t="s">
        <v>9932</v>
      </c>
      <c r="L1371" s="136"/>
      <c r="M1371" s="136"/>
      <c r="N1371" s="136"/>
    </row>
    <row r="1372" spans="6:14">
      <c r="F1372" s="136" t="s">
        <v>9933</v>
      </c>
      <c r="G1372" s="136">
        <v>1369</v>
      </c>
      <c r="H1372" s="136" t="s">
        <v>465</v>
      </c>
      <c r="I1372" s="136" t="s">
        <v>466</v>
      </c>
      <c r="J1372" s="136" t="s">
        <v>9934</v>
      </c>
      <c r="L1372" s="136"/>
      <c r="M1372" s="136"/>
      <c r="N1372" s="136"/>
    </row>
    <row r="1373" spans="6:14">
      <c r="F1373" s="136" t="s">
        <v>9935</v>
      </c>
      <c r="G1373" s="136">
        <v>1370</v>
      </c>
      <c r="H1373" s="136" t="s">
        <v>961</v>
      </c>
      <c r="I1373" s="136" t="s">
        <v>962</v>
      </c>
      <c r="J1373" s="136" t="s">
        <v>9936</v>
      </c>
      <c r="L1373" s="136"/>
      <c r="M1373" s="136"/>
      <c r="N1373" s="136"/>
    </row>
    <row r="1374" spans="6:14">
      <c r="F1374" s="136" t="s">
        <v>9937</v>
      </c>
      <c r="G1374" s="136">
        <v>1371</v>
      </c>
      <c r="H1374" s="136" t="s">
        <v>1548</v>
      </c>
      <c r="I1374" s="136" t="s">
        <v>1549</v>
      </c>
      <c r="J1374" s="136" t="s">
        <v>9938</v>
      </c>
      <c r="L1374" s="136"/>
      <c r="M1374" s="136"/>
      <c r="N1374" s="136"/>
    </row>
    <row r="1375" spans="6:14">
      <c r="F1375" s="136" t="s">
        <v>9939</v>
      </c>
      <c r="G1375" s="136">
        <v>1372</v>
      </c>
      <c r="H1375" s="136" t="s">
        <v>1559</v>
      </c>
      <c r="I1375" s="136" t="s">
        <v>1560</v>
      </c>
      <c r="J1375" s="136" t="s">
        <v>9940</v>
      </c>
      <c r="L1375" s="136"/>
      <c r="M1375" s="136"/>
      <c r="N1375" s="136"/>
    </row>
    <row r="1376" spans="6:14">
      <c r="F1376" s="136" t="s">
        <v>9941</v>
      </c>
      <c r="G1376" s="136">
        <v>1373</v>
      </c>
      <c r="H1376" s="136" t="s">
        <v>1663</v>
      </c>
      <c r="I1376" s="136" t="s">
        <v>1664</v>
      </c>
      <c r="J1376" s="136" t="s">
        <v>9942</v>
      </c>
      <c r="L1376" s="136"/>
      <c r="M1376" s="136"/>
      <c r="N1376" s="136"/>
    </row>
    <row r="1377" spans="6:14">
      <c r="F1377" s="136" t="s">
        <v>9943</v>
      </c>
      <c r="G1377" s="136">
        <v>1374</v>
      </c>
      <c r="H1377" s="136" t="s">
        <v>1675</v>
      </c>
      <c r="I1377" s="136" t="s">
        <v>1676</v>
      </c>
      <c r="J1377" s="136" t="s">
        <v>9944</v>
      </c>
      <c r="L1377" s="136"/>
      <c r="M1377" s="136"/>
      <c r="N1377" s="136"/>
    </row>
    <row r="1378" spans="6:14">
      <c r="F1378" s="136" t="s">
        <v>9945</v>
      </c>
      <c r="G1378" s="136">
        <v>1375</v>
      </c>
      <c r="H1378" s="136" t="s">
        <v>3447</v>
      </c>
      <c r="I1378" s="136" t="s">
        <v>3448</v>
      </c>
      <c r="J1378" s="136" t="s">
        <v>9946</v>
      </c>
      <c r="L1378" s="136"/>
      <c r="M1378" s="136"/>
      <c r="N1378" s="136"/>
    </row>
    <row r="1379" spans="6:14">
      <c r="F1379" s="136" t="s">
        <v>9947</v>
      </c>
      <c r="G1379" s="136">
        <v>1376</v>
      </c>
      <c r="H1379" s="136" t="s">
        <v>9948</v>
      </c>
      <c r="I1379" s="136" t="s">
        <v>9949</v>
      </c>
      <c r="J1379" s="136" t="s">
        <v>9950</v>
      </c>
      <c r="L1379" s="136"/>
      <c r="M1379" s="136"/>
      <c r="N1379" s="136"/>
    </row>
    <row r="1380" spans="6:14">
      <c r="F1380" s="136" t="s">
        <v>9951</v>
      </c>
      <c r="G1380" s="136">
        <v>1377</v>
      </c>
      <c r="H1380" s="136" t="s">
        <v>1715</v>
      </c>
      <c r="I1380" s="136" t="s">
        <v>1716</v>
      </c>
      <c r="J1380" s="136" t="s">
        <v>9952</v>
      </c>
      <c r="L1380" s="136"/>
      <c r="M1380" s="136"/>
      <c r="N1380" s="136"/>
    </row>
    <row r="1381" spans="6:14">
      <c r="F1381" s="136" t="s">
        <v>9953</v>
      </c>
      <c r="G1381" s="136">
        <v>1378</v>
      </c>
      <c r="H1381" s="136" t="s">
        <v>1991</v>
      </c>
      <c r="I1381" s="136" t="s">
        <v>1992</v>
      </c>
      <c r="J1381" s="136" t="s">
        <v>9954</v>
      </c>
      <c r="L1381" s="136"/>
      <c r="M1381" s="136"/>
      <c r="N1381" s="136"/>
    </row>
    <row r="1382" spans="6:14">
      <c r="F1382" s="136" t="s">
        <v>9955</v>
      </c>
      <c r="G1382" s="136">
        <v>1379</v>
      </c>
      <c r="H1382" s="136" t="s">
        <v>2053</v>
      </c>
      <c r="I1382" s="136" t="s">
        <v>2054</v>
      </c>
      <c r="J1382" s="136" t="s">
        <v>9956</v>
      </c>
      <c r="L1382" s="136"/>
      <c r="M1382" s="136"/>
      <c r="N1382" s="136"/>
    </row>
    <row r="1383" spans="6:14">
      <c r="F1383" s="136" t="s">
        <v>9957</v>
      </c>
      <c r="G1383" s="136">
        <v>1380</v>
      </c>
      <c r="H1383" s="136" t="s">
        <v>2145</v>
      </c>
      <c r="I1383" s="136" t="s">
        <v>2146</v>
      </c>
      <c r="J1383" s="136" t="s">
        <v>9958</v>
      </c>
      <c r="L1383" s="136"/>
      <c r="M1383" s="136"/>
      <c r="N1383" s="136"/>
    </row>
    <row r="1384" spans="6:14">
      <c r="F1384" s="136" t="s">
        <v>9959</v>
      </c>
      <c r="G1384" s="136">
        <v>1381</v>
      </c>
      <c r="H1384" s="136" t="s">
        <v>2306</v>
      </c>
      <c r="I1384" s="136" t="s">
        <v>2307</v>
      </c>
      <c r="J1384" s="136" t="s">
        <v>9960</v>
      </c>
      <c r="L1384" s="136"/>
      <c r="M1384" s="136"/>
      <c r="N1384" s="136"/>
    </row>
    <row r="1385" spans="6:14">
      <c r="F1385" s="136" t="s">
        <v>9961</v>
      </c>
      <c r="G1385" s="136">
        <v>1382</v>
      </c>
      <c r="H1385" s="136" t="s">
        <v>2541</v>
      </c>
      <c r="I1385" s="136" t="s">
        <v>2542</v>
      </c>
      <c r="J1385" s="136" t="s">
        <v>9962</v>
      </c>
      <c r="L1385" s="136"/>
      <c r="M1385" s="136"/>
      <c r="N1385" s="136"/>
    </row>
    <row r="1386" spans="6:14">
      <c r="F1386" s="136" t="s">
        <v>9963</v>
      </c>
      <c r="G1386" s="136">
        <v>1383</v>
      </c>
      <c r="H1386" s="136" t="s">
        <v>2994</v>
      </c>
      <c r="I1386" s="136" t="s">
        <v>2995</v>
      </c>
      <c r="J1386" s="136" t="s">
        <v>9964</v>
      </c>
      <c r="L1386" s="136"/>
      <c r="M1386" s="136"/>
      <c r="N1386" s="136"/>
    </row>
    <row r="1387" spans="6:14">
      <c r="F1387" s="136" t="s">
        <v>9965</v>
      </c>
      <c r="G1387" s="136">
        <v>1384</v>
      </c>
      <c r="H1387" s="136" t="s">
        <v>3063</v>
      </c>
      <c r="I1387" s="136" t="s">
        <v>3064</v>
      </c>
      <c r="J1387" s="136" t="s">
        <v>9966</v>
      </c>
      <c r="L1387" s="136"/>
      <c r="M1387" s="136"/>
      <c r="N1387" s="136"/>
    </row>
    <row r="1388" spans="6:14">
      <c r="F1388" s="136" t="s">
        <v>9967</v>
      </c>
      <c r="G1388" s="136">
        <v>1385</v>
      </c>
      <c r="H1388" s="136" t="s">
        <v>9968</v>
      </c>
      <c r="I1388" s="136" t="s">
        <v>9969</v>
      </c>
      <c r="J1388" s="136" t="s">
        <v>9970</v>
      </c>
      <c r="L1388" s="136"/>
      <c r="M1388" s="136"/>
      <c r="N1388" s="136"/>
    </row>
    <row r="1389" spans="6:14">
      <c r="F1389" s="136" t="s">
        <v>9971</v>
      </c>
      <c r="G1389" s="136">
        <v>1386</v>
      </c>
      <c r="H1389" s="136" t="s">
        <v>3158</v>
      </c>
      <c r="I1389" s="136" t="s">
        <v>3159</v>
      </c>
      <c r="J1389" s="136" t="s">
        <v>9972</v>
      </c>
      <c r="L1389" s="136"/>
      <c r="M1389" s="136"/>
      <c r="N1389" s="136"/>
    </row>
    <row r="1390" spans="6:14">
      <c r="F1390" s="136" t="s">
        <v>9973</v>
      </c>
      <c r="G1390" s="136">
        <v>1387</v>
      </c>
      <c r="H1390" s="136" t="s">
        <v>3162</v>
      </c>
      <c r="I1390" s="136" t="s">
        <v>3163</v>
      </c>
      <c r="J1390" s="136" t="s">
        <v>9974</v>
      </c>
      <c r="L1390" s="136"/>
      <c r="M1390" s="136"/>
      <c r="N1390" s="136"/>
    </row>
    <row r="1391" spans="6:14">
      <c r="F1391" s="136" t="s">
        <v>9975</v>
      </c>
      <c r="G1391" s="136">
        <v>1388</v>
      </c>
      <c r="H1391" s="136" t="s">
        <v>3169</v>
      </c>
      <c r="I1391" s="136" t="s">
        <v>3170</v>
      </c>
      <c r="J1391" s="136" t="s">
        <v>9976</v>
      </c>
      <c r="L1391" s="136"/>
      <c r="M1391" s="136"/>
      <c r="N1391" s="136"/>
    </row>
    <row r="1392" spans="6:14">
      <c r="F1392" s="136" t="s">
        <v>9977</v>
      </c>
      <c r="G1392" s="136">
        <v>1389</v>
      </c>
      <c r="H1392" s="136" t="s">
        <v>3708</v>
      </c>
      <c r="I1392" s="136" t="s">
        <v>3709</v>
      </c>
      <c r="J1392" s="136" t="s">
        <v>9978</v>
      </c>
      <c r="L1392" s="136"/>
      <c r="M1392" s="136"/>
      <c r="N1392" s="136"/>
    </row>
    <row r="1393" spans="6:14">
      <c r="F1393" s="136" t="s">
        <v>9979</v>
      </c>
      <c r="G1393" s="136">
        <v>1390</v>
      </c>
      <c r="H1393" s="136" t="s">
        <v>3974</v>
      </c>
      <c r="I1393" s="136" t="s">
        <v>3975</v>
      </c>
      <c r="J1393" s="136" t="s">
        <v>9980</v>
      </c>
      <c r="L1393" s="136"/>
      <c r="M1393" s="136"/>
      <c r="N1393" s="136"/>
    </row>
    <row r="1394" spans="6:14">
      <c r="F1394" s="136" t="s">
        <v>9981</v>
      </c>
      <c r="G1394" s="136">
        <v>1391</v>
      </c>
      <c r="H1394" s="136" t="s">
        <v>4029</v>
      </c>
      <c r="I1394" s="136" t="s">
        <v>4030</v>
      </c>
      <c r="J1394" s="136" t="s">
        <v>9982</v>
      </c>
      <c r="L1394" s="136"/>
      <c r="M1394" s="136"/>
      <c r="N1394" s="136"/>
    </row>
    <row r="1395" spans="6:14">
      <c r="F1395" s="136" t="s">
        <v>9983</v>
      </c>
      <c r="G1395" s="136">
        <v>1392</v>
      </c>
      <c r="H1395" s="136" t="s">
        <v>4063</v>
      </c>
      <c r="I1395" s="136" t="s">
        <v>4064</v>
      </c>
      <c r="J1395" s="136" t="s">
        <v>9984</v>
      </c>
      <c r="L1395" s="136"/>
      <c r="M1395" s="136"/>
      <c r="N1395" s="136"/>
    </row>
    <row r="1396" spans="6:14">
      <c r="F1396" s="136" t="s">
        <v>9985</v>
      </c>
      <c r="G1396" s="136">
        <v>1393</v>
      </c>
      <c r="H1396" s="136" t="s">
        <v>4087</v>
      </c>
      <c r="I1396" s="136" t="s">
        <v>4088</v>
      </c>
      <c r="J1396" s="136" t="s">
        <v>9986</v>
      </c>
      <c r="L1396" s="136"/>
      <c r="M1396" s="136"/>
      <c r="N1396" s="136"/>
    </row>
    <row r="1397" spans="6:14">
      <c r="F1397" s="136" t="s">
        <v>9987</v>
      </c>
      <c r="G1397" s="136">
        <v>1394</v>
      </c>
      <c r="H1397" s="136" t="s">
        <v>9988</v>
      </c>
      <c r="I1397" s="136" t="s">
        <v>9989</v>
      </c>
      <c r="J1397" s="136" t="s">
        <v>9990</v>
      </c>
      <c r="L1397" s="136"/>
      <c r="M1397" s="136"/>
      <c r="N1397" s="136"/>
    </row>
    <row r="1398" spans="6:14">
      <c r="F1398" s="136" t="s">
        <v>9991</v>
      </c>
      <c r="G1398" s="136">
        <v>1395</v>
      </c>
      <c r="H1398" s="136" t="s">
        <v>4139</v>
      </c>
      <c r="I1398" s="136" t="s">
        <v>4140</v>
      </c>
      <c r="J1398" s="136" t="s">
        <v>9992</v>
      </c>
      <c r="L1398" s="136"/>
      <c r="M1398" s="136"/>
      <c r="N1398" s="136"/>
    </row>
    <row r="1399" spans="6:14">
      <c r="F1399" s="136" t="s">
        <v>9993</v>
      </c>
      <c r="G1399" s="136">
        <v>1396</v>
      </c>
      <c r="H1399" s="136" t="s">
        <v>4387</v>
      </c>
      <c r="I1399" s="136" t="s">
        <v>4388</v>
      </c>
      <c r="J1399" s="136" t="s">
        <v>9994</v>
      </c>
      <c r="L1399" s="136"/>
      <c r="M1399" s="136"/>
      <c r="N1399" s="136"/>
    </row>
    <row r="1400" spans="6:14">
      <c r="F1400" s="136" t="s">
        <v>9995</v>
      </c>
      <c r="G1400" s="136">
        <v>1397</v>
      </c>
      <c r="H1400" s="136" t="s">
        <v>4408</v>
      </c>
      <c r="I1400" s="136" t="s">
        <v>4409</v>
      </c>
      <c r="J1400" s="136" t="s">
        <v>9996</v>
      </c>
      <c r="L1400" s="136"/>
      <c r="M1400" s="136"/>
      <c r="N1400" s="136"/>
    </row>
    <row r="1401" spans="6:14">
      <c r="F1401" s="136" t="s">
        <v>9997</v>
      </c>
      <c r="G1401" s="136">
        <v>1398</v>
      </c>
      <c r="H1401" s="136" t="s">
        <v>4639</v>
      </c>
      <c r="I1401" s="136" t="s">
        <v>4640</v>
      </c>
      <c r="J1401" s="136" t="s">
        <v>9998</v>
      </c>
      <c r="L1401" s="136"/>
      <c r="M1401" s="136"/>
      <c r="N1401" s="136"/>
    </row>
    <row r="1402" spans="6:14">
      <c r="F1402" s="136" t="s">
        <v>9999</v>
      </c>
      <c r="G1402" s="136">
        <v>1399</v>
      </c>
      <c r="H1402" s="136" t="s">
        <v>5143</v>
      </c>
      <c r="I1402" s="136" t="s">
        <v>5144</v>
      </c>
      <c r="J1402" s="136" t="s">
        <v>10000</v>
      </c>
      <c r="L1402" s="136"/>
      <c r="M1402" s="136"/>
      <c r="N1402" s="136"/>
    </row>
    <row r="1403" spans="6:14">
      <c r="F1403" s="136" t="s">
        <v>10001</v>
      </c>
      <c r="G1403" s="136">
        <v>1400</v>
      </c>
      <c r="H1403" s="136" t="s">
        <v>10002</v>
      </c>
      <c r="I1403" s="136" t="s">
        <v>10003</v>
      </c>
      <c r="J1403" s="136" t="s">
        <v>10004</v>
      </c>
      <c r="L1403" s="136"/>
      <c r="M1403" s="136"/>
      <c r="N1403" s="136"/>
    </row>
    <row r="1404" spans="6:14">
      <c r="F1404" s="136" t="s">
        <v>10005</v>
      </c>
      <c r="G1404" s="136">
        <v>1401</v>
      </c>
      <c r="H1404" s="136" t="s">
        <v>5201</v>
      </c>
      <c r="I1404" s="136" t="s">
        <v>5202</v>
      </c>
      <c r="J1404" s="136" t="s">
        <v>10006</v>
      </c>
      <c r="L1404" s="136"/>
      <c r="M1404" s="136"/>
      <c r="N1404" s="136"/>
    </row>
    <row r="1405" spans="6:14">
      <c r="F1405" s="136" t="s">
        <v>10007</v>
      </c>
      <c r="G1405" s="136">
        <v>1402</v>
      </c>
      <c r="H1405" s="136" t="s">
        <v>5221</v>
      </c>
      <c r="I1405" s="136" t="s">
        <v>5222</v>
      </c>
      <c r="J1405" s="136" t="s">
        <v>10008</v>
      </c>
      <c r="L1405" s="136"/>
      <c r="M1405" s="136"/>
      <c r="N1405" s="136"/>
    </row>
    <row r="1406" spans="6:14">
      <c r="F1406" s="136" t="s">
        <v>10009</v>
      </c>
      <c r="G1406" s="136">
        <v>1403</v>
      </c>
      <c r="H1406" s="136" t="s">
        <v>5271</v>
      </c>
      <c r="I1406" s="136" t="s">
        <v>5272</v>
      </c>
      <c r="J1406" s="136" t="s">
        <v>10010</v>
      </c>
      <c r="L1406" s="136"/>
      <c r="M1406" s="136"/>
      <c r="N1406" s="136"/>
    </row>
    <row r="1407" spans="6:14">
      <c r="F1407" s="136" t="s">
        <v>10011</v>
      </c>
      <c r="G1407" s="136">
        <v>1404</v>
      </c>
      <c r="H1407" s="136" t="s">
        <v>5339</v>
      </c>
      <c r="I1407" s="136" t="s">
        <v>5340</v>
      </c>
      <c r="J1407" s="136" t="s">
        <v>10012</v>
      </c>
      <c r="L1407" s="136"/>
      <c r="M1407" s="136"/>
      <c r="N1407" s="136"/>
    </row>
    <row r="1408" spans="6:14">
      <c r="F1408" s="136" t="s">
        <v>10013</v>
      </c>
      <c r="G1408" s="136">
        <v>1405</v>
      </c>
      <c r="H1408" s="136" t="s">
        <v>5390</v>
      </c>
      <c r="I1408" s="136" t="s">
        <v>5391</v>
      </c>
      <c r="J1408" s="136" t="s">
        <v>10014</v>
      </c>
      <c r="L1408" s="136"/>
      <c r="M1408" s="136"/>
      <c r="N1408" s="136"/>
    </row>
    <row r="1409" spans="6:14">
      <c r="F1409" s="136" t="s">
        <v>10015</v>
      </c>
      <c r="G1409" s="136">
        <v>1406</v>
      </c>
      <c r="H1409" s="136" t="s">
        <v>5418</v>
      </c>
      <c r="I1409" s="136" t="s">
        <v>5419</v>
      </c>
      <c r="J1409" s="136" t="s">
        <v>10016</v>
      </c>
      <c r="L1409" s="136"/>
      <c r="M1409" s="136"/>
      <c r="N1409" s="136"/>
    </row>
    <row r="1410" spans="6:14">
      <c r="F1410" s="136" t="s">
        <v>10017</v>
      </c>
      <c r="G1410" s="136">
        <v>1407</v>
      </c>
      <c r="H1410" s="136" t="s">
        <v>5862</v>
      </c>
      <c r="I1410" s="136" t="s">
        <v>5863</v>
      </c>
      <c r="J1410" s="136" t="s">
        <v>10018</v>
      </c>
      <c r="L1410" s="136"/>
      <c r="M1410" s="136"/>
      <c r="N1410" s="136"/>
    </row>
    <row r="1411" spans="6:14">
      <c r="F1411" s="136" t="s">
        <v>10019</v>
      </c>
      <c r="G1411" s="136">
        <v>1408</v>
      </c>
      <c r="H1411" s="136" t="s">
        <v>6100</v>
      </c>
      <c r="I1411" s="136" t="s">
        <v>6101</v>
      </c>
      <c r="J1411" s="136" t="s">
        <v>10020</v>
      </c>
      <c r="L1411" s="136"/>
      <c r="M1411" s="136"/>
      <c r="N1411" s="136"/>
    </row>
    <row r="1412" spans="6:14">
      <c r="F1412" s="136" t="s">
        <v>10021</v>
      </c>
      <c r="G1412" s="136">
        <v>1409</v>
      </c>
      <c r="H1412" s="136" t="s">
        <v>6172</v>
      </c>
      <c r="I1412" s="136" t="s">
        <v>6173</v>
      </c>
      <c r="J1412" s="136" t="s">
        <v>10022</v>
      </c>
      <c r="L1412" s="136"/>
      <c r="M1412" s="136"/>
      <c r="N1412" s="136"/>
    </row>
    <row r="1413" spans="6:14">
      <c r="F1413" s="136" t="s">
        <v>10023</v>
      </c>
      <c r="G1413" s="136">
        <v>1410</v>
      </c>
      <c r="H1413" s="136" t="s">
        <v>4250</v>
      </c>
      <c r="I1413" s="136" t="s">
        <v>4251</v>
      </c>
      <c r="J1413" s="136" t="s">
        <v>10024</v>
      </c>
      <c r="L1413" s="136"/>
      <c r="M1413" s="136"/>
      <c r="N1413" s="136"/>
    </row>
    <row r="1414" spans="6:14">
      <c r="F1414" s="136" t="s">
        <v>10025</v>
      </c>
      <c r="G1414" s="136">
        <v>1411</v>
      </c>
      <c r="H1414" s="136" t="s">
        <v>10026</v>
      </c>
      <c r="I1414" s="136" t="s">
        <v>10027</v>
      </c>
      <c r="J1414" s="136" t="s">
        <v>10028</v>
      </c>
      <c r="L1414" s="136"/>
      <c r="M1414" s="136"/>
      <c r="N1414" s="136"/>
    </row>
    <row r="1415" spans="6:14">
      <c r="F1415" s="136" t="s">
        <v>10029</v>
      </c>
      <c r="G1415" s="136">
        <v>1412</v>
      </c>
      <c r="H1415" s="136" t="s">
        <v>4439</v>
      </c>
      <c r="I1415" s="136" t="s">
        <v>4440</v>
      </c>
      <c r="J1415" s="136" t="s">
        <v>10030</v>
      </c>
      <c r="L1415" s="136"/>
      <c r="M1415" s="136"/>
      <c r="N1415" s="136"/>
    </row>
    <row r="1416" spans="6:14">
      <c r="F1416" s="136" t="s">
        <v>10031</v>
      </c>
      <c r="G1416" s="136">
        <v>1413</v>
      </c>
      <c r="H1416" s="136" t="s">
        <v>5337</v>
      </c>
      <c r="I1416" s="136" t="s">
        <v>5338</v>
      </c>
      <c r="J1416" s="136" t="s">
        <v>10032</v>
      </c>
      <c r="L1416" s="136"/>
      <c r="M1416" s="136"/>
      <c r="N1416" s="136"/>
    </row>
    <row r="1417" spans="6:14">
      <c r="F1417" s="136" t="s">
        <v>10033</v>
      </c>
      <c r="G1417" s="136">
        <v>1414</v>
      </c>
      <c r="H1417" s="136" t="s">
        <v>508</v>
      </c>
      <c r="I1417" s="136" t="s">
        <v>509</v>
      </c>
      <c r="J1417" s="136" t="s">
        <v>10034</v>
      </c>
      <c r="L1417" s="136"/>
      <c r="M1417" s="136"/>
      <c r="N1417" s="136"/>
    </row>
    <row r="1418" spans="6:14">
      <c r="F1418" s="136" t="s">
        <v>10035</v>
      </c>
      <c r="G1418" s="136">
        <v>1415</v>
      </c>
      <c r="H1418" s="136" t="s">
        <v>3527</v>
      </c>
      <c r="I1418" s="136" t="s">
        <v>3528</v>
      </c>
      <c r="J1418" s="136" t="s">
        <v>10036</v>
      </c>
      <c r="L1418" s="136"/>
      <c r="M1418" s="136"/>
      <c r="N1418" s="136"/>
    </row>
    <row r="1419" spans="6:14">
      <c r="F1419" s="136" t="s">
        <v>10037</v>
      </c>
      <c r="G1419" s="136">
        <v>1416</v>
      </c>
      <c r="H1419" s="136" t="s">
        <v>10038</v>
      </c>
      <c r="I1419" s="136" t="s">
        <v>10039</v>
      </c>
      <c r="J1419" s="136" t="s">
        <v>10040</v>
      </c>
      <c r="L1419" s="136"/>
      <c r="M1419" s="136"/>
      <c r="N1419" s="136"/>
    </row>
    <row r="1420" spans="6:14">
      <c r="F1420" s="136" t="s">
        <v>10041</v>
      </c>
      <c r="G1420" s="136">
        <v>1417</v>
      </c>
      <c r="H1420" s="136" t="s">
        <v>548</v>
      </c>
      <c r="I1420" s="136" t="s">
        <v>571</v>
      </c>
      <c r="J1420" s="136" t="s">
        <v>10042</v>
      </c>
      <c r="L1420" s="136"/>
      <c r="M1420" s="136"/>
      <c r="N1420" s="136"/>
    </row>
    <row r="1421" spans="6:14">
      <c r="F1421" s="136" t="s">
        <v>10043</v>
      </c>
      <c r="G1421" s="136">
        <v>1418</v>
      </c>
      <c r="H1421" s="136" t="s">
        <v>3875</v>
      </c>
      <c r="I1421" s="136" t="s">
        <v>3876</v>
      </c>
      <c r="J1421" s="136" t="s">
        <v>10044</v>
      </c>
      <c r="L1421" s="136"/>
      <c r="M1421" s="136"/>
      <c r="N1421" s="136"/>
    </row>
    <row r="1422" spans="6:14">
      <c r="F1422" s="136" t="s">
        <v>10045</v>
      </c>
      <c r="G1422" s="136">
        <v>1419</v>
      </c>
      <c r="H1422" s="136" t="s">
        <v>5581</v>
      </c>
      <c r="I1422" s="136" t="s">
        <v>5582</v>
      </c>
      <c r="J1422" s="136" t="s">
        <v>10046</v>
      </c>
      <c r="L1422" s="136"/>
      <c r="M1422" s="136"/>
      <c r="N1422" s="136"/>
    </row>
    <row r="1423" spans="6:14">
      <c r="F1423" s="136" t="s">
        <v>10047</v>
      </c>
      <c r="G1423" s="136">
        <v>1420</v>
      </c>
      <c r="H1423" s="136" t="s">
        <v>3166</v>
      </c>
      <c r="I1423" s="136" t="s">
        <v>146</v>
      </c>
      <c r="J1423" s="136" t="s">
        <v>10048</v>
      </c>
      <c r="L1423" s="136"/>
      <c r="M1423" s="136"/>
      <c r="N1423" s="136"/>
    </row>
    <row r="1424" spans="6:14">
      <c r="F1424" s="136" t="s">
        <v>10049</v>
      </c>
      <c r="G1424" s="136">
        <v>1421</v>
      </c>
      <c r="H1424" s="136" t="s">
        <v>2291</v>
      </c>
      <c r="I1424" s="136" t="s">
        <v>2292</v>
      </c>
      <c r="J1424" s="136" t="s">
        <v>10050</v>
      </c>
      <c r="L1424" s="136"/>
      <c r="M1424" s="136"/>
      <c r="N1424" s="136"/>
    </row>
    <row r="1425" spans="6:14">
      <c r="F1425" s="136" t="s">
        <v>10051</v>
      </c>
      <c r="G1425" s="136">
        <v>1422</v>
      </c>
      <c r="H1425" s="136" t="s">
        <v>832</v>
      </c>
      <c r="I1425" s="136" t="s">
        <v>834</v>
      </c>
      <c r="J1425" s="136" t="s">
        <v>10052</v>
      </c>
      <c r="L1425" s="136"/>
      <c r="M1425" s="136"/>
      <c r="N1425" s="136"/>
    </row>
    <row r="1426" spans="6:14">
      <c r="F1426" s="136" t="s">
        <v>10053</v>
      </c>
      <c r="G1426" s="136">
        <v>1423</v>
      </c>
      <c r="H1426" s="136" t="s">
        <v>10054</v>
      </c>
      <c r="I1426" s="136" t="s">
        <v>10055</v>
      </c>
      <c r="J1426" s="136" t="s">
        <v>10056</v>
      </c>
      <c r="L1426" s="136"/>
      <c r="M1426" s="136"/>
      <c r="N1426" s="136"/>
    </row>
    <row r="1427" spans="6:14">
      <c r="F1427" s="136" t="s">
        <v>10057</v>
      </c>
      <c r="G1427" s="136">
        <v>1424</v>
      </c>
      <c r="H1427" s="136" t="s">
        <v>908</v>
      </c>
      <c r="I1427" s="136" t="s">
        <v>909</v>
      </c>
      <c r="J1427" s="136" t="s">
        <v>10058</v>
      </c>
      <c r="L1427" s="136"/>
      <c r="M1427" s="136"/>
      <c r="N1427" s="136"/>
    </row>
    <row r="1428" spans="6:14">
      <c r="F1428" s="136" t="s">
        <v>10059</v>
      </c>
      <c r="G1428" s="136">
        <v>1425</v>
      </c>
      <c r="H1428" s="136" t="s">
        <v>2788</v>
      </c>
      <c r="I1428" s="136" t="s">
        <v>2789</v>
      </c>
      <c r="J1428" s="136" t="s">
        <v>10060</v>
      </c>
      <c r="L1428" s="136"/>
      <c r="M1428" s="136"/>
      <c r="N1428" s="136"/>
    </row>
    <row r="1429" spans="6:14">
      <c r="F1429" s="136" t="s">
        <v>10061</v>
      </c>
      <c r="G1429" s="136">
        <v>1426</v>
      </c>
      <c r="H1429" s="136" t="s">
        <v>4286</v>
      </c>
      <c r="I1429" s="136" t="s">
        <v>4287</v>
      </c>
      <c r="J1429" s="136" t="s">
        <v>10062</v>
      </c>
      <c r="L1429" s="136"/>
      <c r="M1429" s="136"/>
      <c r="N1429" s="136"/>
    </row>
    <row r="1430" spans="6:14">
      <c r="F1430" s="136" t="s">
        <v>10063</v>
      </c>
      <c r="G1430" s="136">
        <v>1427</v>
      </c>
      <c r="H1430" s="136" t="s">
        <v>10064</v>
      </c>
      <c r="I1430" s="136" t="s">
        <v>10065</v>
      </c>
      <c r="J1430" s="136" t="s">
        <v>10066</v>
      </c>
      <c r="L1430" s="136"/>
      <c r="M1430" s="136"/>
      <c r="N1430" s="136"/>
    </row>
    <row r="1431" spans="6:14">
      <c r="F1431" s="136" t="s">
        <v>10067</v>
      </c>
      <c r="G1431" s="136">
        <v>1428</v>
      </c>
      <c r="H1431" s="136" t="s">
        <v>10068</v>
      </c>
      <c r="I1431" s="136" t="s">
        <v>10069</v>
      </c>
      <c r="J1431" s="136" t="s">
        <v>10070</v>
      </c>
      <c r="L1431" s="136"/>
      <c r="M1431" s="136"/>
      <c r="N1431" s="136"/>
    </row>
    <row r="1432" spans="6:14">
      <c r="F1432" s="136" t="s">
        <v>10071</v>
      </c>
      <c r="G1432" s="136">
        <v>1429</v>
      </c>
      <c r="H1432" s="136" t="s">
        <v>173</v>
      </c>
      <c r="I1432" s="136" t="s">
        <v>174</v>
      </c>
      <c r="J1432" s="136" t="s">
        <v>10072</v>
      </c>
      <c r="L1432" s="136"/>
      <c r="M1432" s="136"/>
      <c r="N1432" s="136"/>
    </row>
    <row r="1433" spans="6:14">
      <c r="F1433" s="136" t="s">
        <v>10073</v>
      </c>
      <c r="G1433" s="136">
        <v>1430</v>
      </c>
      <c r="H1433" s="136" t="s">
        <v>10074</v>
      </c>
      <c r="I1433" s="136" t="s">
        <v>10075</v>
      </c>
      <c r="J1433" s="136" t="s">
        <v>10076</v>
      </c>
      <c r="L1433" s="136"/>
      <c r="M1433" s="136"/>
      <c r="N1433" s="136"/>
    </row>
    <row r="1434" spans="6:14">
      <c r="F1434" s="136" t="s">
        <v>10077</v>
      </c>
      <c r="G1434" s="136">
        <v>1431</v>
      </c>
      <c r="H1434" s="136" t="s">
        <v>6208</v>
      </c>
      <c r="I1434" s="136" t="s">
        <v>6209</v>
      </c>
      <c r="J1434" s="136" t="s">
        <v>10078</v>
      </c>
      <c r="L1434" s="136"/>
      <c r="M1434" s="136"/>
      <c r="N1434" s="136"/>
    </row>
    <row r="1435" spans="6:14">
      <c r="F1435" s="136" t="s">
        <v>10079</v>
      </c>
      <c r="G1435" s="136">
        <v>1432</v>
      </c>
      <c r="H1435" s="136" t="s">
        <v>255</v>
      </c>
      <c r="I1435" s="136" t="s">
        <v>256</v>
      </c>
      <c r="J1435" s="136" t="s">
        <v>10080</v>
      </c>
      <c r="L1435" s="136"/>
      <c r="M1435" s="136"/>
      <c r="N1435" s="136"/>
    </row>
    <row r="1436" spans="6:14">
      <c r="F1436" s="136" t="s">
        <v>10081</v>
      </c>
      <c r="G1436" s="136">
        <v>1433</v>
      </c>
      <c r="H1436" s="136" t="s">
        <v>3027</v>
      </c>
      <c r="I1436" s="136" t="s">
        <v>3028</v>
      </c>
      <c r="J1436" s="136" t="s">
        <v>10082</v>
      </c>
      <c r="L1436" s="136"/>
      <c r="M1436" s="136"/>
      <c r="N1436" s="136"/>
    </row>
    <row r="1437" spans="6:14">
      <c r="F1437" s="136" t="s">
        <v>10083</v>
      </c>
      <c r="G1437" s="136">
        <v>1434</v>
      </c>
      <c r="H1437" s="136" t="s">
        <v>1342</v>
      </c>
      <c r="I1437" s="136" t="s">
        <v>1343</v>
      </c>
      <c r="J1437" s="136" t="s">
        <v>10084</v>
      </c>
      <c r="L1437" s="136"/>
      <c r="M1437" s="136"/>
      <c r="N1437" s="136"/>
    </row>
    <row r="1438" spans="6:14">
      <c r="F1438" s="136" t="s">
        <v>10085</v>
      </c>
      <c r="G1438" s="136">
        <v>1435</v>
      </c>
      <c r="H1438" s="136" t="s">
        <v>5062</v>
      </c>
      <c r="I1438" s="136" t="s">
        <v>5063</v>
      </c>
      <c r="J1438" s="136" t="s">
        <v>10086</v>
      </c>
      <c r="L1438" s="136"/>
      <c r="M1438" s="136"/>
      <c r="N1438" s="136"/>
    </row>
    <row r="1439" spans="6:14">
      <c r="F1439" s="136" t="s">
        <v>10087</v>
      </c>
      <c r="G1439" s="136">
        <v>1436</v>
      </c>
      <c r="H1439" s="136" t="s">
        <v>2491</v>
      </c>
      <c r="I1439" s="136" t="s">
        <v>2492</v>
      </c>
      <c r="J1439" s="136" t="s">
        <v>10088</v>
      </c>
      <c r="L1439" s="136"/>
      <c r="M1439" s="136"/>
      <c r="N1439" s="136"/>
    </row>
    <row r="1440" spans="6:14">
      <c r="F1440" s="136" t="s">
        <v>10089</v>
      </c>
      <c r="G1440" s="136">
        <v>1437</v>
      </c>
      <c r="H1440" s="136" t="s">
        <v>4750</v>
      </c>
      <c r="I1440" s="136" t="s">
        <v>3018</v>
      </c>
      <c r="J1440" s="136" t="s">
        <v>10090</v>
      </c>
      <c r="L1440" s="136"/>
      <c r="M1440" s="136"/>
      <c r="N1440" s="136"/>
    </row>
    <row r="1441" spans="6:14">
      <c r="F1441" s="136" t="s">
        <v>10091</v>
      </c>
      <c r="G1441" s="136">
        <v>1438</v>
      </c>
      <c r="H1441" s="136" t="s">
        <v>3381</v>
      </c>
      <c r="I1441" s="136" t="s">
        <v>3382</v>
      </c>
      <c r="J1441" s="136" t="s">
        <v>10092</v>
      </c>
      <c r="L1441" s="136"/>
      <c r="M1441" s="136"/>
      <c r="N1441" s="136"/>
    </row>
    <row r="1442" spans="6:14">
      <c r="F1442" s="136" t="s">
        <v>10093</v>
      </c>
      <c r="G1442" s="136">
        <v>1439</v>
      </c>
      <c r="H1442" s="136" t="s">
        <v>5828</v>
      </c>
      <c r="I1442" s="136" t="s">
        <v>5829</v>
      </c>
      <c r="J1442" s="136" t="s">
        <v>10094</v>
      </c>
      <c r="L1442" s="136"/>
      <c r="M1442" s="136"/>
      <c r="N1442" s="136"/>
    </row>
    <row r="1443" spans="6:14">
      <c r="F1443" s="136" t="s">
        <v>10095</v>
      </c>
      <c r="G1443" s="136">
        <v>1440</v>
      </c>
      <c r="H1443" s="136" t="s">
        <v>49</v>
      </c>
      <c r="I1443" s="136" t="s">
        <v>50</v>
      </c>
      <c r="J1443" s="136" t="s">
        <v>10096</v>
      </c>
      <c r="L1443" s="136"/>
      <c r="M1443" s="136"/>
      <c r="N1443" s="136"/>
    </row>
    <row r="1444" spans="6:14">
      <c r="F1444" s="136" t="s">
        <v>10097</v>
      </c>
      <c r="G1444" s="136">
        <v>1441</v>
      </c>
      <c r="H1444" s="136" t="s">
        <v>5542</v>
      </c>
      <c r="I1444" s="136" t="s">
        <v>5543</v>
      </c>
      <c r="J1444" s="136" t="s">
        <v>10098</v>
      </c>
      <c r="L1444" s="136"/>
      <c r="M1444" s="136"/>
      <c r="N1444" s="136"/>
    </row>
    <row r="1445" spans="6:14">
      <c r="F1445" s="136" t="s">
        <v>10099</v>
      </c>
      <c r="G1445" s="136">
        <v>1442</v>
      </c>
      <c r="H1445" s="136" t="s">
        <v>1691</v>
      </c>
      <c r="I1445" s="136" t="s">
        <v>1692</v>
      </c>
      <c r="J1445" s="136" t="s">
        <v>10100</v>
      </c>
      <c r="L1445" s="136"/>
      <c r="M1445" s="136"/>
      <c r="N1445" s="136"/>
    </row>
    <row r="1446" spans="6:14">
      <c r="F1446" s="136" t="s">
        <v>10101</v>
      </c>
      <c r="G1446" s="136">
        <v>1443</v>
      </c>
      <c r="H1446" s="136" t="s">
        <v>1754</v>
      </c>
      <c r="I1446" s="136" t="s">
        <v>1755</v>
      </c>
      <c r="J1446" s="136" t="s">
        <v>10102</v>
      </c>
      <c r="L1446" s="136"/>
      <c r="M1446" s="136"/>
      <c r="N1446" s="136"/>
    </row>
    <row r="1447" spans="6:14">
      <c r="F1447" s="136" t="s">
        <v>10103</v>
      </c>
      <c r="G1447" s="136">
        <v>1444</v>
      </c>
      <c r="H1447" s="136" t="s">
        <v>1546</v>
      </c>
      <c r="I1447" s="136" t="s">
        <v>1547</v>
      </c>
      <c r="J1447" s="136" t="s">
        <v>10104</v>
      </c>
      <c r="L1447" s="136"/>
      <c r="M1447" s="136"/>
      <c r="N1447" s="136"/>
    </row>
    <row r="1448" spans="6:14">
      <c r="F1448" s="136" t="s">
        <v>10105</v>
      </c>
      <c r="G1448" s="136">
        <v>1445</v>
      </c>
      <c r="H1448" s="136" t="s">
        <v>4302</v>
      </c>
      <c r="I1448" s="136" t="s">
        <v>4303</v>
      </c>
      <c r="J1448" s="136" t="s">
        <v>10106</v>
      </c>
      <c r="L1448" s="136"/>
      <c r="M1448" s="136"/>
      <c r="N1448" s="136"/>
    </row>
    <row r="1449" spans="6:14">
      <c r="F1449" s="136" t="s">
        <v>10107</v>
      </c>
      <c r="G1449" s="136">
        <v>1446</v>
      </c>
      <c r="H1449" s="136" t="s">
        <v>10108</v>
      </c>
      <c r="I1449" s="136" t="s">
        <v>10108</v>
      </c>
      <c r="J1449" s="136" t="s">
        <v>10109</v>
      </c>
      <c r="L1449" s="136"/>
      <c r="M1449" s="136"/>
      <c r="N1449" s="136"/>
    </row>
    <row r="1450" spans="6:14">
      <c r="F1450" s="136" t="s">
        <v>10110</v>
      </c>
      <c r="G1450" s="136">
        <v>1447</v>
      </c>
      <c r="H1450" s="136" t="s">
        <v>5207</v>
      </c>
      <c r="I1450" s="136" t="s">
        <v>5208</v>
      </c>
      <c r="J1450" s="136" t="s">
        <v>10111</v>
      </c>
      <c r="L1450" s="136"/>
      <c r="M1450" s="136"/>
      <c r="N1450" s="136"/>
    </row>
    <row r="1451" spans="6:14">
      <c r="F1451" s="136" t="s">
        <v>10112</v>
      </c>
      <c r="G1451" s="136">
        <v>1448</v>
      </c>
      <c r="H1451" s="136" t="s">
        <v>10113</v>
      </c>
      <c r="I1451" s="136" t="s">
        <v>10114</v>
      </c>
      <c r="J1451" s="136" t="s">
        <v>10115</v>
      </c>
      <c r="L1451" s="136"/>
      <c r="M1451" s="136"/>
      <c r="N1451" s="136"/>
    </row>
    <row r="1452" spans="6:14">
      <c r="F1452" s="136" t="s">
        <v>10116</v>
      </c>
      <c r="G1452" s="136">
        <v>1449</v>
      </c>
      <c r="H1452" s="136" t="s">
        <v>2485</v>
      </c>
      <c r="I1452" s="136" t="s">
        <v>2486</v>
      </c>
      <c r="J1452" s="136" t="s">
        <v>10117</v>
      </c>
      <c r="L1452" s="136"/>
      <c r="M1452" s="136"/>
      <c r="N1452" s="136"/>
    </row>
    <row r="1453" spans="6:14">
      <c r="F1453" s="136" t="s">
        <v>10118</v>
      </c>
      <c r="G1453" s="136">
        <v>1450</v>
      </c>
      <c r="H1453" s="136" t="s">
        <v>4299</v>
      </c>
      <c r="I1453" s="136" t="s">
        <v>4300</v>
      </c>
      <c r="J1453" s="136" t="s">
        <v>10119</v>
      </c>
      <c r="L1453" s="136"/>
      <c r="M1453" s="136"/>
      <c r="N1453" s="136"/>
    </row>
    <row r="1454" spans="6:14">
      <c r="F1454" s="136" t="s">
        <v>10120</v>
      </c>
      <c r="G1454" s="136">
        <v>1451</v>
      </c>
      <c r="H1454" s="136" t="s">
        <v>1187</v>
      </c>
      <c r="I1454" s="136" t="s">
        <v>1188</v>
      </c>
      <c r="J1454" s="136" t="s">
        <v>10121</v>
      </c>
      <c r="L1454" s="136"/>
      <c r="M1454" s="136"/>
      <c r="N1454" s="136"/>
    </row>
    <row r="1455" spans="6:14">
      <c r="F1455" s="136" t="s">
        <v>10122</v>
      </c>
      <c r="G1455" s="136">
        <v>1452</v>
      </c>
      <c r="H1455" s="136" t="s">
        <v>2441</v>
      </c>
      <c r="I1455" s="136" t="s">
        <v>2442</v>
      </c>
      <c r="J1455" s="136" t="s">
        <v>10123</v>
      </c>
      <c r="L1455" s="136"/>
      <c r="M1455" s="136"/>
      <c r="N1455" s="136"/>
    </row>
    <row r="1456" spans="6:14">
      <c r="F1456" s="136" t="s">
        <v>10124</v>
      </c>
      <c r="G1456" s="136">
        <v>1453</v>
      </c>
      <c r="H1456" s="136" t="s">
        <v>2439</v>
      </c>
      <c r="I1456" s="136" t="s">
        <v>2440</v>
      </c>
      <c r="J1456" s="136" t="s">
        <v>10125</v>
      </c>
      <c r="L1456" s="136"/>
      <c r="M1456" s="136"/>
      <c r="N1456" s="136"/>
    </row>
    <row r="1457" spans="6:14">
      <c r="F1457" s="136" t="s">
        <v>10126</v>
      </c>
      <c r="G1457" s="136">
        <v>1454</v>
      </c>
      <c r="H1457" s="136" t="s">
        <v>3905</v>
      </c>
      <c r="I1457" s="136" t="s">
        <v>3906</v>
      </c>
      <c r="J1457" s="136" t="s">
        <v>10127</v>
      </c>
      <c r="L1457" s="136"/>
      <c r="M1457" s="136"/>
      <c r="N1457" s="136"/>
    </row>
    <row r="1458" spans="6:14">
      <c r="F1458" s="136" t="s">
        <v>10128</v>
      </c>
      <c r="G1458" s="136">
        <v>1455</v>
      </c>
      <c r="H1458" s="136" t="s">
        <v>5009</v>
      </c>
      <c r="I1458" s="136" t="s">
        <v>5010</v>
      </c>
      <c r="J1458" s="136" t="s">
        <v>10129</v>
      </c>
      <c r="L1458" s="136"/>
      <c r="M1458" s="136"/>
      <c r="N1458" s="136"/>
    </row>
    <row r="1459" spans="6:14">
      <c r="F1459" s="136" t="s">
        <v>10130</v>
      </c>
      <c r="G1459" s="136">
        <v>1456</v>
      </c>
      <c r="H1459" s="136" t="s">
        <v>376</v>
      </c>
      <c r="I1459" s="136" t="s">
        <v>377</v>
      </c>
      <c r="J1459" s="136" t="s">
        <v>10131</v>
      </c>
      <c r="L1459" s="136"/>
      <c r="M1459" s="136"/>
      <c r="N1459" s="136"/>
    </row>
    <row r="1460" spans="6:14">
      <c r="F1460" s="136" t="s">
        <v>10132</v>
      </c>
      <c r="G1460" s="136">
        <v>1457</v>
      </c>
      <c r="H1460" s="136" t="s">
        <v>3193</v>
      </c>
      <c r="I1460" s="136" t="s">
        <v>3194</v>
      </c>
      <c r="J1460" s="136" t="s">
        <v>10133</v>
      </c>
      <c r="L1460" s="136"/>
      <c r="M1460" s="136"/>
      <c r="N1460" s="136"/>
    </row>
    <row r="1461" spans="6:14">
      <c r="F1461" s="136" t="s">
        <v>10134</v>
      </c>
      <c r="G1461" s="136">
        <v>1458</v>
      </c>
      <c r="H1461" s="136" t="s">
        <v>427</v>
      </c>
      <c r="I1461" s="136" t="s">
        <v>428</v>
      </c>
      <c r="J1461" s="136" t="s">
        <v>10135</v>
      </c>
      <c r="L1461" s="136"/>
      <c r="M1461" s="136"/>
      <c r="N1461" s="136"/>
    </row>
    <row r="1462" spans="6:14">
      <c r="F1462" s="136" t="s">
        <v>10136</v>
      </c>
      <c r="G1462" s="136">
        <v>1459</v>
      </c>
      <c r="H1462" s="136" t="s">
        <v>1788</v>
      </c>
      <c r="I1462" s="136" t="s">
        <v>1789</v>
      </c>
      <c r="J1462" s="136" t="s">
        <v>10137</v>
      </c>
      <c r="L1462" s="136"/>
      <c r="M1462" s="136"/>
      <c r="N1462" s="136"/>
    </row>
    <row r="1463" spans="6:14">
      <c r="F1463" s="136" t="s">
        <v>10138</v>
      </c>
      <c r="G1463" s="136">
        <v>1460</v>
      </c>
      <c r="H1463" s="136" t="s">
        <v>10139</v>
      </c>
      <c r="I1463" s="136" t="s">
        <v>10140</v>
      </c>
      <c r="J1463" s="136" t="s">
        <v>10141</v>
      </c>
      <c r="L1463" s="136"/>
      <c r="M1463" s="136"/>
      <c r="N1463" s="136"/>
    </row>
    <row r="1464" spans="6:14">
      <c r="F1464" s="136" t="s">
        <v>10142</v>
      </c>
      <c r="G1464" s="136">
        <v>1461</v>
      </c>
      <c r="H1464" s="136" t="s">
        <v>785</v>
      </c>
      <c r="I1464" s="136" t="s">
        <v>786</v>
      </c>
      <c r="J1464" s="136" t="s">
        <v>10143</v>
      </c>
      <c r="L1464" s="136"/>
      <c r="M1464" s="136"/>
      <c r="N1464" s="136"/>
    </row>
    <row r="1465" spans="6:14">
      <c r="F1465" s="136" t="s">
        <v>10144</v>
      </c>
      <c r="G1465" s="136">
        <v>1462</v>
      </c>
      <c r="H1465" s="136" t="s">
        <v>5184</v>
      </c>
      <c r="I1465" s="136" t="s">
        <v>5185</v>
      </c>
      <c r="J1465" s="136" t="s">
        <v>10145</v>
      </c>
      <c r="L1465" s="136"/>
      <c r="M1465" s="136"/>
      <c r="N1465" s="136"/>
    </row>
    <row r="1466" spans="6:14">
      <c r="F1466" s="136" t="s">
        <v>10146</v>
      </c>
      <c r="G1466" s="136">
        <v>1463</v>
      </c>
      <c r="H1466" s="136" t="s">
        <v>116</v>
      </c>
      <c r="I1466" s="136" t="s">
        <v>117</v>
      </c>
      <c r="J1466" s="136" t="s">
        <v>10147</v>
      </c>
      <c r="L1466" s="136"/>
      <c r="M1466" s="136"/>
      <c r="N1466" s="136"/>
    </row>
    <row r="1467" spans="6:14">
      <c r="F1467" s="136" t="s">
        <v>10148</v>
      </c>
      <c r="G1467" s="136">
        <v>1464</v>
      </c>
      <c r="H1467" s="136" t="s">
        <v>10149</v>
      </c>
      <c r="I1467" s="136" t="s">
        <v>10150</v>
      </c>
      <c r="J1467" s="136" t="s">
        <v>10151</v>
      </c>
      <c r="L1467" s="136"/>
      <c r="M1467" s="136"/>
      <c r="N1467" s="136"/>
    </row>
    <row r="1468" spans="6:14">
      <c r="F1468" s="136" t="s">
        <v>10152</v>
      </c>
      <c r="G1468" s="136">
        <v>1465</v>
      </c>
      <c r="H1468" s="136" t="s">
        <v>646</v>
      </c>
      <c r="I1468" s="136" t="s">
        <v>647</v>
      </c>
      <c r="J1468" s="136" t="s">
        <v>10153</v>
      </c>
      <c r="L1468" s="136"/>
      <c r="M1468" s="136"/>
      <c r="N1468" s="136"/>
    </row>
    <row r="1469" spans="6:14">
      <c r="F1469" s="136" t="s">
        <v>10154</v>
      </c>
      <c r="G1469" s="136">
        <v>1466</v>
      </c>
      <c r="H1469" s="136" t="s">
        <v>1197</v>
      </c>
      <c r="I1469" s="136" t="s">
        <v>1198</v>
      </c>
      <c r="J1469" s="136" t="s">
        <v>10155</v>
      </c>
      <c r="L1469" s="136"/>
      <c r="M1469" s="136"/>
      <c r="N1469" s="136"/>
    </row>
    <row r="1470" spans="6:14">
      <c r="F1470" s="136" t="s">
        <v>10156</v>
      </c>
      <c r="G1470" s="136">
        <v>1467</v>
      </c>
      <c r="H1470" s="136" t="s">
        <v>4846</v>
      </c>
      <c r="I1470" s="136" t="s">
        <v>4847</v>
      </c>
      <c r="J1470" s="136" t="s">
        <v>10157</v>
      </c>
      <c r="L1470" s="136"/>
      <c r="M1470" s="136"/>
      <c r="N1470" s="136"/>
    </row>
    <row r="1471" spans="6:14">
      <c r="F1471" s="136" t="s">
        <v>10158</v>
      </c>
      <c r="G1471" s="136">
        <v>1468</v>
      </c>
      <c r="H1471" s="136" t="s">
        <v>3093</v>
      </c>
      <c r="I1471" s="136" t="s">
        <v>3094</v>
      </c>
      <c r="J1471" s="136" t="s">
        <v>10159</v>
      </c>
      <c r="L1471" s="136"/>
      <c r="M1471" s="136"/>
      <c r="N1471" s="136"/>
    </row>
    <row r="1472" spans="6:14">
      <c r="F1472" s="136" t="s">
        <v>10160</v>
      </c>
      <c r="G1472" s="136">
        <v>1469</v>
      </c>
      <c r="H1472" s="136" t="s">
        <v>1133</v>
      </c>
      <c r="I1472" s="136" t="s">
        <v>1134</v>
      </c>
      <c r="J1472" s="136" t="s">
        <v>10161</v>
      </c>
      <c r="L1472" s="136"/>
      <c r="M1472" s="136"/>
      <c r="N1472" s="136"/>
    </row>
    <row r="1473" spans="6:14">
      <c r="F1473" s="136" t="s">
        <v>10162</v>
      </c>
      <c r="G1473" s="136">
        <v>1470</v>
      </c>
      <c r="H1473" s="136" t="s">
        <v>4880</v>
      </c>
      <c r="I1473" s="136" t="s">
        <v>4881</v>
      </c>
      <c r="J1473" s="136" t="s">
        <v>10163</v>
      </c>
      <c r="L1473" s="136"/>
      <c r="M1473" s="136"/>
      <c r="N1473" s="136"/>
    </row>
    <row r="1474" spans="6:14">
      <c r="F1474" s="136" t="s">
        <v>10164</v>
      </c>
      <c r="G1474" s="136">
        <v>1471</v>
      </c>
      <c r="H1474" s="136" t="s">
        <v>2772</v>
      </c>
      <c r="I1474" s="136" t="s">
        <v>2773</v>
      </c>
      <c r="J1474" s="136" t="s">
        <v>10165</v>
      </c>
      <c r="L1474" s="136"/>
      <c r="M1474" s="136"/>
      <c r="N1474" s="136"/>
    </row>
    <row r="1475" spans="6:14">
      <c r="F1475" s="136" t="s">
        <v>10166</v>
      </c>
      <c r="G1475" s="136">
        <v>1472</v>
      </c>
      <c r="H1475" s="136" t="s">
        <v>3765</v>
      </c>
      <c r="I1475" s="136" t="s">
        <v>3766</v>
      </c>
      <c r="J1475" s="136" t="s">
        <v>10167</v>
      </c>
      <c r="L1475" s="136"/>
      <c r="M1475" s="136"/>
      <c r="N1475" s="136"/>
    </row>
    <row r="1476" spans="6:14">
      <c r="F1476" s="136" t="s">
        <v>10168</v>
      </c>
      <c r="G1476" s="136">
        <v>1473</v>
      </c>
      <c r="H1476" s="136" t="s">
        <v>38</v>
      </c>
      <c r="I1476" s="136" t="s">
        <v>39</v>
      </c>
      <c r="J1476" s="136" t="s">
        <v>10169</v>
      </c>
      <c r="L1476" s="136"/>
      <c r="M1476" s="136"/>
      <c r="N1476" s="136"/>
    </row>
    <row r="1477" spans="6:14">
      <c r="F1477" s="136" t="s">
        <v>10170</v>
      </c>
      <c r="G1477" s="136">
        <v>1474</v>
      </c>
      <c r="H1477" s="136" t="s">
        <v>4922</v>
      </c>
      <c r="I1477" s="136" t="s">
        <v>4923</v>
      </c>
      <c r="J1477" s="136" t="s">
        <v>10171</v>
      </c>
      <c r="L1477" s="136"/>
      <c r="M1477" s="136"/>
      <c r="N1477" s="136"/>
    </row>
    <row r="1478" spans="6:14">
      <c r="F1478" s="136" t="s">
        <v>10172</v>
      </c>
      <c r="G1478" s="136">
        <v>1475</v>
      </c>
      <c r="H1478" s="136" t="s">
        <v>3467</v>
      </c>
      <c r="I1478" s="136" t="s">
        <v>3468</v>
      </c>
      <c r="J1478" s="136" t="s">
        <v>10173</v>
      </c>
      <c r="L1478" s="136"/>
      <c r="M1478" s="136"/>
      <c r="N1478" s="136"/>
    </row>
    <row r="1479" spans="6:14">
      <c r="F1479" s="136" t="s">
        <v>10174</v>
      </c>
      <c r="G1479" s="136">
        <v>1476</v>
      </c>
      <c r="H1479" s="136" t="s">
        <v>2929</v>
      </c>
      <c r="I1479" s="136" t="s">
        <v>2930</v>
      </c>
      <c r="J1479" s="136" t="s">
        <v>10175</v>
      </c>
      <c r="L1479" s="136"/>
      <c r="M1479" s="136"/>
      <c r="N1479" s="136"/>
    </row>
    <row r="1480" spans="6:14">
      <c r="F1480" s="136" t="s">
        <v>10176</v>
      </c>
      <c r="G1480" s="136">
        <v>1477</v>
      </c>
      <c r="H1480" s="136" t="s">
        <v>1181</v>
      </c>
      <c r="I1480" s="136" t="s">
        <v>1182</v>
      </c>
      <c r="J1480" s="136" t="s">
        <v>10177</v>
      </c>
      <c r="L1480" s="136"/>
      <c r="M1480" s="136"/>
      <c r="N1480" s="136"/>
    </row>
    <row r="1481" spans="6:14">
      <c r="F1481" s="136" t="s">
        <v>10178</v>
      </c>
      <c r="G1481" s="136">
        <v>1478</v>
      </c>
      <c r="H1481" s="136" t="s">
        <v>1162</v>
      </c>
      <c r="I1481" s="136" t="s">
        <v>1163</v>
      </c>
      <c r="J1481" s="136" t="s">
        <v>10179</v>
      </c>
      <c r="L1481" s="136"/>
      <c r="M1481" s="136"/>
      <c r="N1481" s="136"/>
    </row>
    <row r="1482" spans="6:14">
      <c r="F1482" s="136" t="s">
        <v>10180</v>
      </c>
      <c r="G1482" s="136">
        <v>1479</v>
      </c>
      <c r="H1482" s="136" t="s">
        <v>922</v>
      </c>
      <c r="I1482" s="136" t="s">
        <v>923</v>
      </c>
      <c r="J1482" s="136" t="s">
        <v>10181</v>
      </c>
      <c r="L1482" s="136"/>
      <c r="M1482" s="136"/>
      <c r="N1482" s="136"/>
    </row>
    <row r="1483" spans="6:14">
      <c r="F1483" s="136" t="s">
        <v>10182</v>
      </c>
      <c r="G1483" s="136">
        <v>1480</v>
      </c>
      <c r="H1483" s="136" t="s">
        <v>6148</v>
      </c>
      <c r="I1483" s="136" t="s">
        <v>6149</v>
      </c>
      <c r="J1483" s="136" t="s">
        <v>10183</v>
      </c>
      <c r="L1483" s="136"/>
      <c r="M1483" s="136"/>
      <c r="N1483" s="136"/>
    </row>
    <row r="1484" spans="6:14">
      <c r="F1484" s="136" t="s">
        <v>10184</v>
      </c>
      <c r="G1484" s="136">
        <v>1481</v>
      </c>
      <c r="H1484" s="136" t="s">
        <v>4066</v>
      </c>
      <c r="I1484" s="136" t="s">
        <v>4067</v>
      </c>
      <c r="J1484" s="136" t="s">
        <v>10185</v>
      </c>
      <c r="L1484" s="136"/>
      <c r="M1484" s="136"/>
      <c r="N1484" s="136"/>
    </row>
    <row r="1485" spans="6:14">
      <c r="F1485" s="136" t="s">
        <v>10186</v>
      </c>
      <c r="G1485" s="136">
        <v>1482</v>
      </c>
      <c r="H1485" s="136" t="s">
        <v>5396</v>
      </c>
      <c r="I1485" s="136" t="s">
        <v>5397</v>
      </c>
      <c r="J1485" s="136" t="s">
        <v>10187</v>
      </c>
      <c r="L1485" s="136"/>
      <c r="M1485" s="136"/>
      <c r="N1485" s="136"/>
    </row>
    <row r="1486" spans="6:14">
      <c r="F1486" s="136" t="s">
        <v>10188</v>
      </c>
      <c r="G1486" s="136">
        <v>1483</v>
      </c>
      <c r="H1486" s="136" t="s">
        <v>10189</v>
      </c>
      <c r="I1486" s="136" t="s">
        <v>10190</v>
      </c>
      <c r="J1486" s="136" t="s">
        <v>10191</v>
      </c>
      <c r="L1486" s="136"/>
      <c r="M1486" s="136"/>
      <c r="N1486" s="136"/>
    </row>
    <row r="1487" spans="6:14">
      <c r="F1487" s="136" t="s">
        <v>10192</v>
      </c>
      <c r="G1487" s="136">
        <v>1484</v>
      </c>
      <c r="H1487" s="136" t="s">
        <v>6047</v>
      </c>
      <c r="I1487" s="136" t="s">
        <v>6048</v>
      </c>
      <c r="J1487" s="136" t="s">
        <v>10193</v>
      </c>
      <c r="L1487" s="136"/>
      <c r="M1487" s="136"/>
      <c r="N1487" s="136"/>
    </row>
    <row r="1488" spans="6:14">
      <c r="F1488" s="136" t="s">
        <v>10194</v>
      </c>
      <c r="G1488" s="136">
        <v>1485</v>
      </c>
      <c r="H1488" s="136" t="s">
        <v>4914</v>
      </c>
      <c r="I1488" s="136" t="s">
        <v>4915</v>
      </c>
      <c r="J1488" s="136" t="s">
        <v>10195</v>
      </c>
      <c r="L1488" s="136"/>
      <c r="M1488" s="136"/>
      <c r="N1488" s="136"/>
    </row>
    <row r="1489" spans="6:14">
      <c r="F1489" s="136" t="s">
        <v>10196</v>
      </c>
      <c r="G1489" s="136">
        <v>1486</v>
      </c>
      <c r="H1489" s="136" t="s">
        <v>5136</v>
      </c>
      <c r="I1489" s="136" t="s">
        <v>5137</v>
      </c>
      <c r="J1489" s="136" t="s">
        <v>10197</v>
      </c>
      <c r="L1489" s="136"/>
      <c r="M1489" s="136"/>
      <c r="N1489" s="136"/>
    </row>
    <row r="1490" spans="6:14">
      <c r="F1490" s="136" t="s">
        <v>10198</v>
      </c>
      <c r="G1490" s="136">
        <v>1487</v>
      </c>
      <c r="H1490" s="136" t="s">
        <v>3757</v>
      </c>
      <c r="I1490" s="136" t="s">
        <v>3758</v>
      </c>
      <c r="J1490" s="136" t="s">
        <v>10199</v>
      </c>
      <c r="L1490" s="136"/>
      <c r="M1490" s="136"/>
      <c r="N1490" s="136"/>
    </row>
    <row r="1491" spans="6:14">
      <c r="F1491" s="136" t="s">
        <v>10200</v>
      </c>
      <c r="G1491" s="136">
        <v>1488</v>
      </c>
      <c r="H1491" s="136" t="s">
        <v>4738</v>
      </c>
      <c r="I1491" s="136" t="s">
        <v>4739</v>
      </c>
      <c r="J1491" s="136" t="s">
        <v>10201</v>
      </c>
      <c r="L1491" s="136"/>
      <c r="M1491" s="136"/>
      <c r="N1491" s="136"/>
    </row>
    <row r="1492" spans="6:14">
      <c r="F1492" s="136" t="s">
        <v>10202</v>
      </c>
      <c r="G1492" s="136">
        <v>1489</v>
      </c>
      <c r="H1492" s="136" t="s">
        <v>10203</v>
      </c>
      <c r="I1492" s="136" t="s">
        <v>10204</v>
      </c>
      <c r="J1492" s="136" t="s">
        <v>10205</v>
      </c>
      <c r="L1492" s="136"/>
      <c r="M1492" s="136"/>
      <c r="N1492" s="136"/>
    </row>
    <row r="1493" spans="6:14">
      <c r="F1493" s="136" t="s">
        <v>10206</v>
      </c>
      <c r="G1493" s="136">
        <v>1490</v>
      </c>
      <c r="H1493" s="136" t="s">
        <v>2624</v>
      </c>
      <c r="I1493" s="136" t="s">
        <v>2625</v>
      </c>
      <c r="J1493" s="136" t="s">
        <v>10207</v>
      </c>
      <c r="L1493" s="136"/>
      <c r="M1493" s="136"/>
      <c r="N1493" s="136"/>
    </row>
    <row r="1494" spans="6:14">
      <c r="F1494" s="136" t="s">
        <v>10208</v>
      </c>
      <c r="G1494" s="136">
        <v>1491</v>
      </c>
      <c r="H1494" s="136" t="s">
        <v>5365</v>
      </c>
      <c r="I1494" s="136" t="s">
        <v>5366</v>
      </c>
      <c r="J1494" s="136" t="s">
        <v>10209</v>
      </c>
      <c r="L1494" s="136"/>
      <c r="M1494" s="136"/>
      <c r="N1494" s="136"/>
    </row>
    <row r="1495" spans="6:14">
      <c r="F1495" s="136" t="s">
        <v>10210</v>
      </c>
      <c r="G1495" s="136">
        <v>1492</v>
      </c>
      <c r="H1495" s="136" t="s">
        <v>744</v>
      </c>
      <c r="I1495" s="136" t="s">
        <v>746</v>
      </c>
      <c r="J1495" s="136" t="s">
        <v>10211</v>
      </c>
      <c r="L1495" s="136"/>
      <c r="M1495" s="136"/>
      <c r="N1495" s="136"/>
    </row>
    <row r="1496" spans="6:14">
      <c r="F1496" s="136" t="s">
        <v>10212</v>
      </c>
      <c r="G1496" s="136">
        <v>1493</v>
      </c>
      <c r="H1496" s="136" t="s">
        <v>5702</v>
      </c>
      <c r="I1496" s="136" t="s">
        <v>5703</v>
      </c>
      <c r="J1496" s="136" t="s">
        <v>10213</v>
      </c>
      <c r="L1496" s="136"/>
      <c r="M1496" s="136"/>
      <c r="N1496" s="136"/>
    </row>
    <row r="1497" spans="6:14">
      <c r="F1497" s="136" t="s">
        <v>10214</v>
      </c>
      <c r="G1497" s="136">
        <v>1494</v>
      </c>
      <c r="H1497" s="136" t="s">
        <v>5935</v>
      </c>
      <c r="I1497" s="136" t="s">
        <v>5936</v>
      </c>
      <c r="J1497" s="136" t="s">
        <v>10215</v>
      </c>
      <c r="L1497" s="136"/>
      <c r="M1497" s="136"/>
      <c r="N1497" s="136"/>
    </row>
    <row r="1498" spans="6:14">
      <c r="F1498" s="136" t="s">
        <v>10216</v>
      </c>
      <c r="G1498" s="136">
        <v>1495</v>
      </c>
      <c r="H1498" s="136" t="s">
        <v>2500</v>
      </c>
      <c r="I1498" s="136" t="s">
        <v>2501</v>
      </c>
      <c r="J1498" s="136" t="s">
        <v>10217</v>
      </c>
      <c r="L1498" s="136"/>
      <c r="M1498" s="136"/>
      <c r="N1498" s="136"/>
    </row>
    <row r="1499" spans="6:14">
      <c r="F1499" s="136" t="s">
        <v>10218</v>
      </c>
      <c r="G1499" s="136">
        <v>1496</v>
      </c>
      <c r="H1499" s="136" t="s">
        <v>1833</v>
      </c>
      <c r="I1499" s="136" t="s">
        <v>1834</v>
      </c>
      <c r="J1499" s="136" t="s">
        <v>10219</v>
      </c>
      <c r="L1499" s="136"/>
      <c r="M1499" s="136"/>
      <c r="N1499" s="136"/>
    </row>
    <row r="1500" spans="6:14">
      <c r="F1500" s="136" t="s">
        <v>10220</v>
      </c>
      <c r="G1500" s="136">
        <v>1497</v>
      </c>
      <c r="H1500" s="136" t="s">
        <v>10221</v>
      </c>
      <c r="I1500" s="136" t="s">
        <v>10222</v>
      </c>
      <c r="J1500" s="136" t="s">
        <v>10223</v>
      </c>
      <c r="L1500" s="136"/>
      <c r="M1500" s="136"/>
      <c r="N1500" s="136"/>
    </row>
    <row r="1501" spans="6:14">
      <c r="F1501" s="136" t="s">
        <v>10224</v>
      </c>
      <c r="G1501" s="136">
        <v>1498</v>
      </c>
      <c r="H1501" s="136" t="s">
        <v>1540</v>
      </c>
      <c r="I1501" s="136" t="s">
        <v>1541</v>
      </c>
      <c r="J1501" s="136" t="s">
        <v>10225</v>
      </c>
      <c r="L1501" s="136"/>
      <c r="M1501" s="136"/>
      <c r="N1501" s="136"/>
    </row>
    <row r="1502" spans="6:14">
      <c r="F1502" s="136" t="s">
        <v>10226</v>
      </c>
      <c r="G1502" s="136">
        <v>1499</v>
      </c>
      <c r="H1502" s="136" t="s">
        <v>4902</v>
      </c>
      <c r="I1502" s="136" t="s">
        <v>4903</v>
      </c>
      <c r="J1502" s="136" t="s">
        <v>10227</v>
      </c>
      <c r="L1502" s="136"/>
      <c r="M1502" s="136"/>
      <c r="N1502" s="136"/>
    </row>
    <row r="1503" spans="6:14">
      <c r="F1503" s="136" t="s">
        <v>10228</v>
      </c>
      <c r="G1503" s="136">
        <v>1500</v>
      </c>
      <c r="H1503" s="136" t="s">
        <v>10229</v>
      </c>
      <c r="I1503" s="136" t="s">
        <v>10230</v>
      </c>
      <c r="J1503" s="136" t="s">
        <v>10231</v>
      </c>
      <c r="L1503" s="136"/>
      <c r="M1503" s="136"/>
      <c r="N1503" s="136"/>
    </row>
    <row r="1504" spans="6:14">
      <c r="F1504" s="136" t="s">
        <v>10232</v>
      </c>
      <c r="G1504" s="136">
        <v>1501</v>
      </c>
      <c r="H1504" s="136" t="s">
        <v>4583</v>
      </c>
      <c r="I1504" s="136" t="s">
        <v>4584</v>
      </c>
      <c r="J1504" s="136" t="s">
        <v>10233</v>
      </c>
      <c r="L1504" s="136"/>
      <c r="M1504" s="136"/>
      <c r="N1504" s="136"/>
    </row>
    <row r="1505" spans="6:14">
      <c r="F1505" s="136" t="s">
        <v>10234</v>
      </c>
      <c r="G1505" s="136">
        <v>1502</v>
      </c>
      <c r="H1505" s="136" t="s">
        <v>3712</v>
      </c>
      <c r="I1505" s="136" t="s">
        <v>3713</v>
      </c>
      <c r="J1505" s="136" t="s">
        <v>10235</v>
      </c>
      <c r="L1505" s="136"/>
      <c r="M1505" s="136"/>
      <c r="N1505" s="136"/>
    </row>
    <row r="1506" spans="6:14">
      <c r="F1506" s="136" t="s">
        <v>10236</v>
      </c>
      <c r="G1506" s="136">
        <v>1503</v>
      </c>
      <c r="H1506" s="136" t="s">
        <v>10237</v>
      </c>
      <c r="I1506" s="136" t="s">
        <v>10238</v>
      </c>
      <c r="J1506" s="136" t="s">
        <v>10239</v>
      </c>
      <c r="L1506" s="136"/>
      <c r="M1506" s="136"/>
      <c r="N1506" s="136"/>
    </row>
    <row r="1507" spans="6:14">
      <c r="F1507" s="136" t="s">
        <v>10240</v>
      </c>
      <c r="G1507" s="136">
        <v>1504</v>
      </c>
      <c r="H1507" s="136" t="s">
        <v>1478</v>
      </c>
      <c r="I1507" s="136" t="s">
        <v>1479</v>
      </c>
      <c r="J1507" s="136" t="s">
        <v>10241</v>
      </c>
      <c r="L1507" s="136"/>
      <c r="M1507" s="136"/>
      <c r="N1507" s="136"/>
    </row>
    <row r="1508" spans="6:14">
      <c r="F1508" s="136" t="s">
        <v>10242</v>
      </c>
      <c r="G1508" s="136">
        <v>1505</v>
      </c>
      <c r="H1508" s="136" t="s">
        <v>2036</v>
      </c>
      <c r="I1508" s="136" t="s">
        <v>2037</v>
      </c>
      <c r="J1508" s="136" t="s">
        <v>10243</v>
      </c>
      <c r="L1508" s="136"/>
      <c r="M1508" s="136"/>
      <c r="N1508" s="136"/>
    </row>
    <row r="1509" spans="6:14">
      <c r="F1509" s="136" t="s">
        <v>10244</v>
      </c>
      <c r="G1509" s="136">
        <v>1506</v>
      </c>
      <c r="H1509" s="136" t="s">
        <v>3840</v>
      </c>
      <c r="I1509" s="136" t="s">
        <v>3841</v>
      </c>
      <c r="J1509" s="136" t="s">
        <v>10245</v>
      </c>
      <c r="L1509" s="136"/>
      <c r="M1509" s="136"/>
      <c r="N1509" s="136"/>
    </row>
    <row r="1510" spans="6:14">
      <c r="F1510" s="136" t="s">
        <v>10246</v>
      </c>
      <c r="G1510" s="136">
        <v>1507</v>
      </c>
      <c r="H1510" s="136" t="s">
        <v>5755</v>
      </c>
      <c r="I1510" s="136" t="s">
        <v>5756</v>
      </c>
      <c r="J1510" s="136" t="s">
        <v>10247</v>
      </c>
      <c r="L1510" s="136"/>
      <c r="M1510" s="136"/>
      <c r="N1510" s="136"/>
    </row>
    <row r="1511" spans="6:14">
      <c r="F1511" s="136" t="s">
        <v>10248</v>
      </c>
      <c r="G1511" s="136">
        <v>1508</v>
      </c>
      <c r="H1511" s="136" t="s">
        <v>10249</v>
      </c>
      <c r="I1511" s="136" t="s">
        <v>10250</v>
      </c>
      <c r="J1511" s="136" t="s">
        <v>10251</v>
      </c>
      <c r="L1511" s="136"/>
      <c r="M1511" s="136"/>
      <c r="N1511" s="136"/>
    </row>
    <row r="1512" spans="6:14">
      <c r="F1512" s="136" t="s">
        <v>10252</v>
      </c>
      <c r="G1512" s="136">
        <v>1509</v>
      </c>
      <c r="H1512" s="136" t="s">
        <v>6091</v>
      </c>
      <c r="I1512" s="136" t="s">
        <v>6092</v>
      </c>
      <c r="J1512" s="136" t="s">
        <v>10253</v>
      </c>
      <c r="L1512" s="136"/>
      <c r="M1512" s="136"/>
      <c r="N1512" s="136"/>
    </row>
    <row r="1513" spans="6:14">
      <c r="F1513" s="136" t="s">
        <v>10254</v>
      </c>
      <c r="G1513" s="136">
        <v>1510</v>
      </c>
      <c r="H1513" s="136" t="s">
        <v>4904</v>
      </c>
      <c r="I1513" s="136" t="s">
        <v>4905</v>
      </c>
      <c r="J1513" s="136" t="s">
        <v>10255</v>
      </c>
      <c r="L1513" s="136"/>
      <c r="M1513" s="136"/>
      <c r="N1513" s="136"/>
    </row>
    <row r="1514" spans="6:14">
      <c r="F1514" s="136" t="s">
        <v>10256</v>
      </c>
      <c r="G1514" s="136">
        <v>1511</v>
      </c>
      <c r="H1514" s="136" t="s">
        <v>5355</v>
      </c>
      <c r="I1514" s="136" t="s">
        <v>5356</v>
      </c>
      <c r="J1514" s="136" t="s">
        <v>10257</v>
      </c>
      <c r="L1514" s="136"/>
      <c r="M1514" s="136"/>
      <c r="N1514" s="136"/>
    </row>
    <row r="1515" spans="6:14">
      <c r="F1515" s="136" t="s">
        <v>10258</v>
      </c>
      <c r="G1515" s="136">
        <v>1512</v>
      </c>
      <c r="H1515" s="136" t="s">
        <v>1524</v>
      </c>
      <c r="I1515" s="136" t="s">
        <v>1525</v>
      </c>
      <c r="J1515" s="136" t="s">
        <v>10259</v>
      </c>
      <c r="L1515" s="136"/>
      <c r="M1515" s="136"/>
      <c r="N1515" s="136"/>
    </row>
    <row r="1516" spans="6:14">
      <c r="F1516" s="136" t="s">
        <v>10260</v>
      </c>
      <c r="G1516" s="136">
        <v>1513</v>
      </c>
      <c r="H1516" s="136" t="s">
        <v>10261</v>
      </c>
      <c r="I1516" s="136" t="s">
        <v>10262</v>
      </c>
      <c r="J1516" s="136" t="s">
        <v>10263</v>
      </c>
      <c r="L1516" s="136"/>
      <c r="M1516" s="136"/>
      <c r="N1516" s="136"/>
    </row>
    <row r="1517" spans="6:14">
      <c r="F1517" s="136" t="s">
        <v>10264</v>
      </c>
      <c r="G1517" s="136">
        <v>1514</v>
      </c>
      <c r="H1517" s="136" t="s">
        <v>10265</v>
      </c>
      <c r="I1517" s="136" t="s">
        <v>10266</v>
      </c>
      <c r="J1517" s="136" t="s">
        <v>10267</v>
      </c>
      <c r="L1517" s="136"/>
      <c r="M1517" s="136"/>
      <c r="N1517" s="136"/>
    </row>
    <row r="1518" spans="6:14">
      <c r="F1518" s="136" t="s">
        <v>10268</v>
      </c>
      <c r="G1518" s="136">
        <v>1515</v>
      </c>
      <c r="H1518" s="136" t="s">
        <v>1422</v>
      </c>
      <c r="I1518" s="136" t="s">
        <v>1423</v>
      </c>
      <c r="J1518" s="136" t="s">
        <v>10269</v>
      </c>
      <c r="L1518" s="136"/>
      <c r="M1518" s="136"/>
      <c r="N1518" s="136"/>
    </row>
    <row r="1519" spans="6:14">
      <c r="F1519" s="136" t="s">
        <v>10270</v>
      </c>
      <c r="G1519" s="136">
        <v>1516</v>
      </c>
      <c r="H1519" s="136" t="s">
        <v>2764</v>
      </c>
      <c r="I1519" s="136" t="s">
        <v>2765</v>
      </c>
      <c r="J1519" s="136" t="s">
        <v>10271</v>
      </c>
      <c r="L1519" s="136"/>
      <c r="M1519" s="136"/>
      <c r="N1519" s="136"/>
    </row>
    <row r="1520" spans="6:14">
      <c r="F1520" s="136" t="s">
        <v>10272</v>
      </c>
      <c r="G1520" s="136">
        <v>1517</v>
      </c>
      <c r="H1520" s="136" t="s">
        <v>4537</v>
      </c>
      <c r="I1520" s="136" t="s">
        <v>4538</v>
      </c>
      <c r="J1520" s="136" t="s">
        <v>10273</v>
      </c>
      <c r="L1520" s="136"/>
      <c r="M1520" s="136"/>
      <c r="N1520" s="136"/>
    </row>
    <row r="1521" spans="6:14">
      <c r="F1521" s="136" t="s">
        <v>10274</v>
      </c>
      <c r="G1521" s="136">
        <v>1518</v>
      </c>
      <c r="H1521" s="136" t="s">
        <v>5856</v>
      </c>
      <c r="I1521" s="136" t="s">
        <v>5857</v>
      </c>
      <c r="J1521" s="136" t="s">
        <v>10275</v>
      </c>
      <c r="L1521" s="136"/>
      <c r="M1521" s="136"/>
      <c r="N1521" s="136"/>
    </row>
    <row r="1522" spans="6:14">
      <c r="F1522" s="136" t="s">
        <v>10276</v>
      </c>
      <c r="G1522" s="136">
        <v>1519</v>
      </c>
      <c r="H1522" s="136" t="s">
        <v>4194</v>
      </c>
      <c r="I1522" s="136" t="s">
        <v>4195</v>
      </c>
      <c r="J1522" s="136" t="s">
        <v>10277</v>
      </c>
      <c r="L1522" s="136"/>
      <c r="M1522" s="136"/>
      <c r="N1522" s="136"/>
    </row>
    <row r="1523" spans="6:14">
      <c r="F1523" s="136" t="s">
        <v>10278</v>
      </c>
      <c r="G1523" s="136">
        <v>1520</v>
      </c>
      <c r="H1523" s="136" t="s">
        <v>2818</v>
      </c>
      <c r="I1523" s="136" t="s">
        <v>2824</v>
      </c>
      <c r="J1523" s="136" t="s">
        <v>10279</v>
      </c>
      <c r="L1523" s="136"/>
      <c r="M1523" s="136"/>
      <c r="N1523" s="136"/>
    </row>
    <row r="1524" spans="6:14">
      <c r="F1524" s="136" t="s">
        <v>10280</v>
      </c>
      <c r="G1524" s="136">
        <v>1521</v>
      </c>
      <c r="H1524" s="136" t="s">
        <v>10281</v>
      </c>
      <c r="I1524" s="136" t="s">
        <v>10282</v>
      </c>
      <c r="J1524" s="136" t="s">
        <v>10283</v>
      </c>
      <c r="L1524" s="136"/>
      <c r="M1524" s="136"/>
      <c r="N1524" s="136"/>
    </row>
    <row r="1525" spans="6:14">
      <c r="F1525" s="136" t="s">
        <v>10284</v>
      </c>
      <c r="G1525" s="136">
        <v>1522</v>
      </c>
      <c r="H1525" s="136" t="s">
        <v>1129</v>
      </c>
      <c r="I1525" s="136" t="s">
        <v>1130</v>
      </c>
      <c r="J1525" s="136" t="s">
        <v>10285</v>
      </c>
      <c r="L1525" s="136"/>
      <c r="M1525" s="136"/>
      <c r="N1525" s="136"/>
    </row>
    <row r="1526" spans="6:14">
      <c r="F1526" s="136" t="s">
        <v>10286</v>
      </c>
      <c r="G1526" s="136">
        <v>1523</v>
      </c>
      <c r="H1526" s="136" t="s">
        <v>1930</v>
      </c>
      <c r="I1526" s="136" t="s">
        <v>1931</v>
      </c>
      <c r="J1526" s="136" t="s">
        <v>10287</v>
      </c>
      <c r="L1526" s="136"/>
      <c r="M1526" s="136"/>
      <c r="N1526" s="136"/>
    </row>
    <row r="1527" spans="6:14">
      <c r="F1527" s="136" t="s">
        <v>10288</v>
      </c>
      <c r="G1527" s="136">
        <v>1524</v>
      </c>
      <c r="H1527" s="136" t="s">
        <v>108</v>
      </c>
      <c r="I1527" s="136" t="s">
        <v>109</v>
      </c>
      <c r="J1527" s="136" t="s">
        <v>10289</v>
      </c>
      <c r="L1527" s="136"/>
      <c r="M1527" s="136"/>
      <c r="N1527" s="136"/>
    </row>
    <row r="1528" spans="6:14">
      <c r="F1528" s="136" t="s">
        <v>10290</v>
      </c>
      <c r="G1528" s="136">
        <v>1525</v>
      </c>
      <c r="H1528" s="136" t="s">
        <v>1805</v>
      </c>
      <c r="I1528" s="136" t="s">
        <v>1806</v>
      </c>
      <c r="J1528" s="136" t="s">
        <v>10291</v>
      </c>
      <c r="L1528" s="136"/>
      <c r="M1528" s="136"/>
      <c r="N1528" s="136"/>
    </row>
    <row r="1529" spans="6:14">
      <c r="F1529" s="136" t="s">
        <v>10292</v>
      </c>
      <c r="G1529" s="136">
        <v>1526</v>
      </c>
      <c r="H1529" s="136" t="s">
        <v>5109</v>
      </c>
      <c r="I1529" s="136" t="s">
        <v>5110</v>
      </c>
      <c r="J1529" s="136" t="s">
        <v>10293</v>
      </c>
      <c r="L1529" s="136"/>
      <c r="M1529" s="136"/>
      <c r="N1529" s="136"/>
    </row>
    <row r="1530" spans="6:14">
      <c r="F1530" s="136" t="s">
        <v>10294</v>
      </c>
      <c r="G1530" s="136">
        <v>1527</v>
      </c>
      <c r="H1530" s="136" t="s">
        <v>10295</v>
      </c>
      <c r="I1530" s="136" t="s">
        <v>10296</v>
      </c>
      <c r="J1530" s="136" t="s">
        <v>10297</v>
      </c>
      <c r="L1530" s="136"/>
      <c r="M1530" s="136"/>
      <c r="N1530" s="136"/>
    </row>
    <row r="1531" spans="6:14">
      <c r="F1531" s="136" t="s">
        <v>10298</v>
      </c>
      <c r="G1531" s="136">
        <v>1528</v>
      </c>
      <c r="H1531" s="136" t="s">
        <v>87</v>
      </c>
      <c r="I1531" s="136" t="s">
        <v>88</v>
      </c>
      <c r="J1531" s="136" t="s">
        <v>10299</v>
      </c>
      <c r="L1531" s="136"/>
      <c r="M1531" s="136"/>
      <c r="N1531" s="136"/>
    </row>
    <row r="1532" spans="6:14">
      <c r="F1532" s="136" t="s">
        <v>10300</v>
      </c>
      <c r="G1532" s="136">
        <v>1529</v>
      </c>
      <c r="H1532" s="136" t="s">
        <v>3693</v>
      </c>
      <c r="I1532" s="136" t="s">
        <v>3694</v>
      </c>
      <c r="J1532" s="136" t="s">
        <v>10301</v>
      </c>
      <c r="L1532" s="136"/>
      <c r="M1532" s="136"/>
      <c r="N1532" s="136"/>
    </row>
    <row r="1533" spans="6:14">
      <c r="F1533" s="136" t="s">
        <v>10302</v>
      </c>
      <c r="G1533" s="136">
        <v>1530</v>
      </c>
      <c r="H1533" s="136" t="s">
        <v>10303</v>
      </c>
      <c r="I1533" s="136" t="s">
        <v>10304</v>
      </c>
      <c r="J1533" s="136" t="s">
        <v>10305</v>
      </c>
      <c r="L1533" s="136"/>
      <c r="M1533" s="136"/>
      <c r="N1533" s="136"/>
    </row>
    <row r="1534" spans="6:14">
      <c r="F1534" s="136" t="s">
        <v>10306</v>
      </c>
      <c r="G1534" s="136">
        <v>1531</v>
      </c>
      <c r="H1534" s="136" t="s">
        <v>5883</v>
      </c>
      <c r="I1534" s="136" t="s">
        <v>5884</v>
      </c>
      <c r="J1534" s="136" t="s">
        <v>10307</v>
      </c>
      <c r="L1534" s="136"/>
      <c r="M1534" s="136"/>
      <c r="N1534" s="136"/>
    </row>
    <row r="1535" spans="6:14">
      <c r="F1535" s="136" t="s">
        <v>10308</v>
      </c>
      <c r="G1535" s="136">
        <v>1532</v>
      </c>
      <c r="H1535" s="136" t="s">
        <v>10309</v>
      </c>
      <c r="I1535" s="136" t="s">
        <v>10310</v>
      </c>
      <c r="J1535" s="136" t="s">
        <v>10311</v>
      </c>
      <c r="L1535" s="136"/>
      <c r="M1535" s="136"/>
      <c r="N1535" s="136"/>
    </row>
    <row r="1536" spans="6:14">
      <c r="F1536" s="136" t="s">
        <v>10312</v>
      </c>
      <c r="G1536" s="136">
        <v>1533</v>
      </c>
      <c r="H1536" s="136" t="s">
        <v>10313</v>
      </c>
      <c r="I1536" s="136" t="s">
        <v>10314</v>
      </c>
      <c r="J1536" s="136" t="s">
        <v>10315</v>
      </c>
      <c r="L1536" s="136"/>
      <c r="M1536" s="136"/>
      <c r="N1536" s="136"/>
    </row>
    <row r="1537" spans="6:14">
      <c r="F1537" s="136" t="s">
        <v>10316</v>
      </c>
      <c r="G1537" s="136">
        <v>1534</v>
      </c>
      <c r="H1537" s="136" t="s">
        <v>3037</v>
      </c>
      <c r="I1537" s="136" t="s">
        <v>3038</v>
      </c>
      <c r="J1537" s="136" t="s">
        <v>10317</v>
      </c>
      <c r="L1537" s="136"/>
      <c r="M1537" s="136"/>
      <c r="N1537" s="136"/>
    </row>
    <row r="1538" spans="6:14">
      <c r="F1538" s="136" t="s">
        <v>10318</v>
      </c>
      <c r="G1538" s="136">
        <v>1535</v>
      </c>
      <c r="H1538" s="136" t="s">
        <v>2915</v>
      </c>
      <c r="I1538" s="136" t="s">
        <v>2916</v>
      </c>
      <c r="J1538" s="136" t="s">
        <v>10319</v>
      </c>
      <c r="L1538" s="136"/>
      <c r="M1538" s="136"/>
      <c r="N1538" s="136"/>
    </row>
    <row r="1539" spans="6:14">
      <c r="F1539" s="136" t="s">
        <v>10320</v>
      </c>
      <c r="G1539" s="136">
        <v>1536</v>
      </c>
      <c r="H1539" s="136" t="s">
        <v>1928</v>
      </c>
      <c r="I1539" s="136" t="s">
        <v>1929</v>
      </c>
      <c r="J1539" s="136" t="s">
        <v>10321</v>
      </c>
      <c r="L1539" s="136"/>
      <c r="M1539" s="136"/>
      <c r="N1539" s="136"/>
    </row>
    <row r="1540" spans="6:14">
      <c r="F1540" s="136" t="s">
        <v>10322</v>
      </c>
      <c r="G1540" s="136">
        <v>1537</v>
      </c>
      <c r="H1540" s="136" t="s">
        <v>10323</v>
      </c>
      <c r="I1540" s="136" t="s">
        <v>10324</v>
      </c>
      <c r="J1540" s="136" t="s">
        <v>10325</v>
      </c>
      <c r="L1540" s="136"/>
      <c r="M1540" s="136"/>
      <c r="N1540" s="136"/>
    </row>
    <row r="1541" spans="6:14">
      <c r="F1541" s="136" t="s">
        <v>10326</v>
      </c>
      <c r="G1541" s="136">
        <v>1538</v>
      </c>
      <c r="H1541" s="136" t="s">
        <v>2732</v>
      </c>
      <c r="I1541" s="136" t="s">
        <v>2733</v>
      </c>
      <c r="J1541" s="136" t="s">
        <v>10327</v>
      </c>
      <c r="L1541" s="136"/>
      <c r="M1541" s="136"/>
      <c r="N1541" s="136"/>
    </row>
    <row r="1542" spans="6:14">
      <c r="F1542" s="136" t="s">
        <v>10328</v>
      </c>
      <c r="G1542" s="136">
        <v>1539</v>
      </c>
      <c r="H1542" s="136" t="s">
        <v>1164</v>
      </c>
      <c r="I1542" s="136" t="s">
        <v>1165</v>
      </c>
      <c r="J1542" s="136" t="s">
        <v>10329</v>
      </c>
      <c r="L1542" s="136"/>
      <c r="M1542" s="136"/>
      <c r="N1542" s="136"/>
    </row>
    <row r="1543" spans="6:14">
      <c r="F1543" s="136" t="s">
        <v>10330</v>
      </c>
      <c r="G1543" s="136">
        <v>1540</v>
      </c>
      <c r="H1543" s="136" t="s">
        <v>3821</v>
      </c>
      <c r="I1543" s="136" t="s">
        <v>3822</v>
      </c>
      <c r="J1543" s="136" t="s">
        <v>10331</v>
      </c>
      <c r="L1543" s="136"/>
      <c r="M1543" s="136"/>
      <c r="N1543" s="136"/>
    </row>
    <row r="1544" spans="6:14">
      <c r="F1544" s="136" t="s">
        <v>10332</v>
      </c>
      <c r="G1544" s="136">
        <v>1541</v>
      </c>
      <c r="H1544" s="136" t="s">
        <v>2688</v>
      </c>
      <c r="I1544" s="136" t="s">
        <v>2691</v>
      </c>
      <c r="J1544" s="136" t="s">
        <v>10333</v>
      </c>
      <c r="L1544" s="136"/>
      <c r="M1544" s="136"/>
      <c r="N1544" s="136"/>
    </row>
    <row r="1545" spans="6:14">
      <c r="F1545" s="136" t="s">
        <v>10334</v>
      </c>
      <c r="G1545" s="136">
        <v>1542</v>
      </c>
      <c r="H1545" s="136" t="s">
        <v>654</v>
      </c>
      <c r="I1545" s="136" t="s">
        <v>655</v>
      </c>
      <c r="J1545" s="136" t="s">
        <v>10335</v>
      </c>
      <c r="L1545" s="136"/>
      <c r="M1545" s="136"/>
      <c r="N1545" s="136"/>
    </row>
    <row r="1546" spans="6:14">
      <c r="F1546" s="136" t="s">
        <v>10336</v>
      </c>
      <c r="G1546" s="136">
        <v>1543</v>
      </c>
      <c r="H1546" s="136" t="s">
        <v>51</v>
      </c>
      <c r="I1546" s="136" t="s">
        <v>52</v>
      </c>
      <c r="J1546" s="136" t="s">
        <v>10337</v>
      </c>
      <c r="L1546" s="136"/>
      <c r="M1546" s="136"/>
      <c r="N1546" s="136"/>
    </row>
    <row r="1547" spans="6:14">
      <c r="F1547" s="136" t="s">
        <v>10338</v>
      </c>
      <c r="G1547" s="136">
        <v>1544</v>
      </c>
      <c r="H1547" s="136" t="s">
        <v>10339</v>
      </c>
      <c r="I1547" s="136" t="s">
        <v>10340</v>
      </c>
      <c r="J1547" s="136" t="s">
        <v>10341</v>
      </c>
      <c r="L1547" s="136"/>
      <c r="M1547" s="136"/>
      <c r="N1547" s="136"/>
    </row>
    <row r="1548" spans="6:14">
      <c r="F1548" s="136" t="s">
        <v>10342</v>
      </c>
      <c r="G1548" s="136">
        <v>1545</v>
      </c>
      <c r="H1548" s="136" t="s">
        <v>4918</v>
      </c>
      <c r="I1548" s="136" t="s">
        <v>4919</v>
      </c>
      <c r="J1548" s="136" t="s">
        <v>10343</v>
      </c>
      <c r="L1548" s="136"/>
      <c r="M1548" s="136"/>
      <c r="N1548" s="136"/>
    </row>
    <row r="1549" spans="6:14">
      <c r="F1549" s="136" t="s">
        <v>10344</v>
      </c>
      <c r="G1549" s="136">
        <v>1546</v>
      </c>
      <c r="H1549" s="136" t="s">
        <v>6028</v>
      </c>
      <c r="I1549" s="136" t="s">
        <v>6029</v>
      </c>
      <c r="J1549" s="136" t="s">
        <v>10345</v>
      </c>
      <c r="L1549" s="136"/>
      <c r="M1549" s="136"/>
      <c r="N1549" s="136"/>
    </row>
    <row r="1550" spans="6:14">
      <c r="F1550" s="136" t="s">
        <v>10346</v>
      </c>
      <c r="G1550" s="136">
        <v>1547</v>
      </c>
      <c r="H1550" s="136" t="s">
        <v>4734</v>
      </c>
      <c r="I1550" s="136" t="s">
        <v>4735</v>
      </c>
      <c r="J1550" s="136" t="s">
        <v>10347</v>
      </c>
      <c r="L1550" s="136"/>
      <c r="M1550" s="136"/>
      <c r="N1550" s="136"/>
    </row>
    <row r="1551" spans="6:14">
      <c r="F1551" s="136" t="s">
        <v>10348</v>
      </c>
      <c r="G1551" s="136">
        <v>1548</v>
      </c>
      <c r="H1551" s="136" t="s">
        <v>5557</v>
      </c>
      <c r="I1551" s="136" t="s">
        <v>5558</v>
      </c>
      <c r="J1551" s="136" t="s">
        <v>10349</v>
      </c>
      <c r="L1551" s="136"/>
      <c r="M1551" s="136"/>
      <c r="N1551" s="136"/>
    </row>
    <row r="1552" spans="6:14">
      <c r="F1552" s="136" t="s">
        <v>10350</v>
      </c>
      <c r="G1552" s="136">
        <v>1549</v>
      </c>
      <c r="H1552" s="136" t="s">
        <v>4521</v>
      </c>
      <c r="I1552" s="136" t="s">
        <v>4522</v>
      </c>
      <c r="J1552" s="136" t="s">
        <v>10351</v>
      </c>
      <c r="L1552" s="136"/>
      <c r="M1552" s="136"/>
      <c r="N1552" s="136"/>
    </row>
    <row r="1553" spans="6:14">
      <c r="F1553" s="136" t="s">
        <v>10352</v>
      </c>
      <c r="G1553" s="136">
        <v>1550</v>
      </c>
      <c r="H1553" s="136" t="s">
        <v>952</v>
      </c>
      <c r="I1553" s="136" t="s">
        <v>953</v>
      </c>
      <c r="J1553" s="136" t="s">
        <v>10353</v>
      </c>
      <c r="L1553" s="136"/>
      <c r="M1553" s="136"/>
      <c r="N1553" s="136"/>
    </row>
    <row r="1554" spans="6:14">
      <c r="F1554" s="136" t="s">
        <v>10354</v>
      </c>
      <c r="G1554" s="136">
        <v>1551</v>
      </c>
      <c r="H1554" s="136" t="s">
        <v>10355</v>
      </c>
      <c r="I1554" s="136" t="s">
        <v>10356</v>
      </c>
      <c r="J1554" s="136" t="s">
        <v>10357</v>
      </c>
      <c r="L1554" s="136"/>
      <c r="M1554" s="136"/>
      <c r="N1554" s="136"/>
    </row>
    <row r="1555" spans="6:14">
      <c r="F1555" s="136" t="s">
        <v>10358</v>
      </c>
      <c r="G1555" s="136">
        <v>1552</v>
      </c>
      <c r="H1555" s="136" t="s">
        <v>1773</v>
      </c>
      <c r="I1555" s="136" t="s">
        <v>1774</v>
      </c>
      <c r="J1555" s="136" t="s">
        <v>10359</v>
      </c>
      <c r="L1555" s="136"/>
      <c r="M1555" s="136"/>
      <c r="N1555" s="136"/>
    </row>
    <row r="1556" spans="6:14">
      <c r="F1556" s="136" t="s">
        <v>10360</v>
      </c>
      <c r="G1556" s="136">
        <v>1553</v>
      </c>
      <c r="H1556" s="136" t="s">
        <v>5557</v>
      </c>
      <c r="I1556" s="136" t="s">
        <v>5558</v>
      </c>
      <c r="J1556" s="136" t="s">
        <v>10361</v>
      </c>
      <c r="L1556" s="136"/>
      <c r="M1556" s="136"/>
      <c r="N1556" s="136"/>
    </row>
    <row r="1557" spans="6:14">
      <c r="F1557" s="136" t="s">
        <v>10362</v>
      </c>
      <c r="G1557" s="136">
        <v>1554</v>
      </c>
      <c r="H1557" s="136" t="s">
        <v>10363</v>
      </c>
      <c r="I1557" s="136" t="s">
        <v>10364</v>
      </c>
      <c r="J1557" s="136" t="s">
        <v>10365</v>
      </c>
      <c r="L1557" s="136"/>
      <c r="M1557" s="136"/>
      <c r="N1557" s="136"/>
    </row>
    <row r="1558" spans="6:14">
      <c r="F1558" s="136" t="s">
        <v>10366</v>
      </c>
      <c r="G1558" s="136">
        <v>1555</v>
      </c>
      <c r="H1558" s="136" t="s">
        <v>4931</v>
      </c>
      <c r="I1558" s="136" t="s">
        <v>4932</v>
      </c>
      <c r="J1558" s="136" t="s">
        <v>10367</v>
      </c>
      <c r="L1558" s="136"/>
      <c r="M1558" s="136"/>
      <c r="N1558" s="136"/>
    </row>
    <row r="1559" spans="6:14">
      <c r="F1559" s="136" t="s">
        <v>10368</v>
      </c>
      <c r="G1559" s="136">
        <v>1556</v>
      </c>
      <c r="H1559" s="136" t="s">
        <v>4751</v>
      </c>
      <c r="I1559" s="136" t="s">
        <v>4752</v>
      </c>
      <c r="J1559" s="136" t="s">
        <v>10369</v>
      </c>
      <c r="L1559" s="136"/>
      <c r="M1559" s="136"/>
      <c r="N1559" s="136"/>
    </row>
    <row r="1560" spans="6:14">
      <c r="F1560" s="136" t="s">
        <v>10370</v>
      </c>
      <c r="G1560" s="136">
        <v>1557</v>
      </c>
      <c r="H1560" s="136" t="s">
        <v>10371</v>
      </c>
      <c r="I1560" s="136" t="s">
        <v>10372</v>
      </c>
      <c r="J1560" s="136" t="s">
        <v>10373</v>
      </c>
      <c r="L1560" s="136"/>
      <c r="M1560" s="136"/>
      <c r="N1560" s="136"/>
    </row>
    <row r="1561" spans="6:14">
      <c r="F1561" s="136" t="s">
        <v>10374</v>
      </c>
      <c r="G1561" s="136">
        <v>1558</v>
      </c>
      <c r="H1561" s="136" t="s">
        <v>10375</v>
      </c>
      <c r="I1561" s="136" t="s">
        <v>10376</v>
      </c>
      <c r="J1561" s="136" t="s">
        <v>10377</v>
      </c>
      <c r="L1561" s="136"/>
      <c r="M1561" s="136"/>
      <c r="N1561" s="136"/>
    </row>
    <row r="1562" spans="6:14">
      <c r="F1562" s="136" t="s">
        <v>10378</v>
      </c>
      <c r="G1562" s="136">
        <v>1559</v>
      </c>
      <c r="H1562" s="136" t="s">
        <v>5371</v>
      </c>
      <c r="I1562" s="136" t="s">
        <v>5372</v>
      </c>
      <c r="J1562" s="136" t="s">
        <v>10379</v>
      </c>
      <c r="L1562" s="136"/>
      <c r="M1562" s="136"/>
      <c r="N1562" s="136"/>
    </row>
    <row r="1563" spans="6:14">
      <c r="F1563" s="136" t="s">
        <v>10380</v>
      </c>
      <c r="G1563" s="136">
        <v>1560</v>
      </c>
      <c r="H1563" s="136" t="s">
        <v>3617</v>
      </c>
      <c r="I1563" s="136" t="s">
        <v>3618</v>
      </c>
      <c r="J1563" s="136" t="s">
        <v>10381</v>
      </c>
      <c r="L1563" s="136"/>
      <c r="M1563" s="136"/>
      <c r="N1563" s="136"/>
    </row>
    <row r="1564" spans="6:14">
      <c r="F1564" s="136" t="s">
        <v>10382</v>
      </c>
      <c r="G1564" s="136">
        <v>1561</v>
      </c>
      <c r="H1564" s="136" t="s">
        <v>3325</v>
      </c>
      <c r="I1564" s="136" t="s">
        <v>3326</v>
      </c>
      <c r="J1564" s="136" t="s">
        <v>10383</v>
      </c>
      <c r="L1564" s="136"/>
      <c r="M1564" s="136"/>
      <c r="N1564" s="136"/>
    </row>
    <row r="1565" spans="6:14">
      <c r="F1565" s="136" t="s">
        <v>10384</v>
      </c>
      <c r="G1565" s="136">
        <v>1562</v>
      </c>
      <c r="H1565" s="136" t="s">
        <v>1653</v>
      </c>
      <c r="I1565" s="136" t="s">
        <v>1654</v>
      </c>
      <c r="J1565" s="136" t="s">
        <v>10385</v>
      </c>
      <c r="L1565" s="136"/>
      <c r="M1565" s="136"/>
      <c r="N1565" s="136"/>
    </row>
    <row r="1566" spans="6:14">
      <c r="F1566" s="136" t="s">
        <v>10386</v>
      </c>
      <c r="G1566" s="136">
        <v>1563</v>
      </c>
      <c r="H1566" s="136" t="s">
        <v>10387</v>
      </c>
      <c r="I1566" s="136" t="s">
        <v>10388</v>
      </c>
      <c r="J1566" s="136" t="s">
        <v>10389</v>
      </c>
      <c r="L1566" s="136"/>
      <c r="M1566" s="136"/>
      <c r="N1566" s="136"/>
    </row>
    <row r="1567" spans="6:14">
      <c r="F1567" s="136" t="s">
        <v>10390</v>
      </c>
      <c r="G1567" s="136">
        <v>1564</v>
      </c>
      <c r="H1567" s="136" t="s">
        <v>2553</v>
      </c>
      <c r="I1567" s="136" t="s">
        <v>2554</v>
      </c>
      <c r="J1567" s="136" t="s">
        <v>10391</v>
      </c>
      <c r="L1567" s="136"/>
      <c r="M1567" s="136"/>
      <c r="N1567" s="136"/>
    </row>
    <row r="1568" spans="6:14">
      <c r="F1568" s="136" t="s">
        <v>10392</v>
      </c>
      <c r="G1568" s="136">
        <v>1565</v>
      </c>
      <c r="H1568" s="136" t="s">
        <v>4114</v>
      </c>
      <c r="I1568" s="136" t="s">
        <v>4115</v>
      </c>
      <c r="J1568" s="136" t="s">
        <v>10393</v>
      </c>
      <c r="L1568" s="136"/>
      <c r="M1568" s="136"/>
      <c r="N1568" s="136"/>
    </row>
    <row r="1569" spans="6:14">
      <c r="F1569" s="136" t="s">
        <v>10394</v>
      </c>
      <c r="G1569" s="136">
        <v>1566</v>
      </c>
      <c r="H1569" s="136" t="s">
        <v>1882</v>
      </c>
      <c r="I1569" s="136" t="s">
        <v>1883</v>
      </c>
      <c r="J1569" s="136" t="s">
        <v>10395</v>
      </c>
      <c r="L1569" s="136"/>
      <c r="M1569" s="136"/>
      <c r="N1569" s="136"/>
    </row>
    <row r="1570" spans="6:14">
      <c r="F1570" s="136" t="s">
        <v>10396</v>
      </c>
      <c r="G1570" s="136">
        <v>1567</v>
      </c>
      <c r="H1570" s="136" t="s">
        <v>2412</v>
      </c>
      <c r="I1570" s="136" t="s">
        <v>2413</v>
      </c>
      <c r="J1570" s="136" t="s">
        <v>10397</v>
      </c>
      <c r="L1570" s="136"/>
      <c r="M1570" s="136"/>
      <c r="N1570" s="136"/>
    </row>
    <row r="1571" spans="6:14">
      <c r="F1571" s="136" t="s">
        <v>10398</v>
      </c>
      <c r="G1571" s="136">
        <v>1568</v>
      </c>
      <c r="H1571" s="136" t="s">
        <v>5818</v>
      </c>
      <c r="I1571" s="136" t="s">
        <v>5819</v>
      </c>
      <c r="J1571" s="136" t="s">
        <v>10399</v>
      </c>
      <c r="L1571" s="136"/>
      <c r="M1571" s="136"/>
      <c r="N1571" s="136"/>
    </row>
    <row r="1572" spans="6:14">
      <c r="F1572" s="136" t="s">
        <v>10400</v>
      </c>
      <c r="G1572" s="136">
        <v>1569</v>
      </c>
      <c r="H1572" s="136" t="s">
        <v>729</v>
      </c>
      <c r="I1572" s="136" t="s">
        <v>730</v>
      </c>
      <c r="J1572" s="136" t="s">
        <v>10401</v>
      </c>
      <c r="L1572" s="136"/>
      <c r="M1572" s="136"/>
      <c r="N1572" s="136"/>
    </row>
    <row r="1573" spans="6:14">
      <c r="F1573" s="136" t="s">
        <v>10402</v>
      </c>
      <c r="G1573" s="136">
        <v>1570</v>
      </c>
      <c r="H1573" s="136" t="s">
        <v>2760</v>
      </c>
      <c r="I1573" s="136" t="s">
        <v>2761</v>
      </c>
      <c r="J1573" s="136" t="s">
        <v>10403</v>
      </c>
      <c r="L1573" s="136"/>
      <c r="M1573" s="136"/>
      <c r="N1573" s="136"/>
    </row>
    <row r="1574" spans="6:14">
      <c r="F1574" s="136" t="s">
        <v>10404</v>
      </c>
      <c r="G1574" s="136">
        <v>1571</v>
      </c>
      <c r="H1574" s="136" t="s">
        <v>914</v>
      </c>
      <c r="I1574" s="136" t="s">
        <v>915</v>
      </c>
      <c r="J1574" s="136" t="s">
        <v>10405</v>
      </c>
      <c r="L1574" s="136"/>
      <c r="M1574" s="136"/>
      <c r="N1574" s="136"/>
    </row>
    <row r="1575" spans="6:14">
      <c r="F1575" s="136" t="s">
        <v>10406</v>
      </c>
      <c r="G1575" s="136">
        <v>1572</v>
      </c>
      <c r="H1575" s="136" t="s">
        <v>1719</v>
      </c>
      <c r="I1575" s="136" t="s">
        <v>1720</v>
      </c>
      <c r="J1575" s="136" t="s">
        <v>10407</v>
      </c>
      <c r="L1575" s="136"/>
      <c r="M1575" s="136"/>
      <c r="N1575" s="136"/>
    </row>
    <row r="1576" spans="6:14">
      <c r="F1576" s="136" t="s">
        <v>10408</v>
      </c>
      <c r="G1576" s="136">
        <v>1573</v>
      </c>
      <c r="H1576" s="136" t="s">
        <v>10409</v>
      </c>
      <c r="I1576" s="136" t="s">
        <v>10410</v>
      </c>
      <c r="J1576" s="136" t="s">
        <v>10411</v>
      </c>
      <c r="L1576" s="136"/>
      <c r="M1576" s="136"/>
      <c r="N1576" s="136"/>
    </row>
    <row r="1577" spans="6:14">
      <c r="F1577" s="136" t="s">
        <v>10412</v>
      </c>
      <c r="G1577" s="136">
        <v>1574</v>
      </c>
      <c r="H1577" s="136" t="s">
        <v>2818</v>
      </c>
      <c r="I1577" s="136" t="s">
        <v>2825</v>
      </c>
      <c r="J1577" s="136" t="s">
        <v>10413</v>
      </c>
      <c r="L1577" s="136"/>
      <c r="M1577" s="136"/>
      <c r="N1577" s="136"/>
    </row>
    <row r="1578" spans="6:14">
      <c r="F1578" s="136" t="s">
        <v>10414</v>
      </c>
      <c r="G1578" s="136">
        <v>1575</v>
      </c>
      <c r="H1578" s="136" t="s">
        <v>4740</v>
      </c>
      <c r="I1578" s="136" t="s">
        <v>4741</v>
      </c>
      <c r="J1578" s="136" t="s">
        <v>10415</v>
      </c>
      <c r="L1578" s="136"/>
      <c r="M1578" s="136"/>
      <c r="N1578" s="136"/>
    </row>
    <row r="1579" spans="6:14">
      <c r="F1579" s="136" t="s">
        <v>10416</v>
      </c>
      <c r="G1579" s="136">
        <v>1576</v>
      </c>
      <c r="H1579" s="136" t="s">
        <v>5949</v>
      </c>
      <c r="I1579" s="136" t="s">
        <v>5950</v>
      </c>
      <c r="J1579" s="136" t="s">
        <v>10417</v>
      </c>
      <c r="L1579" s="136"/>
      <c r="M1579" s="136"/>
      <c r="N1579" s="136"/>
    </row>
    <row r="1580" spans="6:14">
      <c r="F1580" s="136" t="s">
        <v>10418</v>
      </c>
      <c r="G1580" s="136">
        <v>1577</v>
      </c>
      <c r="H1580" s="136" t="s">
        <v>3405</v>
      </c>
      <c r="I1580" s="136" t="s">
        <v>3406</v>
      </c>
      <c r="J1580" s="136" t="s">
        <v>10419</v>
      </c>
      <c r="L1580" s="136"/>
      <c r="M1580" s="136"/>
      <c r="N1580" s="136"/>
    </row>
    <row r="1581" spans="6:14">
      <c r="F1581" s="136" t="s">
        <v>10420</v>
      </c>
      <c r="G1581" s="136">
        <v>1578</v>
      </c>
      <c r="H1581" s="136" t="s">
        <v>658</v>
      </c>
      <c r="I1581" s="136" t="s">
        <v>659</v>
      </c>
      <c r="J1581" s="136" t="s">
        <v>10421</v>
      </c>
      <c r="L1581" s="136"/>
      <c r="M1581" s="136"/>
      <c r="N1581" s="136"/>
    </row>
    <row r="1582" spans="6:14">
      <c r="F1582" s="136" t="s">
        <v>10422</v>
      </c>
      <c r="G1582" s="136">
        <v>1579</v>
      </c>
      <c r="H1582" s="136" t="s">
        <v>5559</v>
      </c>
      <c r="I1582" s="136" t="s">
        <v>5560</v>
      </c>
      <c r="J1582" s="136" t="s">
        <v>10423</v>
      </c>
      <c r="L1582" s="136"/>
      <c r="M1582" s="136"/>
      <c r="N1582" s="136"/>
    </row>
    <row r="1583" spans="6:14">
      <c r="F1583" s="136" t="s">
        <v>10424</v>
      </c>
      <c r="G1583" s="136">
        <v>1580</v>
      </c>
      <c r="H1583" s="136" t="s">
        <v>3825</v>
      </c>
      <c r="I1583" s="136" t="s">
        <v>3826</v>
      </c>
      <c r="J1583" s="136" t="s">
        <v>10425</v>
      </c>
      <c r="L1583" s="136"/>
      <c r="M1583" s="136"/>
      <c r="N1583" s="136"/>
    </row>
    <row r="1584" spans="6:14">
      <c r="F1584" s="136" t="s">
        <v>10426</v>
      </c>
      <c r="G1584" s="136">
        <v>1581</v>
      </c>
      <c r="H1584" s="136" t="s">
        <v>5620</v>
      </c>
      <c r="I1584" s="136" t="s">
        <v>5621</v>
      </c>
      <c r="J1584" s="136" t="s">
        <v>10427</v>
      </c>
      <c r="L1584" s="136"/>
      <c r="M1584" s="136"/>
      <c r="N1584" s="136"/>
    </row>
    <row r="1585" spans="6:14">
      <c r="F1585" s="136" t="s">
        <v>10428</v>
      </c>
      <c r="G1585" s="136">
        <v>1582</v>
      </c>
      <c r="H1585" s="136" t="s">
        <v>2744</v>
      </c>
      <c r="I1585" s="136" t="s">
        <v>2746</v>
      </c>
      <c r="J1585" s="136" t="s">
        <v>10429</v>
      </c>
      <c r="L1585" s="136"/>
      <c r="M1585" s="136"/>
      <c r="N1585" s="136"/>
    </row>
    <row r="1586" spans="6:14">
      <c r="F1586" s="136" t="s">
        <v>10430</v>
      </c>
      <c r="G1586" s="136">
        <v>1583</v>
      </c>
      <c r="H1586" s="136" t="s">
        <v>10431</v>
      </c>
      <c r="I1586" s="136" t="s">
        <v>10432</v>
      </c>
      <c r="J1586" s="136" t="s">
        <v>10433</v>
      </c>
      <c r="L1586" s="136"/>
      <c r="M1586" s="136"/>
      <c r="N1586" s="136"/>
    </row>
    <row r="1587" spans="6:14">
      <c r="F1587" s="136" t="s">
        <v>10434</v>
      </c>
      <c r="G1587" s="136">
        <v>1584</v>
      </c>
      <c r="H1587" s="136" t="s">
        <v>5653</v>
      </c>
      <c r="I1587" s="136" t="s">
        <v>5654</v>
      </c>
      <c r="J1587" s="136" t="s">
        <v>10435</v>
      </c>
      <c r="L1587" s="136"/>
      <c r="M1587" s="136"/>
      <c r="N1587" s="136"/>
    </row>
    <row r="1588" spans="6:14">
      <c r="F1588" s="136" t="s">
        <v>10436</v>
      </c>
      <c r="G1588" s="136">
        <v>1585</v>
      </c>
      <c r="H1588" s="136" t="s">
        <v>10437</v>
      </c>
      <c r="I1588" s="136" t="s">
        <v>10438</v>
      </c>
      <c r="J1588" s="136" t="s">
        <v>10439</v>
      </c>
      <c r="L1588" s="136"/>
      <c r="M1588" s="136"/>
      <c r="N1588" s="136"/>
    </row>
    <row r="1589" spans="6:14">
      <c r="F1589" s="136" t="s">
        <v>10440</v>
      </c>
      <c r="G1589" s="136">
        <v>1586</v>
      </c>
      <c r="H1589" s="136" t="s">
        <v>10441</v>
      </c>
      <c r="I1589" s="136" t="s">
        <v>10442</v>
      </c>
      <c r="J1589" s="136" t="s">
        <v>10443</v>
      </c>
      <c r="L1589" s="136"/>
      <c r="M1589" s="136"/>
      <c r="N1589" s="136"/>
    </row>
    <row r="1590" spans="6:14">
      <c r="F1590" s="136" t="s">
        <v>10444</v>
      </c>
      <c r="G1590" s="136">
        <v>1587</v>
      </c>
      <c r="H1590" s="136" t="s">
        <v>5195</v>
      </c>
      <c r="I1590" s="136" t="s">
        <v>5196</v>
      </c>
      <c r="J1590" s="136" t="s">
        <v>10445</v>
      </c>
      <c r="L1590" s="136"/>
      <c r="M1590" s="136"/>
      <c r="N1590" s="136"/>
    </row>
    <row r="1591" spans="6:14">
      <c r="F1591" s="136" t="s">
        <v>10446</v>
      </c>
      <c r="G1591" s="136">
        <v>1588</v>
      </c>
      <c r="H1591" s="136" t="s">
        <v>10447</v>
      </c>
      <c r="I1591" s="136" t="s">
        <v>4222</v>
      </c>
      <c r="J1591" s="136" t="s">
        <v>10448</v>
      </c>
      <c r="L1591" s="136"/>
      <c r="M1591" s="136"/>
      <c r="N1591" s="136"/>
    </row>
    <row r="1592" spans="6:14">
      <c r="F1592" s="136" t="s">
        <v>10449</v>
      </c>
      <c r="G1592" s="136">
        <v>1589</v>
      </c>
      <c r="H1592" s="136" t="s">
        <v>3636</v>
      </c>
      <c r="I1592" s="136" t="s">
        <v>3637</v>
      </c>
      <c r="J1592" s="136" t="s">
        <v>10450</v>
      </c>
      <c r="L1592" s="136"/>
      <c r="M1592" s="136"/>
      <c r="N1592" s="136"/>
    </row>
    <row r="1593" spans="6:14">
      <c r="F1593" s="136" t="s">
        <v>10451</v>
      </c>
      <c r="G1593" s="136">
        <v>1590</v>
      </c>
      <c r="H1593" s="136" t="s">
        <v>2302</v>
      </c>
      <c r="I1593" s="136" t="s">
        <v>2303</v>
      </c>
      <c r="J1593" s="136" t="s">
        <v>10452</v>
      </c>
      <c r="L1593" s="136"/>
      <c r="M1593" s="136"/>
      <c r="N1593" s="136"/>
    </row>
    <row r="1594" spans="6:14">
      <c r="F1594" s="136" t="s">
        <v>10453</v>
      </c>
      <c r="G1594" s="136">
        <v>1591</v>
      </c>
      <c r="H1594" s="136" t="s">
        <v>221</v>
      </c>
      <c r="I1594" s="136" t="s">
        <v>222</v>
      </c>
      <c r="J1594" s="136" t="s">
        <v>10454</v>
      </c>
      <c r="L1594" s="136"/>
      <c r="M1594" s="136"/>
      <c r="N1594" s="136"/>
    </row>
    <row r="1595" spans="6:14">
      <c r="F1595" s="136" t="s">
        <v>10455</v>
      </c>
      <c r="G1595" s="136">
        <v>1592</v>
      </c>
      <c r="H1595" s="136" t="s">
        <v>5367</v>
      </c>
      <c r="I1595" s="136" t="s">
        <v>5368</v>
      </c>
      <c r="J1595" s="136" t="s">
        <v>10456</v>
      </c>
      <c r="L1595" s="136"/>
      <c r="M1595" s="136"/>
      <c r="N1595" s="136"/>
    </row>
    <row r="1596" spans="6:14">
      <c r="F1596" s="136" t="s">
        <v>10457</v>
      </c>
      <c r="G1596" s="136">
        <v>1593</v>
      </c>
      <c r="H1596" s="136" t="s">
        <v>5427</v>
      </c>
      <c r="I1596" s="136" t="s">
        <v>5428</v>
      </c>
      <c r="J1596" s="136" t="s">
        <v>10458</v>
      </c>
      <c r="L1596" s="136"/>
      <c r="M1596" s="136"/>
      <c r="N1596" s="136"/>
    </row>
    <row r="1597" spans="6:14">
      <c r="F1597" s="136" t="s">
        <v>10459</v>
      </c>
      <c r="G1597" s="136">
        <v>1594</v>
      </c>
      <c r="H1597" s="136" t="s">
        <v>2034</v>
      </c>
      <c r="I1597" s="136" t="s">
        <v>2035</v>
      </c>
      <c r="J1597" s="136" t="s">
        <v>10460</v>
      </c>
      <c r="L1597" s="136"/>
      <c r="M1597" s="136"/>
      <c r="N1597" s="136"/>
    </row>
    <row r="1598" spans="6:14">
      <c r="F1598" s="136" t="s">
        <v>10461</v>
      </c>
      <c r="G1598" s="136">
        <v>1595</v>
      </c>
      <c r="H1598" s="136" t="s">
        <v>10462</v>
      </c>
      <c r="I1598" s="136" t="s">
        <v>10463</v>
      </c>
      <c r="J1598" s="136" t="s">
        <v>10464</v>
      </c>
      <c r="L1598" s="136"/>
      <c r="M1598" s="136"/>
      <c r="N1598" s="136"/>
    </row>
    <row r="1599" spans="6:14">
      <c r="F1599" s="136" t="s">
        <v>10465</v>
      </c>
      <c r="G1599" s="136">
        <v>1596</v>
      </c>
      <c r="H1599" s="136" t="s">
        <v>10466</v>
      </c>
      <c r="I1599" s="136" t="s">
        <v>10467</v>
      </c>
      <c r="J1599" s="136" t="s">
        <v>10468</v>
      </c>
      <c r="L1599" s="136"/>
      <c r="M1599" s="136"/>
      <c r="N1599" s="136"/>
    </row>
    <row r="1600" spans="6:14">
      <c r="F1600" s="136" t="s">
        <v>10469</v>
      </c>
      <c r="G1600" s="136">
        <v>1597</v>
      </c>
      <c r="H1600" s="136" t="s">
        <v>6074</v>
      </c>
      <c r="I1600" s="136" t="s">
        <v>6075</v>
      </c>
      <c r="J1600" s="136" t="s">
        <v>10470</v>
      </c>
      <c r="L1600" s="136"/>
      <c r="M1600" s="136"/>
      <c r="N1600" s="136"/>
    </row>
    <row r="1601" spans="6:14">
      <c r="F1601" s="136" t="s">
        <v>10471</v>
      </c>
      <c r="G1601" s="136">
        <v>1598</v>
      </c>
      <c r="H1601" s="136" t="s">
        <v>4335</v>
      </c>
      <c r="I1601" s="136" t="s">
        <v>4336</v>
      </c>
      <c r="J1601" s="136" t="s">
        <v>10472</v>
      </c>
      <c r="L1601" s="136"/>
      <c r="M1601" s="136"/>
      <c r="N1601" s="136"/>
    </row>
    <row r="1602" spans="6:14">
      <c r="F1602" s="136" t="s">
        <v>10473</v>
      </c>
      <c r="G1602" s="136">
        <v>1599</v>
      </c>
      <c r="H1602" s="136" t="s">
        <v>1522</v>
      </c>
      <c r="I1602" s="136" t="s">
        <v>1523</v>
      </c>
      <c r="J1602" s="136" t="s">
        <v>10474</v>
      </c>
      <c r="L1602" s="136"/>
      <c r="M1602" s="136"/>
      <c r="N1602" s="136"/>
    </row>
    <row r="1603" spans="6:14">
      <c r="F1603" s="136" t="s">
        <v>10475</v>
      </c>
      <c r="G1603" s="136">
        <v>1600</v>
      </c>
      <c r="H1603" s="136" t="s">
        <v>3805</v>
      </c>
      <c r="I1603" s="136" t="s">
        <v>3806</v>
      </c>
      <c r="J1603" s="136" t="s">
        <v>10476</v>
      </c>
      <c r="L1603" s="136"/>
      <c r="M1603" s="136"/>
      <c r="N1603" s="136"/>
    </row>
    <row r="1604" spans="6:14">
      <c r="F1604" s="136" t="s">
        <v>10477</v>
      </c>
      <c r="G1604" s="136">
        <v>1601</v>
      </c>
      <c r="H1604" s="136" t="s">
        <v>10478</v>
      </c>
      <c r="I1604" s="136" t="s">
        <v>10479</v>
      </c>
      <c r="J1604" s="136" t="s">
        <v>10480</v>
      </c>
      <c r="L1604" s="136"/>
      <c r="M1604" s="136"/>
      <c r="N1604" s="136"/>
    </row>
    <row r="1605" spans="6:14">
      <c r="F1605" s="136" t="s">
        <v>10481</v>
      </c>
      <c r="G1605" s="136">
        <v>1602</v>
      </c>
      <c r="H1605" s="136" t="s">
        <v>112</v>
      </c>
      <c r="I1605" s="136" t="s">
        <v>113</v>
      </c>
      <c r="J1605" s="136" t="s">
        <v>10482</v>
      </c>
      <c r="L1605" s="136"/>
      <c r="M1605" s="136"/>
      <c r="N1605" s="136"/>
    </row>
    <row r="1606" spans="6:14">
      <c r="F1606" s="136" t="s">
        <v>10483</v>
      </c>
      <c r="G1606" s="136">
        <v>1603</v>
      </c>
      <c r="H1606" s="136" t="s">
        <v>10484</v>
      </c>
      <c r="I1606" s="136" t="s">
        <v>10485</v>
      </c>
      <c r="J1606" s="136" t="s">
        <v>10486</v>
      </c>
      <c r="L1606" s="136"/>
      <c r="M1606" s="136"/>
      <c r="N1606" s="136"/>
    </row>
    <row r="1607" spans="6:14">
      <c r="F1607" s="136" t="s">
        <v>10487</v>
      </c>
      <c r="G1607" s="136">
        <v>1604</v>
      </c>
      <c r="H1607" s="136" t="s">
        <v>10488</v>
      </c>
      <c r="I1607" s="136" t="s">
        <v>10489</v>
      </c>
      <c r="J1607" s="136" t="s">
        <v>10490</v>
      </c>
      <c r="L1607" s="136"/>
      <c r="M1607" s="136"/>
      <c r="N1607" s="136"/>
    </row>
    <row r="1608" spans="6:14">
      <c r="F1608" s="136" t="s">
        <v>10491</v>
      </c>
      <c r="G1608" s="136">
        <v>1605</v>
      </c>
      <c r="H1608" s="136" t="s">
        <v>10492</v>
      </c>
      <c r="I1608" s="136" t="s">
        <v>10493</v>
      </c>
      <c r="J1608" s="136" t="s">
        <v>10494</v>
      </c>
      <c r="L1608" s="136"/>
      <c r="M1608" s="136"/>
      <c r="N1608" s="136"/>
    </row>
    <row r="1609" spans="6:14">
      <c r="F1609" s="136" t="s">
        <v>10495</v>
      </c>
      <c r="G1609" s="136">
        <v>1606</v>
      </c>
      <c r="H1609" s="136" t="s">
        <v>6183</v>
      </c>
      <c r="I1609" s="136" t="s">
        <v>6185</v>
      </c>
      <c r="J1609" s="136" t="s">
        <v>10496</v>
      </c>
      <c r="L1609" s="136"/>
      <c r="M1609" s="136"/>
      <c r="N1609" s="136"/>
    </row>
    <row r="1610" spans="6:14">
      <c r="F1610" s="136" t="s">
        <v>10497</v>
      </c>
      <c r="G1610" s="136">
        <v>1607</v>
      </c>
      <c r="H1610" s="136" t="s">
        <v>6183</v>
      </c>
      <c r="I1610" s="136" t="s">
        <v>6186</v>
      </c>
      <c r="J1610" s="136" t="s">
        <v>10498</v>
      </c>
      <c r="L1610" s="136"/>
      <c r="M1610" s="136"/>
      <c r="N1610" s="136"/>
    </row>
    <row r="1611" spans="6:14">
      <c r="F1611" s="136" t="s">
        <v>10499</v>
      </c>
      <c r="G1611" s="136">
        <v>1608</v>
      </c>
      <c r="H1611" s="136" t="s">
        <v>2028</v>
      </c>
      <c r="I1611" s="136" t="s">
        <v>2029</v>
      </c>
      <c r="J1611" s="136" t="s">
        <v>10500</v>
      </c>
      <c r="L1611" s="136"/>
      <c r="M1611" s="136"/>
      <c r="N1611" s="136"/>
    </row>
    <row r="1612" spans="6:14">
      <c r="F1612" s="136" t="s">
        <v>10501</v>
      </c>
      <c r="G1612" s="136">
        <v>1609</v>
      </c>
      <c r="H1612" s="136" t="s">
        <v>10502</v>
      </c>
      <c r="I1612" s="136" t="s">
        <v>10503</v>
      </c>
      <c r="J1612" s="136" t="s">
        <v>10504</v>
      </c>
      <c r="L1612" s="136"/>
      <c r="M1612" s="136"/>
      <c r="N1612" s="136"/>
    </row>
    <row r="1613" spans="6:14">
      <c r="F1613" s="136" t="s">
        <v>10505</v>
      </c>
      <c r="G1613" s="136">
        <v>1610</v>
      </c>
      <c r="H1613" s="136" t="s">
        <v>5868</v>
      </c>
      <c r="I1613" s="136" t="s">
        <v>5870</v>
      </c>
      <c r="J1613" s="136" t="s">
        <v>10506</v>
      </c>
      <c r="L1613" s="136"/>
      <c r="M1613" s="136"/>
      <c r="N1613" s="136"/>
    </row>
    <row r="1614" spans="6:14">
      <c r="F1614" s="136" t="s">
        <v>10507</v>
      </c>
      <c r="G1614" s="136">
        <v>1611</v>
      </c>
      <c r="H1614" s="136" t="s">
        <v>2968</v>
      </c>
      <c r="I1614" s="136" t="s">
        <v>2969</v>
      </c>
      <c r="J1614" s="136" t="s">
        <v>10508</v>
      </c>
      <c r="L1614" s="136"/>
      <c r="M1614" s="136"/>
      <c r="N1614" s="136"/>
    </row>
    <row r="1615" spans="6:14">
      <c r="F1615" s="136" t="s">
        <v>10509</v>
      </c>
      <c r="G1615" s="136">
        <v>1612</v>
      </c>
      <c r="H1615" s="136" t="s">
        <v>6142</v>
      </c>
      <c r="I1615" s="136" t="s">
        <v>6143</v>
      </c>
      <c r="J1615" s="136" t="s">
        <v>10510</v>
      </c>
      <c r="L1615" s="136"/>
      <c r="M1615" s="136"/>
      <c r="N1615" s="136"/>
    </row>
    <row r="1616" spans="6:14">
      <c r="F1616" s="136" t="s">
        <v>10511</v>
      </c>
      <c r="G1616" s="136">
        <v>1613</v>
      </c>
      <c r="H1616" s="136" t="s">
        <v>1636</v>
      </c>
      <c r="I1616" s="136" t="s">
        <v>1639</v>
      </c>
      <c r="J1616" s="136" t="s">
        <v>10512</v>
      </c>
      <c r="L1616" s="136"/>
      <c r="M1616" s="136"/>
      <c r="N1616" s="136"/>
    </row>
    <row r="1617" spans="6:14">
      <c r="F1617" s="136" t="s">
        <v>10513</v>
      </c>
      <c r="G1617" s="136">
        <v>1614</v>
      </c>
      <c r="H1617" s="136" t="s">
        <v>10514</v>
      </c>
      <c r="I1617" s="136" t="s">
        <v>10515</v>
      </c>
      <c r="J1617" s="136" t="s">
        <v>10516</v>
      </c>
      <c r="L1617" s="136"/>
      <c r="M1617" s="136"/>
      <c r="N1617" s="136"/>
    </row>
    <row r="1618" spans="6:14">
      <c r="F1618" s="136" t="s">
        <v>10517</v>
      </c>
      <c r="G1618" s="136">
        <v>1615</v>
      </c>
      <c r="H1618" s="136" t="s">
        <v>2885</v>
      </c>
      <c r="I1618" s="136" t="s">
        <v>2886</v>
      </c>
      <c r="J1618" s="136" t="s">
        <v>10518</v>
      </c>
      <c r="L1618" s="136"/>
      <c r="M1618" s="136"/>
      <c r="N1618" s="136"/>
    </row>
    <row r="1619" spans="6:14">
      <c r="F1619" s="136" t="s">
        <v>10519</v>
      </c>
      <c r="G1619" s="136">
        <v>1616</v>
      </c>
      <c r="H1619" s="136" t="s">
        <v>6144</v>
      </c>
      <c r="I1619" s="136" t="s">
        <v>6145</v>
      </c>
      <c r="J1619" s="136" t="s">
        <v>10520</v>
      </c>
      <c r="L1619" s="136"/>
      <c r="M1619" s="136"/>
      <c r="N1619" s="136"/>
    </row>
    <row r="1620" spans="6:14">
      <c r="F1620" s="136" t="s">
        <v>10521</v>
      </c>
      <c r="G1620" s="136">
        <v>1617</v>
      </c>
      <c r="H1620" s="136" t="s">
        <v>5914</v>
      </c>
      <c r="I1620" s="136" t="s">
        <v>5914</v>
      </c>
      <c r="J1620" s="136" t="s">
        <v>10522</v>
      </c>
      <c r="L1620" s="136"/>
      <c r="M1620" s="136"/>
      <c r="N1620" s="136"/>
    </row>
    <row r="1621" spans="6:14">
      <c r="F1621" s="136" t="s">
        <v>10523</v>
      </c>
      <c r="G1621" s="136">
        <v>1618</v>
      </c>
      <c r="H1621" s="136" t="s">
        <v>4325</v>
      </c>
      <c r="I1621" s="136" t="s">
        <v>4326</v>
      </c>
      <c r="J1621" s="136" t="s">
        <v>10524</v>
      </c>
      <c r="L1621" s="136"/>
      <c r="M1621" s="136"/>
      <c r="N1621" s="136"/>
    </row>
    <row r="1622" spans="6:14">
      <c r="F1622" s="136" t="s">
        <v>10525</v>
      </c>
      <c r="G1622" s="136">
        <v>1619</v>
      </c>
      <c r="H1622" s="136" t="s">
        <v>10526</v>
      </c>
      <c r="I1622" s="136" t="s">
        <v>10527</v>
      </c>
      <c r="J1622" s="136" t="s">
        <v>10528</v>
      </c>
      <c r="L1622" s="136"/>
      <c r="M1622" s="136"/>
      <c r="N1622" s="136"/>
    </row>
    <row r="1623" spans="6:14">
      <c r="F1623" s="136" t="s">
        <v>10529</v>
      </c>
      <c r="G1623" s="136">
        <v>1620</v>
      </c>
      <c r="H1623" s="136" t="s">
        <v>3546</v>
      </c>
      <c r="I1623" s="136" t="s">
        <v>3547</v>
      </c>
      <c r="J1623" s="136" t="s">
        <v>10530</v>
      </c>
      <c r="L1623" s="136"/>
      <c r="M1623" s="136"/>
      <c r="N1623" s="136"/>
    </row>
    <row r="1624" spans="6:14">
      <c r="F1624" s="136" t="s">
        <v>10531</v>
      </c>
      <c r="G1624" s="136">
        <v>1621</v>
      </c>
      <c r="H1624" s="136" t="s">
        <v>4505</v>
      </c>
      <c r="I1624" s="136" t="s">
        <v>4506</v>
      </c>
      <c r="J1624" s="136" t="s">
        <v>10532</v>
      </c>
      <c r="L1624" s="136"/>
      <c r="M1624" s="136"/>
      <c r="N1624" s="136"/>
    </row>
    <row r="1625" spans="6:14">
      <c r="F1625" s="136" t="s">
        <v>10533</v>
      </c>
      <c r="G1625" s="136">
        <v>1622</v>
      </c>
      <c r="H1625" s="136" t="s">
        <v>10534</v>
      </c>
      <c r="I1625" s="136" t="s">
        <v>10535</v>
      </c>
      <c r="J1625" s="136" t="s">
        <v>10536</v>
      </c>
      <c r="L1625" s="136"/>
      <c r="M1625" s="136"/>
      <c r="N1625" s="136"/>
    </row>
    <row r="1626" spans="6:14">
      <c r="F1626" s="136" t="s">
        <v>10537</v>
      </c>
      <c r="G1626" s="136">
        <v>1623</v>
      </c>
      <c r="H1626" s="136" t="s">
        <v>2048</v>
      </c>
      <c r="I1626" s="136" t="s">
        <v>2049</v>
      </c>
      <c r="J1626" s="136" t="s">
        <v>10538</v>
      </c>
      <c r="L1626" s="136"/>
      <c r="M1626" s="136"/>
      <c r="N1626" s="136"/>
    </row>
    <row r="1627" spans="6:14">
      <c r="F1627" s="136" t="s">
        <v>10539</v>
      </c>
      <c r="G1627" s="136">
        <v>1624</v>
      </c>
      <c r="H1627" s="136" t="s">
        <v>5241</v>
      </c>
      <c r="I1627" s="136" t="s">
        <v>5242</v>
      </c>
      <c r="J1627" s="136" t="s">
        <v>10540</v>
      </c>
      <c r="L1627" s="136"/>
      <c r="M1627" s="136"/>
      <c r="N1627" s="136"/>
    </row>
    <row r="1628" spans="6:14">
      <c r="F1628" s="136" t="s">
        <v>10541</v>
      </c>
      <c r="G1628" s="136">
        <v>1625</v>
      </c>
      <c r="H1628" s="136" t="s">
        <v>5219</v>
      </c>
      <c r="I1628" s="136" t="s">
        <v>5220</v>
      </c>
      <c r="J1628" s="136" t="s">
        <v>10542</v>
      </c>
      <c r="L1628" s="136"/>
      <c r="M1628" s="136"/>
      <c r="N1628" s="136"/>
    </row>
    <row r="1629" spans="6:14">
      <c r="F1629" s="136" t="s">
        <v>10543</v>
      </c>
      <c r="G1629" s="136">
        <v>1626</v>
      </c>
      <c r="H1629" s="136" t="s">
        <v>300</v>
      </c>
      <c r="I1629" s="136" t="s">
        <v>301</v>
      </c>
      <c r="J1629" s="136" t="s">
        <v>10544</v>
      </c>
      <c r="L1629" s="136"/>
      <c r="M1629" s="136"/>
      <c r="N1629" s="136"/>
    </row>
    <row r="1630" spans="6:14">
      <c r="F1630" s="136" t="s">
        <v>10545</v>
      </c>
      <c r="G1630" s="136">
        <v>1627</v>
      </c>
      <c r="H1630" s="136" t="s">
        <v>6140</v>
      </c>
      <c r="I1630" s="136" t="s">
        <v>6141</v>
      </c>
      <c r="J1630" s="136" t="s">
        <v>10546</v>
      </c>
      <c r="L1630" s="136"/>
      <c r="M1630" s="136"/>
      <c r="N1630" s="136"/>
    </row>
    <row r="1631" spans="6:14">
      <c r="F1631" s="136" t="s">
        <v>10547</v>
      </c>
      <c r="G1631" s="136">
        <v>1628</v>
      </c>
      <c r="H1631" s="136" t="s">
        <v>2226</v>
      </c>
      <c r="I1631" s="136" t="s">
        <v>2227</v>
      </c>
      <c r="J1631" s="136" t="s">
        <v>10548</v>
      </c>
      <c r="L1631" s="136"/>
      <c r="M1631" s="136"/>
      <c r="N1631" s="136"/>
    </row>
    <row r="1632" spans="6:14">
      <c r="F1632" s="136" t="s">
        <v>10549</v>
      </c>
      <c r="G1632" s="136">
        <v>1629</v>
      </c>
      <c r="H1632" s="136" t="s">
        <v>10550</v>
      </c>
      <c r="I1632" s="136" t="s">
        <v>10551</v>
      </c>
      <c r="J1632" s="136" t="s">
        <v>10552</v>
      </c>
      <c r="L1632" s="136"/>
      <c r="M1632" s="136"/>
      <c r="N1632" s="136"/>
    </row>
    <row r="1633" spans="6:14">
      <c r="F1633" s="136" t="s">
        <v>10553</v>
      </c>
      <c r="G1633" s="136">
        <v>1630</v>
      </c>
      <c r="H1633" s="136" t="s">
        <v>542</v>
      </c>
      <c r="I1633" s="136" t="s">
        <v>543</v>
      </c>
      <c r="J1633" s="136" t="s">
        <v>10554</v>
      </c>
      <c r="L1633" s="136"/>
      <c r="M1633" s="136"/>
      <c r="N1633" s="136"/>
    </row>
    <row r="1634" spans="6:14">
      <c r="F1634" s="136" t="s">
        <v>10555</v>
      </c>
      <c r="G1634" s="136">
        <v>1631</v>
      </c>
      <c r="H1634" s="136" t="s">
        <v>1303</v>
      </c>
      <c r="I1634" s="136" t="s">
        <v>1304</v>
      </c>
      <c r="J1634" s="136" t="s">
        <v>10556</v>
      </c>
      <c r="L1634" s="136"/>
      <c r="M1634" s="136"/>
      <c r="N1634" s="136"/>
    </row>
    <row r="1635" spans="6:14">
      <c r="F1635" s="136" t="s">
        <v>10557</v>
      </c>
      <c r="G1635" s="136">
        <v>1632</v>
      </c>
      <c r="H1635" s="136" t="s">
        <v>10558</v>
      </c>
      <c r="I1635" s="136" t="s">
        <v>10559</v>
      </c>
      <c r="J1635" s="136" t="s">
        <v>10560</v>
      </c>
      <c r="L1635" s="136"/>
      <c r="M1635" s="136"/>
      <c r="N1635" s="136"/>
    </row>
    <row r="1636" spans="6:14">
      <c r="F1636" s="136" t="s">
        <v>10561</v>
      </c>
      <c r="G1636" s="136">
        <v>1633</v>
      </c>
      <c r="H1636" s="136" t="s">
        <v>10562</v>
      </c>
      <c r="I1636" s="136" t="s">
        <v>10563</v>
      </c>
      <c r="J1636" s="136" t="s">
        <v>10564</v>
      </c>
      <c r="L1636" s="136"/>
      <c r="M1636" s="136"/>
      <c r="N1636" s="136"/>
    </row>
    <row r="1637" spans="6:14">
      <c r="F1637" s="136" t="s">
        <v>10565</v>
      </c>
      <c r="G1637" s="136">
        <v>1634</v>
      </c>
      <c r="H1637" s="136" t="s">
        <v>4395</v>
      </c>
      <c r="I1637" s="136" t="s">
        <v>4396</v>
      </c>
      <c r="J1637" s="136" t="s">
        <v>10566</v>
      </c>
      <c r="L1637" s="136"/>
      <c r="M1637" s="136"/>
      <c r="N1637" s="136"/>
    </row>
    <row r="1638" spans="6:14">
      <c r="F1638" s="136" t="s">
        <v>10567</v>
      </c>
      <c r="G1638" s="136">
        <v>1635</v>
      </c>
      <c r="H1638" s="136" t="s">
        <v>2153</v>
      </c>
      <c r="I1638" s="136" t="s">
        <v>2154</v>
      </c>
      <c r="J1638" s="136" t="s">
        <v>10568</v>
      </c>
      <c r="L1638" s="136"/>
      <c r="M1638" s="136"/>
      <c r="N1638" s="136"/>
    </row>
    <row r="1639" spans="6:14">
      <c r="F1639" s="136" t="s">
        <v>10569</v>
      </c>
      <c r="G1639" s="136">
        <v>1636</v>
      </c>
      <c r="H1639" s="136" t="s">
        <v>10570</v>
      </c>
      <c r="I1639" s="136" t="s">
        <v>10571</v>
      </c>
      <c r="J1639" s="136" t="s">
        <v>10572</v>
      </c>
      <c r="L1639" s="136"/>
      <c r="M1639" s="136"/>
      <c r="N1639" s="136"/>
    </row>
    <row r="1640" spans="6:14">
      <c r="F1640" s="136" t="s">
        <v>10573</v>
      </c>
      <c r="G1640" s="136">
        <v>1637</v>
      </c>
      <c r="H1640" s="136" t="s">
        <v>6084</v>
      </c>
      <c r="I1640" s="136" t="s">
        <v>6085</v>
      </c>
      <c r="J1640" s="136" t="s">
        <v>10574</v>
      </c>
      <c r="L1640" s="136"/>
      <c r="M1640" s="136"/>
      <c r="N1640" s="136"/>
    </row>
    <row r="1641" spans="6:14">
      <c r="F1641" s="136" t="s">
        <v>10575</v>
      </c>
      <c r="G1641" s="136">
        <v>1638</v>
      </c>
      <c r="H1641" s="136" t="s">
        <v>10576</v>
      </c>
      <c r="I1641" s="136" t="s">
        <v>10577</v>
      </c>
      <c r="J1641" s="136" t="s">
        <v>10578</v>
      </c>
      <c r="L1641" s="136"/>
      <c r="M1641" s="136"/>
      <c r="N1641" s="136"/>
    </row>
    <row r="1642" spans="6:14">
      <c r="F1642" s="136" t="s">
        <v>10579</v>
      </c>
      <c r="G1642" s="136">
        <v>1639</v>
      </c>
      <c r="H1642" s="136" t="s">
        <v>5887</v>
      </c>
      <c r="I1642" s="136" t="s">
        <v>5888</v>
      </c>
      <c r="J1642" s="136" t="s">
        <v>10580</v>
      </c>
      <c r="L1642" s="136"/>
      <c r="M1642" s="136"/>
      <c r="N1642" s="136"/>
    </row>
    <row r="1643" spans="6:14">
      <c r="F1643" s="136" t="s">
        <v>10581</v>
      </c>
      <c r="G1643" s="136">
        <v>1640</v>
      </c>
      <c r="H1643" s="136" t="s">
        <v>1466</v>
      </c>
      <c r="I1643" s="136" t="s">
        <v>1467</v>
      </c>
      <c r="J1643" s="136" t="s">
        <v>10582</v>
      </c>
      <c r="L1643" s="136"/>
      <c r="M1643" s="136"/>
      <c r="N1643" s="136"/>
    </row>
    <row r="1644" spans="6:14">
      <c r="F1644" s="136" t="s">
        <v>10583</v>
      </c>
      <c r="G1644" s="136">
        <v>1641</v>
      </c>
      <c r="H1644" s="136" t="s">
        <v>3560</v>
      </c>
      <c r="I1644" s="136" t="s">
        <v>3561</v>
      </c>
      <c r="J1644" s="136" t="s">
        <v>10584</v>
      </c>
      <c r="L1644" s="136"/>
      <c r="M1644" s="136"/>
      <c r="N1644" s="136"/>
    </row>
    <row r="1645" spans="6:14">
      <c r="F1645" s="136" t="s">
        <v>10585</v>
      </c>
      <c r="G1645" s="136">
        <v>1642</v>
      </c>
      <c r="H1645" s="136" t="s">
        <v>732</v>
      </c>
      <c r="I1645" s="136" t="s">
        <v>733</v>
      </c>
      <c r="J1645" s="136" t="s">
        <v>10586</v>
      </c>
      <c r="L1645" s="136"/>
      <c r="M1645" s="136"/>
      <c r="N1645" s="136"/>
    </row>
    <row r="1646" spans="6:14">
      <c r="F1646" s="136" t="s">
        <v>10587</v>
      </c>
      <c r="G1646" s="136">
        <v>1643</v>
      </c>
      <c r="H1646" s="136" t="s">
        <v>10588</v>
      </c>
      <c r="I1646" s="136" t="s">
        <v>10589</v>
      </c>
      <c r="J1646" s="136" t="s">
        <v>10590</v>
      </c>
      <c r="L1646" s="136"/>
      <c r="M1646" s="136"/>
      <c r="N1646" s="136"/>
    </row>
    <row r="1647" spans="6:14">
      <c r="F1647" s="136" t="s">
        <v>10591</v>
      </c>
      <c r="G1647" s="136">
        <v>1644</v>
      </c>
      <c r="H1647" s="136" t="s">
        <v>4129</v>
      </c>
      <c r="I1647" s="136" t="s">
        <v>4130</v>
      </c>
      <c r="J1647" s="136" t="s">
        <v>10592</v>
      </c>
      <c r="L1647" s="136"/>
      <c r="M1647" s="136"/>
      <c r="N1647" s="136"/>
    </row>
    <row r="1648" spans="6:14">
      <c r="F1648" s="136" t="s">
        <v>10593</v>
      </c>
      <c r="G1648" s="136">
        <v>1645</v>
      </c>
      <c r="H1648" s="136" t="s">
        <v>4443</v>
      </c>
      <c r="I1648" s="136" t="s">
        <v>4444</v>
      </c>
      <c r="J1648" s="136" t="s">
        <v>10594</v>
      </c>
      <c r="L1648" s="136"/>
      <c r="M1648" s="136"/>
      <c r="N1648" s="136"/>
    </row>
    <row r="1649" spans="6:14">
      <c r="F1649" s="136" t="s">
        <v>10595</v>
      </c>
      <c r="G1649" s="136">
        <v>1646</v>
      </c>
      <c r="H1649" s="136" t="s">
        <v>4525</v>
      </c>
      <c r="I1649" s="136" t="s">
        <v>4526</v>
      </c>
      <c r="J1649" s="136" t="s">
        <v>10596</v>
      </c>
      <c r="L1649" s="136"/>
      <c r="M1649" s="136"/>
      <c r="N1649" s="136"/>
    </row>
    <row r="1650" spans="6:14">
      <c r="F1650" s="136" t="s">
        <v>10597</v>
      </c>
      <c r="G1650" s="136">
        <v>1647</v>
      </c>
      <c r="H1650" s="136" t="s">
        <v>134</v>
      </c>
      <c r="I1650" s="136" t="s">
        <v>135</v>
      </c>
      <c r="J1650" s="136" t="s">
        <v>10598</v>
      </c>
      <c r="L1650" s="136"/>
      <c r="M1650" s="136"/>
      <c r="N1650" s="136"/>
    </row>
    <row r="1651" spans="6:14">
      <c r="F1651" s="136" t="s">
        <v>10599</v>
      </c>
      <c r="G1651" s="136">
        <v>1648</v>
      </c>
      <c r="H1651" s="136" t="s">
        <v>10600</v>
      </c>
      <c r="I1651" s="136" t="s">
        <v>10601</v>
      </c>
      <c r="J1651" s="136" t="s">
        <v>10602</v>
      </c>
      <c r="L1651" s="136"/>
      <c r="M1651" s="136"/>
      <c r="N1651" s="136"/>
    </row>
    <row r="1652" spans="6:14">
      <c r="F1652" s="136" t="s">
        <v>10603</v>
      </c>
      <c r="G1652" s="136">
        <v>1649</v>
      </c>
      <c r="H1652" s="136" t="s">
        <v>5209</v>
      </c>
      <c r="I1652" s="136" t="s">
        <v>5210</v>
      </c>
      <c r="J1652" s="136" t="s">
        <v>10604</v>
      </c>
      <c r="L1652" s="136"/>
      <c r="M1652" s="136"/>
      <c r="N1652" s="136"/>
    </row>
    <row r="1653" spans="6:14">
      <c r="F1653" s="136" t="s">
        <v>10605</v>
      </c>
      <c r="G1653" s="136">
        <v>1650</v>
      </c>
      <c r="H1653" s="136" t="s">
        <v>10606</v>
      </c>
      <c r="I1653" s="136" t="s">
        <v>10438</v>
      </c>
      <c r="J1653" s="136" t="s">
        <v>10607</v>
      </c>
      <c r="L1653" s="136"/>
      <c r="M1653" s="136"/>
      <c r="N1653" s="136"/>
    </row>
    <row r="1654" spans="6:14">
      <c r="F1654" s="136" t="s">
        <v>10608</v>
      </c>
      <c r="G1654" s="136">
        <v>1651</v>
      </c>
      <c r="H1654" s="136" t="s">
        <v>3379</v>
      </c>
      <c r="I1654" s="136" t="s">
        <v>3380</v>
      </c>
      <c r="J1654" s="136" t="s">
        <v>10609</v>
      </c>
      <c r="L1654" s="136"/>
      <c r="M1654" s="136"/>
      <c r="N1654" s="136"/>
    </row>
    <row r="1655" spans="6:14">
      <c r="F1655" s="136" t="s">
        <v>10610</v>
      </c>
      <c r="G1655" s="136">
        <v>1652</v>
      </c>
      <c r="H1655" s="136" t="s">
        <v>2467</v>
      </c>
      <c r="I1655" s="136" t="s">
        <v>2468</v>
      </c>
      <c r="J1655" s="136" t="s">
        <v>10611</v>
      </c>
      <c r="L1655" s="136"/>
      <c r="M1655" s="136"/>
      <c r="N1655" s="136"/>
    </row>
    <row r="1656" spans="6:14">
      <c r="F1656" s="136" t="s">
        <v>10612</v>
      </c>
      <c r="G1656" s="136">
        <v>1653</v>
      </c>
      <c r="H1656" s="136" t="s">
        <v>1740</v>
      </c>
      <c r="I1656" s="136" t="s">
        <v>1741</v>
      </c>
      <c r="J1656" s="136" t="s">
        <v>10613</v>
      </c>
      <c r="L1656" s="136"/>
      <c r="M1656" s="136"/>
      <c r="N1656" s="136"/>
    </row>
    <row r="1657" spans="6:14">
      <c r="F1657" s="136" t="s">
        <v>10614</v>
      </c>
      <c r="G1657" s="136">
        <v>1654</v>
      </c>
      <c r="H1657" s="136" t="s">
        <v>4800</v>
      </c>
      <c r="I1657" s="136" t="s">
        <v>4801</v>
      </c>
      <c r="J1657" s="136" t="s">
        <v>10615</v>
      </c>
      <c r="L1657" s="136"/>
      <c r="M1657" s="136"/>
      <c r="N1657" s="136"/>
    </row>
    <row r="1658" spans="6:14">
      <c r="F1658" s="136" t="s">
        <v>10616</v>
      </c>
      <c r="G1658" s="136">
        <v>1655</v>
      </c>
      <c r="H1658" s="136" t="s">
        <v>1997</v>
      </c>
      <c r="I1658" s="136" t="s">
        <v>1998</v>
      </c>
      <c r="J1658" s="136" t="s">
        <v>10617</v>
      </c>
      <c r="L1658" s="136"/>
      <c r="M1658" s="136"/>
      <c r="N1658" s="136"/>
    </row>
    <row r="1659" spans="6:14">
      <c r="F1659" s="136" t="s">
        <v>10618</v>
      </c>
      <c r="G1659" s="136">
        <v>1656</v>
      </c>
      <c r="H1659" s="136" t="s">
        <v>5866</v>
      </c>
      <c r="I1659" s="136" t="s">
        <v>5867</v>
      </c>
      <c r="J1659" s="136" t="s">
        <v>10619</v>
      </c>
      <c r="L1659" s="136"/>
      <c r="M1659" s="136"/>
      <c r="N1659" s="136"/>
    </row>
    <row r="1660" spans="6:14">
      <c r="F1660" s="136" t="s">
        <v>10620</v>
      </c>
      <c r="G1660" s="136">
        <v>1657</v>
      </c>
      <c r="H1660" s="136" t="s">
        <v>10621</v>
      </c>
      <c r="I1660" s="136" t="s">
        <v>10622</v>
      </c>
      <c r="J1660" s="136" t="s">
        <v>10623</v>
      </c>
      <c r="L1660" s="136"/>
      <c r="M1660" s="136"/>
      <c r="N1660" s="136"/>
    </row>
    <row r="1661" spans="6:14">
      <c r="F1661" s="136" t="s">
        <v>10624</v>
      </c>
      <c r="G1661" s="136">
        <v>1658</v>
      </c>
      <c r="H1661" s="136" t="s">
        <v>10625</v>
      </c>
      <c r="I1661" s="136" t="s">
        <v>10626</v>
      </c>
      <c r="J1661" s="136" t="s">
        <v>10627</v>
      </c>
      <c r="L1661" s="136"/>
      <c r="M1661" s="136"/>
      <c r="N1661" s="136"/>
    </row>
    <row r="1662" spans="6:14">
      <c r="F1662" s="136" t="s">
        <v>10628</v>
      </c>
      <c r="G1662" s="136">
        <v>1659</v>
      </c>
      <c r="H1662" s="136" t="s">
        <v>5978</v>
      </c>
      <c r="I1662" s="136" t="s">
        <v>5979</v>
      </c>
      <c r="J1662" s="136" t="s">
        <v>10629</v>
      </c>
      <c r="L1662" s="136"/>
      <c r="M1662" s="136"/>
      <c r="N1662" s="136"/>
    </row>
    <row r="1663" spans="6:14">
      <c r="F1663" s="136" t="s">
        <v>10630</v>
      </c>
      <c r="G1663" s="136">
        <v>1660</v>
      </c>
      <c r="H1663" s="136" t="s">
        <v>847</v>
      </c>
      <c r="I1663" s="136" t="s">
        <v>848</v>
      </c>
      <c r="J1663" s="136" t="s">
        <v>10631</v>
      </c>
      <c r="L1663" s="136"/>
      <c r="M1663" s="136"/>
      <c r="N1663" s="136"/>
    </row>
    <row r="1664" spans="6:14">
      <c r="F1664" s="136" t="s">
        <v>10632</v>
      </c>
      <c r="G1664" s="136">
        <v>1661</v>
      </c>
      <c r="H1664" s="136" t="s">
        <v>310</v>
      </c>
      <c r="I1664" s="136" t="s">
        <v>311</v>
      </c>
      <c r="J1664" s="136" t="s">
        <v>10633</v>
      </c>
      <c r="L1664" s="136"/>
      <c r="M1664" s="136"/>
      <c r="N1664" s="136"/>
    </row>
    <row r="1665" spans="6:14">
      <c r="F1665" s="136" t="s">
        <v>10634</v>
      </c>
      <c r="G1665" s="136">
        <v>1662</v>
      </c>
      <c r="H1665" s="136" t="s">
        <v>4996</v>
      </c>
      <c r="I1665" s="136" t="s">
        <v>4997</v>
      </c>
      <c r="J1665" s="136" t="s">
        <v>10635</v>
      </c>
      <c r="L1665" s="136"/>
      <c r="M1665" s="136"/>
      <c r="N1665" s="136"/>
    </row>
    <row r="1666" spans="6:14">
      <c r="F1666" s="136" t="s">
        <v>10636</v>
      </c>
      <c r="G1666" s="136">
        <v>1663</v>
      </c>
      <c r="H1666" s="136" t="s">
        <v>5431</v>
      </c>
      <c r="I1666" s="136" t="s">
        <v>5432</v>
      </c>
      <c r="J1666" s="136" t="s">
        <v>10637</v>
      </c>
      <c r="L1666" s="136"/>
      <c r="M1666" s="136"/>
      <c r="N1666" s="136"/>
    </row>
    <row r="1667" spans="6:14">
      <c r="F1667" s="136" t="s">
        <v>10638</v>
      </c>
      <c r="G1667" s="136">
        <v>1664</v>
      </c>
      <c r="H1667" s="136" t="s">
        <v>548</v>
      </c>
      <c r="I1667" s="136" t="s">
        <v>572</v>
      </c>
      <c r="J1667" s="136" t="s">
        <v>10639</v>
      </c>
      <c r="L1667" s="136"/>
      <c r="M1667" s="136"/>
      <c r="N1667" s="136"/>
    </row>
    <row r="1668" spans="6:14">
      <c r="F1668" s="136" t="s">
        <v>10640</v>
      </c>
      <c r="G1668" s="136">
        <v>1665</v>
      </c>
      <c r="H1668" s="136" t="s">
        <v>10641</v>
      </c>
      <c r="I1668" s="136" t="s">
        <v>10642</v>
      </c>
      <c r="J1668" s="136" t="s">
        <v>10643</v>
      </c>
      <c r="L1668" s="136"/>
      <c r="M1668" s="136"/>
      <c r="N1668" s="136"/>
    </row>
    <row r="1669" spans="6:14">
      <c r="F1669" s="136" t="s">
        <v>10644</v>
      </c>
      <c r="G1669" s="136">
        <v>1666</v>
      </c>
      <c r="H1669" s="136" t="s">
        <v>6121</v>
      </c>
      <c r="I1669" s="136" t="s">
        <v>6122</v>
      </c>
      <c r="J1669" s="136" t="s">
        <v>10645</v>
      </c>
      <c r="L1669" s="136"/>
      <c r="M1669" s="136"/>
      <c r="N1669" s="136"/>
    </row>
    <row r="1670" spans="6:14">
      <c r="F1670" s="136" t="s">
        <v>10646</v>
      </c>
      <c r="G1670" s="136">
        <v>1667</v>
      </c>
      <c r="H1670" s="136" t="s">
        <v>482</v>
      </c>
      <c r="I1670" s="136" t="s">
        <v>483</v>
      </c>
      <c r="J1670" s="136" t="s">
        <v>10647</v>
      </c>
      <c r="L1670" s="136"/>
      <c r="M1670" s="136"/>
      <c r="N1670" s="136"/>
    </row>
    <row r="1671" spans="6:14">
      <c r="F1671" s="136" t="s">
        <v>10648</v>
      </c>
      <c r="G1671" s="136">
        <v>1668</v>
      </c>
      <c r="H1671" s="136" t="s">
        <v>3554</v>
      </c>
      <c r="I1671" s="136" t="s">
        <v>3555</v>
      </c>
      <c r="J1671" s="136" t="s">
        <v>10649</v>
      </c>
      <c r="L1671" s="136"/>
      <c r="M1671" s="136"/>
      <c r="N1671" s="136"/>
    </row>
    <row r="1672" spans="6:14">
      <c r="F1672" s="136" t="s">
        <v>10650</v>
      </c>
      <c r="G1672" s="136">
        <v>1669</v>
      </c>
      <c r="H1672" s="136" t="s">
        <v>356</v>
      </c>
      <c r="I1672" s="136" t="s">
        <v>357</v>
      </c>
      <c r="J1672" s="136" t="s">
        <v>10651</v>
      </c>
      <c r="L1672" s="136"/>
      <c r="M1672" s="136"/>
      <c r="N1672" s="136"/>
    </row>
    <row r="1673" spans="6:14">
      <c r="F1673" s="136" t="s">
        <v>10652</v>
      </c>
      <c r="G1673" s="136">
        <v>1670</v>
      </c>
      <c r="H1673" s="136" t="s">
        <v>467</v>
      </c>
      <c r="I1673" s="136" t="s">
        <v>468</v>
      </c>
      <c r="J1673" s="136" t="s">
        <v>10653</v>
      </c>
      <c r="L1673" s="136"/>
      <c r="M1673" s="136"/>
      <c r="N1673" s="136"/>
    </row>
    <row r="1674" spans="6:14">
      <c r="F1674" s="136" t="s">
        <v>10654</v>
      </c>
      <c r="G1674" s="136">
        <v>1671</v>
      </c>
      <c r="H1674" s="136" t="s">
        <v>3508</v>
      </c>
      <c r="I1674" s="136" t="s">
        <v>3509</v>
      </c>
      <c r="J1674" s="136" t="s">
        <v>10655</v>
      </c>
      <c r="L1674" s="136"/>
      <c r="M1674" s="136"/>
      <c r="N1674" s="136"/>
    </row>
    <row r="1675" spans="6:14">
      <c r="F1675" s="136" t="s">
        <v>10656</v>
      </c>
      <c r="G1675" s="136">
        <v>1672</v>
      </c>
      <c r="H1675" s="136" t="s">
        <v>744</v>
      </c>
      <c r="I1675" s="136" t="s">
        <v>747</v>
      </c>
      <c r="J1675" s="136" t="s">
        <v>10657</v>
      </c>
      <c r="L1675" s="136"/>
      <c r="M1675" s="136"/>
      <c r="N1675" s="136"/>
    </row>
    <row r="1676" spans="6:14">
      <c r="F1676" s="136" t="s">
        <v>10658</v>
      </c>
      <c r="G1676" s="136">
        <v>1673</v>
      </c>
      <c r="H1676" s="136" t="s">
        <v>5588</v>
      </c>
      <c r="I1676" s="136" t="s">
        <v>5589</v>
      </c>
      <c r="J1676" s="136" t="s">
        <v>10659</v>
      </c>
      <c r="L1676" s="136"/>
      <c r="M1676" s="136"/>
      <c r="N1676" s="136"/>
    </row>
    <row r="1677" spans="6:14">
      <c r="F1677" s="136" t="s">
        <v>10660</v>
      </c>
      <c r="G1677" s="136">
        <v>1674</v>
      </c>
      <c r="H1677" s="136" t="s">
        <v>10661</v>
      </c>
      <c r="I1677" s="136" t="s">
        <v>10662</v>
      </c>
      <c r="J1677" s="136" t="s">
        <v>10663</v>
      </c>
      <c r="L1677" s="136"/>
      <c r="M1677" s="136"/>
      <c r="N1677" s="136"/>
    </row>
    <row r="1678" spans="6:14">
      <c r="F1678" s="136" t="s">
        <v>10664</v>
      </c>
      <c r="G1678" s="136">
        <v>1675</v>
      </c>
      <c r="H1678" s="136" t="s">
        <v>10665</v>
      </c>
      <c r="I1678" s="136" t="s">
        <v>10665</v>
      </c>
      <c r="J1678" s="136" t="s">
        <v>10666</v>
      </c>
      <c r="L1678" s="136"/>
      <c r="M1678" s="136"/>
      <c r="N1678" s="136"/>
    </row>
    <row r="1679" spans="6:14">
      <c r="F1679" s="136" t="s">
        <v>10667</v>
      </c>
      <c r="G1679" s="136">
        <v>1676</v>
      </c>
      <c r="H1679" s="136" t="s">
        <v>1689</v>
      </c>
      <c r="I1679" s="136" t="s">
        <v>1690</v>
      </c>
      <c r="J1679" s="136" t="s">
        <v>10668</v>
      </c>
      <c r="L1679" s="136"/>
      <c r="M1679" s="136"/>
      <c r="N1679" s="136"/>
    </row>
    <row r="1680" spans="6:14">
      <c r="F1680" s="136" t="s">
        <v>10669</v>
      </c>
      <c r="G1680" s="136">
        <v>1677</v>
      </c>
      <c r="H1680" s="136" t="s">
        <v>6017</v>
      </c>
      <c r="I1680" s="136" t="s">
        <v>6017</v>
      </c>
      <c r="J1680" s="136" t="s">
        <v>10670</v>
      </c>
      <c r="L1680" s="136"/>
      <c r="M1680" s="136"/>
      <c r="N1680" s="136"/>
    </row>
    <row r="1681" spans="6:14">
      <c r="F1681" s="136" t="s">
        <v>10671</v>
      </c>
      <c r="G1681" s="136">
        <v>1678</v>
      </c>
      <c r="H1681" s="136" t="s">
        <v>10672</v>
      </c>
      <c r="I1681" s="136" t="s">
        <v>10673</v>
      </c>
      <c r="J1681" s="136" t="s">
        <v>10674</v>
      </c>
      <c r="L1681" s="136"/>
      <c r="M1681" s="136"/>
      <c r="N1681" s="136"/>
    </row>
    <row r="1682" spans="6:14">
      <c r="F1682" s="136" t="s">
        <v>10675</v>
      </c>
      <c r="G1682" s="136">
        <v>1679</v>
      </c>
      <c r="H1682" s="136" t="s">
        <v>10676</v>
      </c>
      <c r="I1682" s="136" t="s">
        <v>10677</v>
      </c>
      <c r="J1682" s="136" t="s">
        <v>10678</v>
      </c>
      <c r="L1682" s="136"/>
      <c r="M1682" s="136"/>
      <c r="N1682" s="136"/>
    </row>
    <row r="1683" spans="6:14">
      <c r="F1683" s="136" t="s">
        <v>10679</v>
      </c>
      <c r="G1683" s="136">
        <v>1680</v>
      </c>
      <c r="H1683" s="136" t="s">
        <v>3640</v>
      </c>
      <c r="I1683" s="136" t="s">
        <v>3641</v>
      </c>
      <c r="J1683" s="136" t="s">
        <v>10680</v>
      </c>
      <c r="L1683" s="136"/>
      <c r="M1683" s="136"/>
      <c r="N1683" s="136"/>
    </row>
    <row r="1684" spans="6:14">
      <c r="F1684" s="136" t="s">
        <v>10681</v>
      </c>
      <c r="G1684" s="136">
        <v>1681</v>
      </c>
      <c r="H1684" s="136" t="s">
        <v>1397</v>
      </c>
      <c r="I1684" s="136" t="s">
        <v>1398</v>
      </c>
      <c r="J1684" s="136" t="s">
        <v>10682</v>
      </c>
      <c r="L1684" s="136"/>
      <c r="M1684" s="136"/>
      <c r="N1684" s="136"/>
    </row>
    <row r="1685" spans="6:14">
      <c r="F1685" s="136" t="s">
        <v>10683</v>
      </c>
      <c r="G1685" s="136">
        <v>1682</v>
      </c>
      <c r="H1685" s="136" t="s">
        <v>10684</v>
      </c>
      <c r="I1685" s="136" t="s">
        <v>7327</v>
      </c>
      <c r="J1685" s="136" t="s">
        <v>10685</v>
      </c>
      <c r="L1685" s="136"/>
      <c r="M1685" s="136"/>
      <c r="N1685" s="136"/>
    </row>
    <row r="1686" spans="6:14">
      <c r="F1686" s="136" t="s">
        <v>10686</v>
      </c>
      <c r="G1686" s="136">
        <v>1683</v>
      </c>
      <c r="H1686" s="136" t="s">
        <v>5177</v>
      </c>
      <c r="I1686" s="136" t="s">
        <v>5178</v>
      </c>
      <c r="J1686" s="136" t="s">
        <v>10687</v>
      </c>
      <c r="L1686" s="136"/>
      <c r="M1686" s="136"/>
      <c r="N1686" s="136"/>
    </row>
    <row r="1687" spans="6:14">
      <c r="F1687" s="136" t="s">
        <v>10688</v>
      </c>
      <c r="G1687" s="136">
        <v>1684</v>
      </c>
      <c r="H1687" s="136" t="s">
        <v>4272</v>
      </c>
      <c r="I1687" s="136" t="s">
        <v>4273</v>
      </c>
      <c r="J1687" s="136" t="s">
        <v>10689</v>
      </c>
      <c r="L1687" s="136"/>
      <c r="M1687" s="136"/>
      <c r="N1687" s="136"/>
    </row>
    <row r="1688" spans="6:14">
      <c r="F1688" s="136" t="s">
        <v>10690</v>
      </c>
      <c r="G1688" s="136">
        <v>1685</v>
      </c>
      <c r="H1688" s="136" t="s">
        <v>3348</v>
      </c>
      <c r="I1688" s="136" t="s">
        <v>3349</v>
      </c>
      <c r="J1688" s="136" t="s">
        <v>10691</v>
      </c>
      <c r="L1688" s="136"/>
      <c r="M1688" s="136"/>
      <c r="N1688" s="136"/>
    </row>
    <row r="1689" spans="6:14">
      <c r="F1689" s="136" t="s">
        <v>10692</v>
      </c>
      <c r="G1689" s="136">
        <v>1686</v>
      </c>
      <c r="H1689" s="136" t="s">
        <v>3589</v>
      </c>
      <c r="I1689" s="136" t="s">
        <v>3590</v>
      </c>
      <c r="J1689" s="136" t="s">
        <v>10693</v>
      </c>
      <c r="L1689" s="136"/>
      <c r="M1689" s="136"/>
      <c r="N1689" s="136"/>
    </row>
    <row r="1690" spans="6:14">
      <c r="F1690" s="136" t="s">
        <v>10694</v>
      </c>
      <c r="G1690" s="136">
        <v>1687</v>
      </c>
      <c r="H1690" s="136" t="s">
        <v>10695</v>
      </c>
      <c r="I1690" s="136" t="s">
        <v>10696</v>
      </c>
      <c r="J1690" s="136" t="s">
        <v>10697</v>
      </c>
      <c r="L1690" s="136"/>
      <c r="M1690" s="136"/>
      <c r="N1690" s="136"/>
    </row>
    <row r="1691" spans="6:14">
      <c r="F1691" s="136" t="s">
        <v>10698</v>
      </c>
      <c r="G1691" s="136">
        <v>1688</v>
      </c>
      <c r="H1691" s="136" t="s">
        <v>3720</v>
      </c>
      <c r="I1691" s="136" t="s">
        <v>3721</v>
      </c>
      <c r="J1691" s="136" t="s">
        <v>10699</v>
      </c>
      <c r="L1691" s="136"/>
      <c r="M1691" s="136"/>
      <c r="N1691" s="136"/>
    </row>
    <row r="1692" spans="6:14">
      <c r="F1692" s="136" t="s">
        <v>10700</v>
      </c>
      <c r="G1692" s="136">
        <v>1689</v>
      </c>
      <c r="H1692" s="136" t="s">
        <v>2654</v>
      </c>
      <c r="I1692" s="136" t="s">
        <v>2655</v>
      </c>
      <c r="J1692" s="136" t="s">
        <v>10701</v>
      </c>
      <c r="L1692" s="136"/>
      <c r="M1692" s="136"/>
      <c r="N1692" s="136"/>
    </row>
    <row r="1693" spans="6:14">
      <c r="F1693" s="136" t="s">
        <v>10702</v>
      </c>
      <c r="G1693" s="136">
        <v>1690</v>
      </c>
      <c r="H1693" s="136" t="s">
        <v>2758</v>
      </c>
      <c r="I1693" s="136" t="s">
        <v>2759</v>
      </c>
      <c r="J1693" s="136" t="s">
        <v>10703</v>
      </c>
      <c r="L1693" s="136"/>
      <c r="M1693" s="136"/>
      <c r="N1693" s="136"/>
    </row>
    <row r="1694" spans="6:14">
      <c r="F1694" s="136" t="s">
        <v>10704</v>
      </c>
      <c r="G1694" s="136">
        <v>1691</v>
      </c>
      <c r="H1694" s="136" t="s">
        <v>10705</v>
      </c>
      <c r="I1694" s="136" t="s">
        <v>10705</v>
      </c>
      <c r="J1694" s="136" t="s">
        <v>10706</v>
      </c>
      <c r="L1694" s="136"/>
      <c r="M1694" s="136"/>
      <c r="N1694" s="136"/>
    </row>
    <row r="1695" spans="6:14">
      <c r="F1695" s="136" t="s">
        <v>10707</v>
      </c>
      <c r="G1695" s="136">
        <v>1692</v>
      </c>
      <c r="H1695" s="136" t="s">
        <v>6154</v>
      </c>
      <c r="I1695" s="136" t="s">
        <v>6155</v>
      </c>
      <c r="J1695" s="136" t="s">
        <v>10708</v>
      </c>
      <c r="L1695" s="136"/>
      <c r="M1695" s="136"/>
      <c r="N1695" s="136"/>
    </row>
    <row r="1696" spans="6:14">
      <c r="F1696" s="136" t="s">
        <v>10709</v>
      </c>
      <c r="G1696" s="136">
        <v>1693</v>
      </c>
      <c r="H1696" s="136" t="s">
        <v>2408</v>
      </c>
      <c r="I1696" s="136" t="s">
        <v>2409</v>
      </c>
      <c r="J1696" s="136" t="s">
        <v>10710</v>
      </c>
      <c r="L1696" s="136"/>
      <c r="M1696" s="136"/>
      <c r="N1696" s="136"/>
    </row>
    <row r="1697" spans="6:14">
      <c r="F1697" s="136" t="s">
        <v>10711</v>
      </c>
      <c r="G1697" s="136">
        <v>1694</v>
      </c>
      <c r="H1697" s="136" t="s">
        <v>396</v>
      </c>
      <c r="I1697" s="136" t="s">
        <v>397</v>
      </c>
      <c r="J1697" s="136" t="s">
        <v>10712</v>
      </c>
      <c r="L1697" s="136"/>
      <c r="M1697" s="136"/>
      <c r="N1697" s="136"/>
    </row>
    <row r="1698" spans="6:14">
      <c r="F1698" s="136" t="s">
        <v>10713</v>
      </c>
      <c r="G1698" s="136">
        <v>1695</v>
      </c>
      <c r="H1698" s="136" t="s">
        <v>944</v>
      </c>
      <c r="I1698" s="136" t="s">
        <v>945</v>
      </c>
      <c r="J1698" s="136" t="s">
        <v>10714</v>
      </c>
      <c r="L1698" s="136"/>
      <c r="M1698" s="136"/>
      <c r="N1698" s="136"/>
    </row>
    <row r="1699" spans="6:14">
      <c r="F1699" s="136" t="s">
        <v>10715</v>
      </c>
      <c r="G1699" s="136">
        <v>1696</v>
      </c>
      <c r="H1699" s="136" t="s">
        <v>2812</v>
      </c>
      <c r="I1699" s="136" t="s">
        <v>2813</v>
      </c>
      <c r="J1699" s="136" t="s">
        <v>10716</v>
      </c>
      <c r="L1699" s="136"/>
      <c r="M1699" s="136"/>
      <c r="N1699" s="136"/>
    </row>
    <row r="1700" spans="6:14">
      <c r="F1700" s="136" t="s">
        <v>10717</v>
      </c>
      <c r="G1700" s="136">
        <v>1697</v>
      </c>
      <c r="H1700" s="136" t="s">
        <v>5414</v>
      </c>
      <c r="I1700" s="136" t="s">
        <v>5415</v>
      </c>
      <c r="J1700" s="136" t="s">
        <v>10718</v>
      </c>
      <c r="L1700" s="136"/>
      <c r="M1700" s="136"/>
      <c r="N1700" s="136"/>
    </row>
    <row r="1701" spans="6:14">
      <c r="F1701" s="136" t="s">
        <v>10719</v>
      </c>
      <c r="G1701" s="136">
        <v>1698</v>
      </c>
      <c r="H1701" s="136" t="s">
        <v>1852</v>
      </c>
      <c r="I1701" s="136" t="s">
        <v>1853</v>
      </c>
      <c r="J1701" s="136" t="s">
        <v>10720</v>
      </c>
      <c r="L1701" s="136"/>
      <c r="M1701" s="136"/>
      <c r="N1701" s="136"/>
    </row>
    <row r="1702" spans="6:14">
      <c r="F1702" s="136" t="s">
        <v>10721</v>
      </c>
      <c r="G1702" s="136">
        <v>1699</v>
      </c>
      <c r="H1702" s="136" t="s">
        <v>2865</v>
      </c>
      <c r="I1702" s="136" t="s">
        <v>2866</v>
      </c>
      <c r="J1702" s="136" t="s">
        <v>10722</v>
      </c>
      <c r="L1702" s="136"/>
      <c r="M1702" s="136"/>
      <c r="N1702" s="136"/>
    </row>
    <row r="1703" spans="6:14">
      <c r="F1703" s="136" t="s">
        <v>10723</v>
      </c>
      <c r="G1703" s="136">
        <v>1700</v>
      </c>
      <c r="H1703" s="136" t="s">
        <v>512</v>
      </c>
      <c r="I1703" s="136" t="s">
        <v>513</v>
      </c>
      <c r="J1703" s="136" t="s">
        <v>10724</v>
      </c>
      <c r="L1703" s="136"/>
      <c r="M1703" s="136"/>
      <c r="N1703" s="136"/>
    </row>
    <row r="1704" spans="6:14">
      <c r="F1704" s="136" t="s">
        <v>10725</v>
      </c>
      <c r="G1704" s="136">
        <v>1701</v>
      </c>
      <c r="H1704" s="136" t="s">
        <v>3233</v>
      </c>
      <c r="I1704" s="136" t="s">
        <v>3234</v>
      </c>
      <c r="J1704" s="136" t="s">
        <v>10726</v>
      </c>
      <c r="L1704" s="136"/>
      <c r="M1704" s="136"/>
      <c r="N1704" s="136"/>
    </row>
    <row r="1705" spans="6:14">
      <c r="F1705" s="136" t="s">
        <v>10727</v>
      </c>
      <c r="G1705" s="136">
        <v>1702</v>
      </c>
      <c r="H1705" s="136" t="s">
        <v>10728</v>
      </c>
      <c r="I1705" s="136" t="s">
        <v>10729</v>
      </c>
      <c r="J1705" s="136" t="s">
        <v>10730</v>
      </c>
      <c r="L1705" s="136"/>
      <c r="M1705" s="136"/>
      <c r="N1705" s="136"/>
    </row>
    <row r="1706" spans="6:14">
      <c r="F1706" s="136" t="s">
        <v>10731</v>
      </c>
      <c r="G1706" s="136">
        <v>1703</v>
      </c>
      <c r="H1706" s="136" t="s">
        <v>10732</v>
      </c>
      <c r="I1706" s="136" t="s">
        <v>10733</v>
      </c>
      <c r="J1706" s="136" t="s">
        <v>10734</v>
      </c>
      <c r="L1706" s="136"/>
      <c r="M1706" s="136"/>
      <c r="N1706" s="136"/>
    </row>
    <row r="1707" spans="6:14">
      <c r="F1707" s="136" t="s">
        <v>10735</v>
      </c>
      <c r="G1707" s="136">
        <v>1704</v>
      </c>
      <c r="H1707" s="136" t="s">
        <v>1234</v>
      </c>
      <c r="I1707" s="136" t="s">
        <v>1235</v>
      </c>
      <c r="J1707" s="136" t="s">
        <v>10736</v>
      </c>
      <c r="L1707" s="136"/>
      <c r="M1707" s="136"/>
      <c r="N1707" s="136"/>
    </row>
    <row r="1708" spans="6:14">
      <c r="F1708" s="136" t="s">
        <v>10737</v>
      </c>
      <c r="G1708" s="136">
        <v>1705</v>
      </c>
      <c r="H1708" s="136" t="s">
        <v>679</v>
      </c>
      <c r="I1708" s="136" t="s">
        <v>680</v>
      </c>
      <c r="J1708" s="136" t="s">
        <v>10738</v>
      </c>
      <c r="L1708" s="136"/>
      <c r="M1708" s="136"/>
      <c r="N1708" s="136"/>
    </row>
    <row r="1709" spans="6:14">
      <c r="F1709" s="136" t="s">
        <v>10739</v>
      </c>
      <c r="G1709" s="136">
        <v>1706</v>
      </c>
      <c r="H1709" s="136" t="s">
        <v>10740</v>
      </c>
      <c r="I1709" s="136" t="s">
        <v>10741</v>
      </c>
      <c r="J1709" s="136" t="s">
        <v>10742</v>
      </c>
      <c r="L1709" s="136"/>
      <c r="M1709" s="136"/>
      <c r="N1709" s="136"/>
    </row>
    <row r="1710" spans="6:14">
      <c r="F1710" s="136" t="s">
        <v>10743</v>
      </c>
      <c r="G1710" s="136">
        <v>1707</v>
      </c>
      <c r="H1710" s="136" t="s">
        <v>1166</v>
      </c>
      <c r="I1710" s="136" t="s">
        <v>1167</v>
      </c>
      <c r="J1710" s="136" t="s">
        <v>10744</v>
      </c>
      <c r="L1710" s="136"/>
      <c r="M1710" s="136"/>
      <c r="N1710" s="136"/>
    </row>
    <row r="1711" spans="6:14">
      <c r="F1711" s="136" t="s">
        <v>10745</v>
      </c>
      <c r="G1711" s="136">
        <v>1708</v>
      </c>
      <c r="H1711" s="136" t="s">
        <v>839</v>
      </c>
      <c r="I1711" s="136" t="s">
        <v>840</v>
      </c>
      <c r="J1711" s="136" t="s">
        <v>10746</v>
      </c>
      <c r="L1711" s="136"/>
      <c r="M1711" s="136"/>
      <c r="N1711" s="136"/>
    </row>
    <row r="1712" spans="6:14">
      <c r="F1712" s="136" t="s">
        <v>10747</v>
      </c>
      <c r="G1712" s="136">
        <v>1709</v>
      </c>
      <c r="H1712" s="136" t="s">
        <v>837</v>
      </c>
      <c r="I1712" s="136" t="s">
        <v>838</v>
      </c>
      <c r="J1712" s="136" t="s">
        <v>10748</v>
      </c>
      <c r="L1712" s="136"/>
      <c r="M1712" s="136"/>
      <c r="N1712" s="136"/>
    </row>
    <row r="1713" spans="6:14">
      <c r="F1713" s="136" t="s">
        <v>10749</v>
      </c>
      <c r="G1713" s="136">
        <v>1710</v>
      </c>
      <c r="H1713" s="136" t="s">
        <v>10750</v>
      </c>
      <c r="I1713" s="136" t="s">
        <v>10751</v>
      </c>
      <c r="J1713" s="136" t="s">
        <v>10752</v>
      </c>
      <c r="L1713" s="136"/>
      <c r="M1713" s="136"/>
      <c r="N1713" s="136"/>
    </row>
    <row r="1714" spans="6:14">
      <c r="F1714" s="136" t="s">
        <v>10753</v>
      </c>
      <c r="G1714" s="136">
        <v>1711</v>
      </c>
      <c r="H1714" s="136" t="s">
        <v>1516</v>
      </c>
      <c r="I1714" s="136" t="s">
        <v>1517</v>
      </c>
      <c r="J1714" s="136" t="s">
        <v>10754</v>
      </c>
      <c r="L1714" s="136"/>
      <c r="M1714" s="136"/>
      <c r="N1714" s="136"/>
    </row>
    <row r="1715" spans="6:14">
      <c r="F1715" s="136" t="s">
        <v>10755</v>
      </c>
      <c r="G1715" s="136">
        <v>1712</v>
      </c>
      <c r="H1715" s="136" t="s">
        <v>1430</v>
      </c>
      <c r="I1715" s="136" t="s">
        <v>1431</v>
      </c>
      <c r="J1715" s="136" t="s">
        <v>10756</v>
      </c>
      <c r="L1715" s="136"/>
      <c r="M1715" s="136"/>
      <c r="N1715" s="136"/>
    </row>
    <row r="1716" spans="6:14">
      <c r="F1716" s="136" t="s">
        <v>10757</v>
      </c>
      <c r="G1716" s="136">
        <v>1713</v>
      </c>
      <c r="H1716" s="136" t="s">
        <v>3306</v>
      </c>
      <c r="I1716" s="136" t="s">
        <v>3307</v>
      </c>
      <c r="J1716" s="136" t="s">
        <v>10758</v>
      </c>
      <c r="L1716" s="136"/>
      <c r="M1716" s="136"/>
      <c r="N1716" s="136"/>
    </row>
    <row r="1717" spans="6:14">
      <c r="F1717" s="136" t="s">
        <v>10759</v>
      </c>
      <c r="G1717" s="136">
        <v>1714</v>
      </c>
      <c r="H1717" s="136" t="s">
        <v>2587</v>
      </c>
      <c r="I1717" s="136" t="s">
        <v>2588</v>
      </c>
      <c r="J1717" s="136" t="s">
        <v>10760</v>
      </c>
      <c r="L1717" s="136"/>
      <c r="M1717" s="136"/>
      <c r="N1717" s="136"/>
    </row>
    <row r="1718" spans="6:14">
      <c r="F1718" s="136" t="s">
        <v>10761</v>
      </c>
      <c r="G1718" s="136">
        <v>1715</v>
      </c>
      <c r="H1718" s="136" t="s">
        <v>5440</v>
      </c>
      <c r="I1718" s="136" t="s">
        <v>5441</v>
      </c>
      <c r="J1718" s="136" t="s">
        <v>10762</v>
      </c>
      <c r="L1718" s="136"/>
      <c r="M1718" s="136"/>
      <c r="N1718" s="136"/>
    </row>
    <row r="1719" spans="6:14">
      <c r="F1719" s="136" t="s">
        <v>10763</v>
      </c>
      <c r="G1719" s="136">
        <v>1716</v>
      </c>
      <c r="H1719" s="136" t="s">
        <v>10764</v>
      </c>
      <c r="I1719" s="136" t="s">
        <v>10764</v>
      </c>
      <c r="J1719" s="136" t="s">
        <v>10765</v>
      </c>
      <c r="L1719" s="136"/>
      <c r="M1719" s="136"/>
      <c r="N1719" s="136"/>
    </row>
    <row r="1720" spans="6:14">
      <c r="F1720" s="136" t="s">
        <v>10766</v>
      </c>
      <c r="G1720" s="136">
        <v>1717</v>
      </c>
      <c r="H1720" s="136" t="s">
        <v>835</v>
      </c>
      <c r="I1720" s="136" t="s">
        <v>836</v>
      </c>
      <c r="J1720" s="136" t="s">
        <v>10767</v>
      </c>
      <c r="L1720" s="136"/>
      <c r="M1720" s="136"/>
      <c r="N1720" s="136"/>
    </row>
    <row r="1721" spans="6:14">
      <c r="F1721" s="136" t="s">
        <v>10768</v>
      </c>
      <c r="G1721" s="136">
        <v>1718</v>
      </c>
      <c r="H1721" s="136" t="s">
        <v>548</v>
      </c>
      <c r="I1721" s="136" t="s">
        <v>573</v>
      </c>
      <c r="J1721" s="136" t="s">
        <v>10769</v>
      </c>
      <c r="L1721" s="136"/>
      <c r="M1721" s="136"/>
      <c r="N1721" s="136"/>
    </row>
    <row r="1722" spans="6:14">
      <c r="F1722" s="136" t="s">
        <v>10770</v>
      </c>
      <c r="G1722" s="136">
        <v>1719</v>
      </c>
      <c r="H1722" s="136" t="s">
        <v>2676</v>
      </c>
      <c r="I1722" s="136" t="s">
        <v>2677</v>
      </c>
      <c r="J1722" s="136" t="s">
        <v>10771</v>
      </c>
      <c r="L1722" s="136"/>
      <c r="M1722" s="136"/>
      <c r="N1722" s="136"/>
    </row>
    <row r="1723" spans="6:14">
      <c r="F1723" s="136" t="s">
        <v>10772</v>
      </c>
      <c r="G1723" s="136">
        <v>1720</v>
      </c>
      <c r="H1723" s="136" t="s">
        <v>5445</v>
      </c>
      <c r="I1723" s="136" t="s">
        <v>5446</v>
      </c>
      <c r="J1723" s="136" t="s">
        <v>10773</v>
      </c>
      <c r="L1723" s="136"/>
      <c r="M1723" s="136"/>
      <c r="N1723" s="136"/>
    </row>
    <row r="1724" spans="6:14">
      <c r="F1724" s="136" t="s">
        <v>10774</v>
      </c>
      <c r="G1724" s="136">
        <v>1721</v>
      </c>
      <c r="H1724" s="136" t="s">
        <v>10775</v>
      </c>
      <c r="I1724" s="136" t="s">
        <v>10776</v>
      </c>
      <c r="J1724" s="136" t="s">
        <v>10777</v>
      </c>
      <c r="L1724" s="136"/>
      <c r="M1724" s="136"/>
      <c r="N1724" s="136"/>
    </row>
    <row r="1725" spans="6:14">
      <c r="F1725" s="136" t="s">
        <v>10778</v>
      </c>
      <c r="G1725" s="136">
        <v>1722</v>
      </c>
      <c r="H1725" s="136" t="s">
        <v>6198</v>
      </c>
      <c r="I1725" s="136" t="s">
        <v>6199</v>
      </c>
      <c r="J1725" s="136" t="s">
        <v>10779</v>
      </c>
      <c r="L1725" s="136"/>
      <c r="M1725" s="136"/>
      <c r="N1725" s="136"/>
    </row>
    <row r="1726" spans="6:14">
      <c r="F1726" s="136" t="s">
        <v>10780</v>
      </c>
      <c r="G1726" s="136">
        <v>1723</v>
      </c>
      <c r="H1726" s="136" t="s">
        <v>2555</v>
      </c>
      <c r="I1726" s="136" t="s">
        <v>2556</v>
      </c>
      <c r="J1726" s="136" t="s">
        <v>10781</v>
      </c>
      <c r="L1726" s="136"/>
      <c r="M1726" s="136"/>
      <c r="N1726" s="136"/>
    </row>
    <row r="1727" spans="6:14">
      <c r="F1727" s="136" t="s">
        <v>10782</v>
      </c>
      <c r="G1727" s="136">
        <v>1724</v>
      </c>
      <c r="H1727" s="136" t="s">
        <v>2999</v>
      </c>
      <c r="I1727" s="136" t="s">
        <v>3000</v>
      </c>
      <c r="J1727" s="136" t="s">
        <v>10783</v>
      </c>
      <c r="L1727" s="136"/>
      <c r="M1727" s="136"/>
      <c r="N1727" s="136"/>
    </row>
    <row r="1728" spans="6:14">
      <c r="F1728" s="136" t="s">
        <v>10784</v>
      </c>
      <c r="G1728" s="136">
        <v>1725</v>
      </c>
      <c r="H1728" s="136" t="s">
        <v>2794</v>
      </c>
      <c r="I1728" s="136" t="s">
        <v>2794</v>
      </c>
      <c r="J1728" s="136" t="s">
        <v>10785</v>
      </c>
      <c r="L1728" s="136"/>
      <c r="M1728" s="136"/>
      <c r="N1728" s="136"/>
    </row>
    <row r="1729" spans="6:14">
      <c r="F1729" s="136" t="s">
        <v>10786</v>
      </c>
      <c r="G1729" s="136">
        <v>1726</v>
      </c>
      <c r="H1729" s="136" t="s">
        <v>3976</v>
      </c>
      <c r="I1729" s="136" t="s">
        <v>3977</v>
      </c>
      <c r="J1729" s="136" t="s">
        <v>10787</v>
      </c>
      <c r="L1729" s="136"/>
      <c r="M1729" s="136"/>
      <c r="N1729" s="136"/>
    </row>
    <row r="1730" spans="6:14">
      <c r="F1730" s="136" t="s">
        <v>10788</v>
      </c>
      <c r="G1730" s="136">
        <v>1727</v>
      </c>
      <c r="H1730" s="136" t="s">
        <v>2153</v>
      </c>
      <c r="I1730" s="136" t="s">
        <v>2154</v>
      </c>
      <c r="J1730" s="136" t="s">
        <v>10789</v>
      </c>
      <c r="L1730" s="136"/>
      <c r="M1730" s="136"/>
      <c r="N1730" s="136"/>
    </row>
    <row r="1731" spans="6:14">
      <c r="F1731" s="136" t="s">
        <v>10790</v>
      </c>
      <c r="G1731" s="136">
        <v>1728</v>
      </c>
      <c r="H1731" s="136" t="s">
        <v>2032</v>
      </c>
      <c r="I1731" s="136" t="s">
        <v>2033</v>
      </c>
      <c r="J1731" s="136" t="s">
        <v>10791</v>
      </c>
      <c r="L1731" s="136"/>
      <c r="M1731" s="136"/>
      <c r="N1731" s="136"/>
    </row>
    <row r="1732" spans="6:14">
      <c r="F1732" s="136" t="s">
        <v>10792</v>
      </c>
      <c r="G1732" s="136">
        <v>1729</v>
      </c>
      <c r="H1732" s="136" t="s">
        <v>2818</v>
      </c>
      <c r="I1732" s="136" t="s">
        <v>2826</v>
      </c>
      <c r="J1732" s="136" t="s">
        <v>10793</v>
      </c>
      <c r="L1732" s="136"/>
      <c r="M1732" s="136"/>
      <c r="N1732" s="136"/>
    </row>
    <row r="1733" spans="6:14">
      <c r="F1733" s="136" t="s">
        <v>10794</v>
      </c>
      <c r="G1733" s="136">
        <v>1730</v>
      </c>
      <c r="H1733" s="136" t="s">
        <v>10795</v>
      </c>
      <c r="I1733" s="136" t="s">
        <v>10796</v>
      </c>
      <c r="J1733" s="136" t="s">
        <v>10797</v>
      </c>
      <c r="L1733" s="136"/>
      <c r="M1733" s="136"/>
      <c r="N1733" s="136"/>
    </row>
    <row r="1734" spans="6:14">
      <c r="F1734" s="136" t="s">
        <v>10798</v>
      </c>
      <c r="G1734" s="136">
        <v>1731</v>
      </c>
      <c r="H1734" s="136" t="s">
        <v>10799</v>
      </c>
      <c r="I1734" s="136" t="s">
        <v>10800</v>
      </c>
      <c r="J1734" s="136" t="s">
        <v>10801</v>
      </c>
      <c r="L1734" s="136"/>
      <c r="M1734" s="136"/>
      <c r="N1734" s="136"/>
    </row>
    <row r="1735" spans="6:14">
      <c r="F1735" s="136" t="s">
        <v>10802</v>
      </c>
      <c r="G1735" s="136">
        <v>1732</v>
      </c>
      <c r="H1735" s="136" t="s">
        <v>3397</v>
      </c>
      <c r="I1735" s="136" t="s">
        <v>3398</v>
      </c>
      <c r="J1735" s="136" t="s">
        <v>10803</v>
      </c>
      <c r="L1735" s="136"/>
      <c r="M1735" s="136"/>
      <c r="N1735" s="136"/>
    </row>
    <row r="1736" spans="6:14">
      <c r="F1736" s="136" t="s">
        <v>10804</v>
      </c>
      <c r="G1736" s="136">
        <v>1733</v>
      </c>
      <c r="H1736" s="136" t="s">
        <v>3492</v>
      </c>
      <c r="I1736" s="136" t="s">
        <v>3493</v>
      </c>
      <c r="J1736" s="136" t="s">
        <v>10805</v>
      </c>
      <c r="L1736" s="136"/>
      <c r="M1736" s="136"/>
      <c r="N1736" s="136"/>
    </row>
    <row r="1737" spans="6:14">
      <c r="F1737" s="136" t="s">
        <v>10806</v>
      </c>
      <c r="G1737" s="136">
        <v>1734</v>
      </c>
      <c r="H1737" s="136" t="s">
        <v>5443</v>
      </c>
      <c r="I1737" s="136" t="s">
        <v>5444</v>
      </c>
      <c r="J1737" s="136" t="s">
        <v>10807</v>
      </c>
      <c r="L1737" s="136"/>
      <c r="M1737" s="136"/>
      <c r="N1737" s="136"/>
    </row>
    <row r="1738" spans="6:14">
      <c r="F1738" s="136" t="s">
        <v>10808</v>
      </c>
      <c r="G1738" s="136">
        <v>1735</v>
      </c>
      <c r="H1738" s="136" t="s">
        <v>5961</v>
      </c>
      <c r="I1738" s="136" t="s">
        <v>5962</v>
      </c>
      <c r="J1738" s="136" t="s">
        <v>10809</v>
      </c>
      <c r="L1738" s="136"/>
      <c r="M1738" s="136"/>
      <c r="N1738" s="136"/>
    </row>
    <row r="1739" spans="6:14">
      <c r="F1739" s="136" t="s">
        <v>10810</v>
      </c>
      <c r="G1739" s="136">
        <v>1736</v>
      </c>
      <c r="H1739" s="136" t="s">
        <v>6068</v>
      </c>
      <c r="I1739" s="136" t="s">
        <v>6069</v>
      </c>
      <c r="J1739" s="136" t="s">
        <v>10811</v>
      </c>
      <c r="L1739" s="136"/>
      <c r="M1739" s="136"/>
      <c r="N1739" s="136"/>
    </row>
    <row r="1740" spans="6:14">
      <c r="F1740" s="136" t="s">
        <v>10812</v>
      </c>
      <c r="G1740" s="136">
        <v>1737</v>
      </c>
      <c r="H1740" s="136" t="s">
        <v>10813</v>
      </c>
      <c r="I1740" s="136" t="s">
        <v>10814</v>
      </c>
      <c r="J1740" s="136" t="s">
        <v>10815</v>
      </c>
      <c r="L1740" s="136"/>
      <c r="M1740" s="136"/>
      <c r="N1740" s="136"/>
    </row>
    <row r="1741" spans="6:14">
      <c r="F1741" s="136" t="s">
        <v>10816</v>
      </c>
      <c r="G1741" s="136">
        <v>1738</v>
      </c>
      <c r="H1741" s="136" t="s">
        <v>6068</v>
      </c>
      <c r="I1741" s="136" t="s">
        <v>6069</v>
      </c>
      <c r="J1741" s="136" t="s">
        <v>10817</v>
      </c>
      <c r="L1741" s="136"/>
      <c r="M1741" s="136"/>
      <c r="N1741" s="136"/>
    </row>
    <row r="1742" spans="6:14">
      <c r="F1742" s="136" t="s">
        <v>10818</v>
      </c>
      <c r="G1742" s="136">
        <v>1739</v>
      </c>
      <c r="H1742" s="136" t="s">
        <v>2742</v>
      </c>
      <c r="I1742" s="136" t="s">
        <v>2743</v>
      </c>
      <c r="J1742" s="136" t="s">
        <v>10819</v>
      </c>
      <c r="L1742" s="136"/>
      <c r="M1742" s="136"/>
      <c r="N1742" s="136"/>
    </row>
    <row r="1743" spans="6:14">
      <c r="F1743" s="136" t="s">
        <v>10820</v>
      </c>
      <c r="G1743" s="136">
        <v>1740</v>
      </c>
      <c r="H1743" s="136" t="s">
        <v>1371</v>
      </c>
      <c r="I1743" s="136" t="s">
        <v>1372</v>
      </c>
      <c r="J1743" s="136" t="s">
        <v>10821</v>
      </c>
      <c r="L1743" s="136"/>
      <c r="M1743" s="136"/>
      <c r="N1743" s="136"/>
    </row>
    <row r="1744" spans="6:14">
      <c r="F1744" s="136" t="s">
        <v>10822</v>
      </c>
      <c r="G1744" s="136">
        <v>1741</v>
      </c>
      <c r="H1744" s="136" t="s">
        <v>4998</v>
      </c>
      <c r="I1744" s="136" t="s">
        <v>4997</v>
      </c>
      <c r="J1744" s="136" t="s">
        <v>10823</v>
      </c>
      <c r="L1744" s="136"/>
      <c r="M1744" s="136"/>
      <c r="N1744" s="136"/>
    </row>
    <row r="1745" spans="6:14">
      <c r="F1745" s="136" t="s">
        <v>10824</v>
      </c>
      <c r="G1745" s="136">
        <v>1742</v>
      </c>
      <c r="H1745" s="136" t="s">
        <v>2801</v>
      </c>
      <c r="I1745" s="136" t="s">
        <v>2802</v>
      </c>
      <c r="J1745" s="136" t="s">
        <v>10825</v>
      </c>
      <c r="L1745" s="136"/>
      <c r="M1745" s="136"/>
      <c r="N1745" s="136"/>
    </row>
    <row r="1746" spans="6:14">
      <c r="F1746" s="136" t="s">
        <v>10826</v>
      </c>
      <c r="G1746" s="136">
        <v>1743</v>
      </c>
      <c r="H1746" s="136" t="s">
        <v>10827</v>
      </c>
      <c r="I1746" s="136" t="s">
        <v>10828</v>
      </c>
      <c r="J1746" s="136" t="s">
        <v>10829</v>
      </c>
      <c r="L1746" s="136"/>
      <c r="M1746" s="136"/>
      <c r="N1746" s="136"/>
    </row>
    <row r="1747" spans="6:14">
      <c r="F1747" s="136" t="s">
        <v>10830</v>
      </c>
      <c r="G1747" s="136">
        <v>1744</v>
      </c>
      <c r="H1747" s="136" t="s">
        <v>4479</v>
      </c>
      <c r="I1747" s="136" t="s">
        <v>4480</v>
      </c>
      <c r="J1747" s="136" t="s">
        <v>10831</v>
      </c>
      <c r="L1747" s="136"/>
      <c r="M1747" s="136"/>
      <c r="N1747" s="136"/>
    </row>
    <row r="1748" spans="6:14">
      <c r="F1748" s="136" t="s">
        <v>10832</v>
      </c>
      <c r="G1748" s="136">
        <v>1745</v>
      </c>
      <c r="H1748" s="136" t="s">
        <v>2652</v>
      </c>
      <c r="I1748" s="136" t="s">
        <v>2653</v>
      </c>
      <c r="J1748" s="136" t="s">
        <v>10833</v>
      </c>
      <c r="L1748" s="136"/>
      <c r="M1748" s="136"/>
      <c r="N1748" s="136"/>
    </row>
    <row r="1749" spans="6:14">
      <c r="F1749" s="136" t="s">
        <v>10834</v>
      </c>
      <c r="G1749" s="136">
        <v>1746</v>
      </c>
      <c r="H1749" s="136" t="s">
        <v>4974</v>
      </c>
      <c r="I1749" s="136" t="s">
        <v>4975</v>
      </c>
      <c r="J1749" s="136" t="s">
        <v>10835</v>
      </c>
      <c r="L1749" s="136"/>
      <c r="M1749" s="136"/>
      <c r="N1749" s="136"/>
    </row>
    <row r="1750" spans="6:14">
      <c r="F1750" s="136" t="s">
        <v>10836</v>
      </c>
      <c r="G1750" s="136">
        <v>1747</v>
      </c>
      <c r="H1750" s="136" t="s">
        <v>10837</v>
      </c>
      <c r="I1750" s="136" t="s">
        <v>10838</v>
      </c>
      <c r="J1750" s="136" t="s">
        <v>10839</v>
      </c>
      <c r="L1750" s="136"/>
      <c r="M1750" s="136"/>
      <c r="N1750" s="136"/>
    </row>
    <row r="1751" spans="6:14">
      <c r="F1751" s="136" t="s">
        <v>10840</v>
      </c>
      <c r="G1751" s="136">
        <v>1748</v>
      </c>
      <c r="H1751" s="136" t="s">
        <v>4427</v>
      </c>
      <c r="I1751" s="136" t="s">
        <v>4429</v>
      </c>
      <c r="J1751" s="136" t="s">
        <v>10841</v>
      </c>
      <c r="L1751" s="136"/>
      <c r="M1751" s="136"/>
      <c r="N1751" s="136"/>
    </row>
    <row r="1752" spans="6:14">
      <c r="F1752" s="136" t="s">
        <v>10842</v>
      </c>
      <c r="G1752" s="136">
        <v>1749</v>
      </c>
      <c r="H1752" s="136" t="s">
        <v>149</v>
      </c>
      <c r="I1752" s="136" t="s">
        <v>150</v>
      </c>
      <c r="J1752" s="136" t="s">
        <v>10843</v>
      </c>
      <c r="L1752" s="136"/>
      <c r="M1752" s="136"/>
      <c r="N1752" s="136"/>
    </row>
    <row r="1753" spans="6:14">
      <c r="F1753" s="136" t="s">
        <v>10844</v>
      </c>
      <c r="G1753" s="136">
        <v>1750</v>
      </c>
      <c r="H1753" s="136" t="s">
        <v>149</v>
      </c>
      <c r="I1753" s="136" t="s">
        <v>151</v>
      </c>
      <c r="J1753" s="136" t="s">
        <v>10845</v>
      </c>
      <c r="L1753" s="136"/>
      <c r="M1753" s="136"/>
      <c r="N1753" s="136"/>
    </row>
    <row r="1754" spans="6:14">
      <c r="F1754" s="136" t="s">
        <v>10846</v>
      </c>
      <c r="G1754" s="136">
        <v>1751</v>
      </c>
      <c r="H1754" s="136" t="s">
        <v>10847</v>
      </c>
      <c r="I1754" s="136" t="s">
        <v>10848</v>
      </c>
      <c r="J1754" s="136" t="s">
        <v>10849</v>
      </c>
      <c r="L1754" s="136"/>
      <c r="M1754" s="136"/>
      <c r="N1754" s="136"/>
    </row>
    <row r="1755" spans="6:14">
      <c r="F1755" s="136" t="s">
        <v>10850</v>
      </c>
      <c r="G1755" s="136">
        <v>1752</v>
      </c>
      <c r="H1755" s="136" t="s">
        <v>6078</v>
      </c>
      <c r="I1755" s="136" t="s">
        <v>6079</v>
      </c>
      <c r="J1755" s="136" t="s">
        <v>10851</v>
      </c>
      <c r="L1755" s="136"/>
      <c r="M1755" s="136"/>
      <c r="N1755" s="136"/>
    </row>
    <row r="1756" spans="6:14">
      <c r="F1756" s="136" t="s">
        <v>10852</v>
      </c>
      <c r="G1756" s="136">
        <v>1753</v>
      </c>
      <c r="H1756" s="136" t="s">
        <v>5628</v>
      </c>
      <c r="I1756" s="136" t="s">
        <v>5629</v>
      </c>
      <c r="J1756" s="136" t="s">
        <v>10853</v>
      </c>
      <c r="L1756" s="136"/>
      <c r="M1756" s="136"/>
      <c r="N1756" s="136"/>
    </row>
    <row r="1757" spans="6:14">
      <c r="F1757" s="136" t="s">
        <v>10854</v>
      </c>
      <c r="G1757" s="136">
        <v>1754</v>
      </c>
      <c r="H1757" s="136" t="s">
        <v>10855</v>
      </c>
      <c r="I1757" s="136" t="s">
        <v>10856</v>
      </c>
      <c r="J1757" s="136" t="s">
        <v>10857</v>
      </c>
      <c r="L1757" s="136"/>
      <c r="M1757" s="136"/>
      <c r="N1757" s="136"/>
    </row>
    <row r="1758" spans="6:14">
      <c r="F1758" s="136" t="s">
        <v>10858</v>
      </c>
      <c r="G1758" s="136">
        <v>1755</v>
      </c>
      <c r="H1758" s="136" t="s">
        <v>10859</v>
      </c>
      <c r="I1758" s="136" t="s">
        <v>10860</v>
      </c>
      <c r="J1758" s="136" t="s">
        <v>10861</v>
      </c>
      <c r="L1758" s="136"/>
      <c r="M1758" s="136"/>
      <c r="N1758" s="136"/>
    </row>
    <row r="1759" spans="6:14">
      <c r="F1759" s="136" t="s">
        <v>10862</v>
      </c>
      <c r="G1759" s="136">
        <v>1756</v>
      </c>
      <c r="H1759" s="136" t="s">
        <v>4882</v>
      </c>
      <c r="I1759" s="136" t="s">
        <v>4883</v>
      </c>
      <c r="J1759" s="136" t="s">
        <v>10863</v>
      </c>
      <c r="L1759" s="136"/>
      <c r="M1759" s="136"/>
      <c r="N1759" s="136"/>
    </row>
    <row r="1760" spans="6:14">
      <c r="F1760" s="136" t="s">
        <v>10864</v>
      </c>
      <c r="G1760" s="136">
        <v>1757</v>
      </c>
      <c r="H1760" s="136" t="s">
        <v>5626</v>
      </c>
      <c r="I1760" s="136" t="s">
        <v>5627</v>
      </c>
      <c r="J1760" s="136" t="s">
        <v>10865</v>
      </c>
      <c r="L1760" s="136"/>
      <c r="M1760" s="136"/>
      <c r="N1760" s="136"/>
    </row>
    <row r="1761" spans="6:14">
      <c r="F1761" s="136" t="s">
        <v>10866</v>
      </c>
      <c r="G1761" s="136">
        <v>1758</v>
      </c>
      <c r="H1761" s="136" t="s">
        <v>10867</v>
      </c>
      <c r="I1761" s="136" t="s">
        <v>10868</v>
      </c>
      <c r="J1761" s="136" t="s">
        <v>10869</v>
      </c>
      <c r="L1761" s="136"/>
      <c r="M1761" s="136"/>
      <c r="N1761" s="136"/>
    </row>
    <row r="1762" spans="6:14">
      <c r="F1762" s="136" t="s">
        <v>10870</v>
      </c>
      <c r="G1762" s="136">
        <v>1759</v>
      </c>
      <c r="H1762" s="136" t="s">
        <v>467</v>
      </c>
      <c r="I1762" s="136" t="s">
        <v>469</v>
      </c>
      <c r="J1762" s="136" t="s">
        <v>10871</v>
      </c>
      <c r="L1762" s="136"/>
      <c r="M1762" s="136"/>
      <c r="N1762" s="136"/>
    </row>
    <row r="1763" spans="6:14">
      <c r="F1763" s="136" t="s">
        <v>10872</v>
      </c>
      <c r="G1763" s="136">
        <v>1760</v>
      </c>
      <c r="H1763" s="136" t="s">
        <v>110</v>
      </c>
      <c r="I1763" s="136" t="s">
        <v>111</v>
      </c>
      <c r="J1763" s="136" t="s">
        <v>10873</v>
      </c>
      <c r="L1763" s="136"/>
      <c r="M1763" s="136"/>
      <c r="N1763" s="136"/>
    </row>
    <row r="1764" spans="6:14">
      <c r="F1764" s="136" t="s">
        <v>10874</v>
      </c>
      <c r="G1764" s="136">
        <v>1761</v>
      </c>
      <c r="H1764" s="136" t="s">
        <v>10875</v>
      </c>
      <c r="I1764" s="136" t="s">
        <v>10876</v>
      </c>
      <c r="J1764" s="136" t="s">
        <v>10877</v>
      </c>
      <c r="L1764" s="136"/>
      <c r="M1764" s="136"/>
      <c r="N1764" s="136"/>
    </row>
    <row r="1765" spans="6:14">
      <c r="F1765" s="136" t="s">
        <v>10878</v>
      </c>
      <c r="G1765" s="136">
        <v>1762</v>
      </c>
      <c r="H1765" s="136" t="s">
        <v>4650</v>
      </c>
      <c r="I1765" s="136" t="s">
        <v>4651</v>
      </c>
      <c r="J1765" s="136" t="s">
        <v>10879</v>
      </c>
      <c r="L1765" s="136"/>
      <c r="M1765" s="136"/>
      <c r="N1765" s="136"/>
    </row>
    <row r="1766" spans="6:14">
      <c r="F1766" s="136" t="s">
        <v>10880</v>
      </c>
      <c r="G1766" s="136">
        <v>1763</v>
      </c>
      <c r="H1766" s="136" t="s">
        <v>10881</v>
      </c>
      <c r="I1766" s="136" t="s">
        <v>10882</v>
      </c>
      <c r="J1766" s="136" t="s">
        <v>10883</v>
      </c>
      <c r="L1766" s="136"/>
      <c r="M1766" s="136"/>
      <c r="N1766" s="136"/>
    </row>
    <row r="1767" spans="6:14">
      <c r="F1767" s="136" t="s">
        <v>10884</v>
      </c>
      <c r="G1767" s="136">
        <v>1764</v>
      </c>
      <c r="H1767" s="136" t="s">
        <v>4943</v>
      </c>
      <c r="I1767" s="136" t="s">
        <v>4944</v>
      </c>
      <c r="J1767" s="136" t="s">
        <v>10885</v>
      </c>
      <c r="L1767" s="136"/>
      <c r="M1767" s="136"/>
      <c r="N1767" s="136"/>
    </row>
    <row r="1768" spans="6:14">
      <c r="F1768" s="136" t="s">
        <v>10886</v>
      </c>
      <c r="G1768" s="136">
        <v>1765</v>
      </c>
      <c r="H1768" s="136" t="s">
        <v>2400</v>
      </c>
      <c r="I1768" s="136" t="s">
        <v>2401</v>
      </c>
      <c r="J1768" s="136" t="s">
        <v>10887</v>
      </c>
      <c r="L1768" s="136"/>
      <c r="M1768" s="136"/>
      <c r="N1768" s="136"/>
    </row>
    <row r="1769" spans="6:14">
      <c r="F1769" s="136" t="s">
        <v>10888</v>
      </c>
      <c r="G1769" s="136">
        <v>1766</v>
      </c>
      <c r="H1769" s="136" t="s">
        <v>4722</v>
      </c>
      <c r="I1769" s="136" t="s">
        <v>4723</v>
      </c>
      <c r="J1769" s="136" t="s">
        <v>10889</v>
      </c>
      <c r="L1769" s="136"/>
      <c r="M1769" s="136"/>
      <c r="N1769" s="136"/>
    </row>
    <row r="1770" spans="6:14">
      <c r="F1770" s="136" t="s">
        <v>10890</v>
      </c>
      <c r="G1770" s="136">
        <v>1767</v>
      </c>
      <c r="H1770" s="136" t="s">
        <v>10891</v>
      </c>
      <c r="I1770" s="136" t="s">
        <v>10892</v>
      </c>
      <c r="J1770" s="136" t="s">
        <v>10893</v>
      </c>
      <c r="L1770" s="136"/>
      <c r="M1770" s="136"/>
      <c r="N1770" s="136"/>
    </row>
    <row r="1771" spans="6:14">
      <c r="F1771" s="136" t="s">
        <v>10894</v>
      </c>
      <c r="G1771" s="136">
        <v>1768</v>
      </c>
      <c r="H1771" s="136" t="s">
        <v>10895</v>
      </c>
      <c r="I1771" s="136" t="s">
        <v>10896</v>
      </c>
      <c r="J1771" s="136" t="s">
        <v>10897</v>
      </c>
      <c r="L1771" s="136"/>
      <c r="M1771" s="136"/>
      <c r="N1771" s="136"/>
    </row>
    <row r="1772" spans="6:14">
      <c r="F1772" s="136" t="s">
        <v>10898</v>
      </c>
      <c r="G1772" s="136">
        <v>1769</v>
      </c>
      <c r="H1772" s="136" t="s">
        <v>4868</v>
      </c>
      <c r="I1772" s="136" t="s">
        <v>4869</v>
      </c>
      <c r="J1772" s="136" t="s">
        <v>10899</v>
      </c>
      <c r="L1772" s="136"/>
      <c r="M1772" s="136"/>
      <c r="N1772" s="136"/>
    </row>
    <row r="1773" spans="6:14">
      <c r="F1773" s="136" t="s">
        <v>10900</v>
      </c>
      <c r="G1773" s="136">
        <v>1770</v>
      </c>
      <c r="H1773" s="136" t="s">
        <v>5327</v>
      </c>
      <c r="I1773" s="136" t="s">
        <v>5328</v>
      </c>
      <c r="J1773" s="136" t="s">
        <v>10901</v>
      </c>
      <c r="L1773" s="136"/>
      <c r="M1773" s="136"/>
      <c r="N1773" s="136"/>
    </row>
    <row r="1774" spans="6:14">
      <c r="F1774" s="136" t="s">
        <v>10902</v>
      </c>
      <c r="G1774" s="136">
        <v>1771</v>
      </c>
      <c r="H1774" s="136" t="s">
        <v>10903</v>
      </c>
      <c r="I1774" s="136" t="s">
        <v>10904</v>
      </c>
      <c r="J1774" s="136" t="s">
        <v>10905</v>
      </c>
      <c r="L1774" s="136"/>
      <c r="M1774" s="136"/>
      <c r="N1774" s="136"/>
    </row>
    <row r="1775" spans="6:14">
      <c r="F1775" s="136" t="s">
        <v>10906</v>
      </c>
      <c r="G1775" s="136">
        <v>1772</v>
      </c>
      <c r="H1775" s="136" t="s">
        <v>4587</v>
      </c>
      <c r="I1775" s="136" t="s">
        <v>4588</v>
      </c>
      <c r="J1775" s="136" t="s">
        <v>10907</v>
      </c>
      <c r="L1775" s="136"/>
      <c r="M1775" s="136"/>
      <c r="N1775" s="136"/>
    </row>
    <row r="1776" spans="6:14">
      <c r="F1776" s="136" t="s">
        <v>10908</v>
      </c>
      <c r="G1776" s="136">
        <v>1773</v>
      </c>
      <c r="H1776" s="136" t="s">
        <v>2943</v>
      </c>
      <c r="I1776" s="136" t="s">
        <v>2944</v>
      </c>
      <c r="J1776" s="136" t="s">
        <v>10909</v>
      </c>
      <c r="L1776" s="136"/>
      <c r="M1776" s="136"/>
      <c r="N1776" s="136"/>
    </row>
    <row r="1777" spans="6:14">
      <c r="F1777" s="136" t="s">
        <v>10910</v>
      </c>
      <c r="G1777" s="136">
        <v>1774</v>
      </c>
      <c r="H1777" s="136" t="s">
        <v>10911</v>
      </c>
      <c r="I1777" s="136" t="s">
        <v>10912</v>
      </c>
      <c r="J1777" s="136" t="s">
        <v>10913</v>
      </c>
      <c r="L1777" s="136"/>
      <c r="M1777" s="136"/>
      <c r="N1777" s="136"/>
    </row>
    <row r="1778" spans="6:14">
      <c r="F1778" s="136" t="s">
        <v>10914</v>
      </c>
      <c r="G1778" s="136">
        <v>1775</v>
      </c>
      <c r="H1778" s="136" t="s">
        <v>2517</v>
      </c>
      <c r="I1778" s="136" t="s">
        <v>2518</v>
      </c>
      <c r="J1778" s="136" t="s">
        <v>10915</v>
      </c>
      <c r="L1778" s="136"/>
      <c r="M1778" s="136"/>
      <c r="N1778" s="136"/>
    </row>
    <row r="1779" spans="6:14">
      <c r="F1779" s="136" t="s">
        <v>10916</v>
      </c>
      <c r="G1779" s="136">
        <v>1776</v>
      </c>
      <c r="H1779" s="136" t="s">
        <v>219</v>
      </c>
      <c r="I1779" s="136" t="s">
        <v>220</v>
      </c>
      <c r="J1779" s="136" t="s">
        <v>10917</v>
      </c>
      <c r="L1779" s="136"/>
      <c r="M1779" s="136"/>
      <c r="N1779" s="136"/>
    </row>
    <row r="1780" spans="6:14">
      <c r="F1780" s="136" t="s">
        <v>10918</v>
      </c>
      <c r="G1780" s="136">
        <v>1777</v>
      </c>
      <c r="H1780" s="136" t="s">
        <v>10919</v>
      </c>
      <c r="I1780" s="136" t="s">
        <v>10920</v>
      </c>
      <c r="J1780" s="136" t="s">
        <v>10921</v>
      </c>
      <c r="L1780" s="136"/>
      <c r="M1780" s="136"/>
      <c r="N1780" s="136"/>
    </row>
    <row r="1781" spans="6:14">
      <c r="F1781" s="136" t="s">
        <v>10922</v>
      </c>
      <c r="G1781" s="136">
        <v>1778</v>
      </c>
      <c r="H1781" s="136" t="s">
        <v>2457</v>
      </c>
      <c r="I1781" s="136" t="s">
        <v>2458</v>
      </c>
      <c r="J1781" s="136" t="s">
        <v>10923</v>
      </c>
      <c r="L1781" s="136"/>
      <c r="M1781" s="136"/>
      <c r="N1781" s="136"/>
    </row>
    <row r="1782" spans="6:14">
      <c r="F1782" s="136" t="s">
        <v>10924</v>
      </c>
      <c r="G1782" s="136">
        <v>1779</v>
      </c>
      <c r="H1782" s="136" t="s">
        <v>6158</v>
      </c>
      <c r="I1782" s="136" t="s">
        <v>6158</v>
      </c>
      <c r="J1782" s="136" t="s">
        <v>10925</v>
      </c>
      <c r="L1782" s="136"/>
      <c r="M1782" s="136"/>
      <c r="N1782" s="136"/>
    </row>
    <row r="1783" spans="6:14">
      <c r="F1783" s="136" t="s">
        <v>10926</v>
      </c>
      <c r="G1783" s="136">
        <v>1780</v>
      </c>
      <c r="H1783" s="136" t="s">
        <v>3296</v>
      </c>
      <c r="I1783" s="136" t="s">
        <v>3297</v>
      </c>
      <c r="J1783" s="136" t="s">
        <v>10927</v>
      </c>
      <c r="L1783" s="136"/>
      <c r="M1783" s="136"/>
      <c r="N1783" s="136"/>
    </row>
    <row r="1784" spans="6:14">
      <c r="F1784" s="136" t="s">
        <v>10928</v>
      </c>
      <c r="G1784" s="136">
        <v>1781</v>
      </c>
      <c r="H1784" s="136" t="s">
        <v>10929</v>
      </c>
      <c r="I1784" s="136" t="s">
        <v>10930</v>
      </c>
      <c r="J1784" s="136" t="s">
        <v>10931</v>
      </c>
      <c r="L1784" s="136"/>
      <c r="M1784" s="136"/>
      <c r="N1784" s="136"/>
    </row>
    <row r="1785" spans="6:14">
      <c r="F1785" s="136" t="s">
        <v>10932</v>
      </c>
      <c r="G1785" s="136">
        <v>1782</v>
      </c>
      <c r="H1785" s="136" t="s">
        <v>10933</v>
      </c>
      <c r="I1785" s="136" t="s">
        <v>10934</v>
      </c>
      <c r="J1785" s="136" t="s">
        <v>10935</v>
      </c>
      <c r="L1785" s="136"/>
      <c r="M1785" s="136"/>
      <c r="N1785" s="136"/>
    </row>
    <row r="1786" spans="6:14">
      <c r="F1786" s="136" t="s">
        <v>10936</v>
      </c>
      <c r="G1786" s="136">
        <v>1783</v>
      </c>
      <c r="H1786" s="136" t="s">
        <v>10937</v>
      </c>
      <c r="I1786" s="136" t="s">
        <v>10938</v>
      </c>
      <c r="J1786" s="136" t="s">
        <v>10939</v>
      </c>
      <c r="L1786" s="136"/>
      <c r="M1786" s="136"/>
      <c r="N1786" s="136"/>
    </row>
    <row r="1787" spans="6:14">
      <c r="F1787" s="136" t="s">
        <v>10940</v>
      </c>
      <c r="G1787" s="136">
        <v>1784</v>
      </c>
      <c r="H1787" s="136" t="s">
        <v>888</v>
      </c>
      <c r="I1787" s="136" t="s">
        <v>889</v>
      </c>
      <c r="J1787" s="136" t="s">
        <v>10941</v>
      </c>
      <c r="L1787" s="136"/>
      <c r="M1787" s="136"/>
      <c r="N1787" s="136"/>
    </row>
    <row r="1788" spans="6:14">
      <c r="F1788" s="136" t="s">
        <v>10942</v>
      </c>
      <c r="G1788" s="136">
        <v>1785</v>
      </c>
      <c r="H1788" s="136" t="s">
        <v>10943</v>
      </c>
      <c r="I1788" s="136" t="s">
        <v>10944</v>
      </c>
      <c r="J1788" s="136" t="s">
        <v>10945</v>
      </c>
      <c r="L1788" s="136"/>
      <c r="M1788" s="136"/>
      <c r="N1788" s="136"/>
    </row>
    <row r="1789" spans="6:14">
      <c r="F1789" s="136" t="s">
        <v>10946</v>
      </c>
      <c r="G1789" s="136">
        <v>1786</v>
      </c>
      <c r="H1789" s="136" t="s">
        <v>2471</v>
      </c>
      <c r="I1789" s="136" t="s">
        <v>2472</v>
      </c>
      <c r="J1789" s="136" t="s">
        <v>10947</v>
      </c>
      <c r="L1789" s="136"/>
      <c r="M1789" s="136"/>
      <c r="N1789" s="136"/>
    </row>
    <row r="1790" spans="6:14">
      <c r="F1790" s="136" t="s">
        <v>10948</v>
      </c>
      <c r="G1790" s="136">
        <v>1787</v>
      </c>
      <c r="H1790" s="136" t="s">
        <v>10949</v>
      </c>
      <c r="I1790" s="136" t="s">
        <v>10950</v>
      </c>
      <c r="J1790" s="136" t="s">
        <v>10951</v>
      </c>
      <c r="L1790" s="136"/>
      <c r="M1790" s="136"/>
      <c r="N1790" s="136"/>
    </row>
    <row r="1791" spans="6:14">
      <c r="F1791" s="136" t="s">
        <v>10952</v>
      </c>
      <c r="G1791" s="136">
        <v>1788</v>
      </c>
      <c r="H1791" s="136" t="s">
        <v>4976</v>
      </c>
      <c r="I1791" s="136" t="s">
        <v>4978</v>
      </c>
      <c r="J1791" s="136" t="s">
        <v>10953</v>
      </c>
      <c r="L1791" s="136"/>
      <c r="M1791" s="136"/>
      <c r="N1791" s="136"/>
    </row>
    <row r="1792" spans="6:14">
      <c r="F1792" s="136" t="s">
        <v>10954</v>
      </c>
      <c r="G1792" s="136">
        <v>1789</v>
      </c>
      <c r="H1792" s="136" t="s">
        <v>6125</v>
      </c>
      <c r="I1792" s="136" t="s">
        <v>6126</v>
      </c>
      <c r="J1792" s="136" t="s">
        <v>10955</v>
      </c>
      <c r="L1792" s="136"/>
      <c r="M1792" s="136"/>
      <c r="N1792" s="136"/>
    </row>
    <row r="1793" spans="6:14">
      <c r="F1793" s="136" t="s">
        <v>10956</v>
      </c>
      <c r="G1793" s="136">
        <v>1790</v>
      </c>
      <c r="H1793" s="136" t="s">
        <v>4976</v>
      </c>
      <c r="I1793" s="136" t="s">
        <v>4979</v>
      </c>
      <c r="J1793" s="136" t="s">
        <v>10957</v>
      </c>
      <c r="L1793" s="136"/>
      <c r="M1793" s="136"/>
      <c r="N1793" s="136"/>
    </row>
    <row r="1794" spans="6:14">
      <c r="F1794" s="136" t="s">
        <v>10958</v>
      </c>
      <c r="G1794" s="136">
        <v>1791</v>
      </c>
      <c r="H1794" s="136" t="s">
        <v>1334</v>
      </c>
      <c r="I1794" s="136" t="s">
        <v>1335</v>
      </c>
      <c r="J1794" s="136" t="s">
        <v>10959</v>
      </c>
      <c r="L1794" s="136"/>
      <c r="M1794" s="136"/>
      <c r="N1794" s="136"/>
    </row>
    <row r="1795" spans="6:14">
      <c r="F1795" s="136" t="s">
        <v>10960</v>
      </c>
      <c r="G1795" s="136">
        <v>1792</v>
      </c>
      <c r="H1795" s="136" t="s">
        <v>439</v>
      </c>
      <c r="I1795" s="136" t="s">
        <v>440</v>
      </c>
      <c r="J1795" s="136" t="s">
        <v>10961</v>
      </c>
      <c r="L1795" s="136"/>
      <c r="M1795" s="136"/>
      <c r="N1795" s="136"/>
    </row>
    <row r="1796" spans="6:14">
      <c r="F1796" s="136" t="s">
        <v>10962</v>
      </c>
      <c r="G1796" s="136">
        <v>1793</v>
      </c>
      <c r="H1796" s="136" t="s">
        <v>4118</v>
      </c>
      <c r="I1796" s="136" t="s">
        <v>4119</v>
      </c>
      <c r="J1796" s="136" t="s">
        <v>10963</v>
      </c>
      <c r="L1796" s="136"/>
      <c r="M1796" s="136"/>
      <c r="N1796" s="136"/>
    </row>
    <row r="1797" spans="6:14">
      <c r="F1797" s="136" t="s">
        <v>10964</v>
      </c>
      <c r="G1797" s="136">
        <v>1794</v>
      </c>
      <c r="H1797" s="136" t="s">
        <v>2326</v>
      </c>
      <c r="I1797" s="136" t="s">
        <v>2327</v>
      </c>
      <c r="J1797" s="136" t="s">
        <v>10965</v>
      </c>
      <c r="L1797" s="136"/>
      <c r="M1797" s="136"/>
      <c r="N1797" s="136"/>
    </row>
    <row r="1798" spans="6:14">
      <c r="F1798" s="136" t="s">
        <v>10966</v>
      </c>
      <c r="G1798" s="136">
        <v>1795</v>
      </c>
      <c r="H1798" s="136" t="s">
        <v>1160</v>
      </c>
      <c r="I1798" s="136" t="s">
        <v>1161</v>
      </c>
      <c r="J1798" s="136" t="s">
        <v>10967</v>
      </c>
      <c r="L1798" s="136"/>
      <c r="M1798" s="136"/>
      <c r="N1798" s="136"/>
    </row>
    <row r="1799" spans="6:14">
      <c r="F1799" s="136" t="s">
        <v>10968</v>
      </c>
      <c r="G1799" s="136">
        <v>1796</v>
      </c>
      <c r="H1799" s="136" t="s">
        <v>4792</v>
      </c>
      <c r="I1799" s="136" t="s">
        <v>4793</v>
      </c>
      <c r="J1799" s="136" t="s">
        <v>10969</v>
      </c>
      <c r="L1799" s="136"/>
      <c r="M1799" s="136"/>
      <c r="N1799" s="136"/>
    </row>
    <row r="1800" spans="6:14">
      <c r="F1800" s="136" t="s">
        <v>10970</v>
      </c>
      <c r="G1800" s="136">
        <v>1797</v>
      </c>
      <c r="H1800" s="136" t="s">
        <v>4280</v>
      </c>
      <c r="I1800" s="136" t="s">
        <v>4281</v>
      </c>
      <c r="J1800" s="136" t="s">
        <v>10971</v>
      </c>
      <c r="L1800" s="136"/>
      <c r="M1800" s="136"/>
      <c r="N1800" s="136"/>
    </row>
    <row r="1801" spans="6:14">
      <c r="F1801" s="136" t="s">
        <v>10972</v>
      </c>
      <c r="G1801" s="136">
        <v>1798</v>
      </c>
      <c r="H1801" s="136" t="s">
        <v>4888</v>
      </c>
      <c r="I1801" s="136" t="s">
        <v>4889</v>
      </c>
      <c r="J1801" s="136" t="s">
        <v>10973</v>
      </c>
      <c r="L1801" s="136"/>
      <c r="M1801" s="136"/>
      <c r="N1801" s="136"/>
    </row>
    <row r="1802" spans="6:14">
      <c r="F1802" s="136" t="s">
        <v>10974</v>
      </c>
      <c r="G1802" s="136">
        <v>1799</v>
      </c>
      <c r="H1802" s="136" t="s">
        <v>5574</v>
      </c>
      <c r="I1802" s="136" t="s">
        <v>5575</v>
      </c>
      <c r="J1802" s="136" t="s">
        <v>10975</v>
      </c>
      <c r="L1802" s="136"/>
      <c r="M1802" s="136"/>
      <c r="N1802" s="136"/>
    </row>
    <row r="1803" spans="6:14">
      <c r="F1803" s="136" t="s">
        <v>10976</v>
      </c>
      <c r="G1803" s="136">
        <v>1800</v>
      </c>
      <c r="H1803" s="136" t="s">
        <v>10977</v>
      </c>
      <c r="I1803" s="136" t="s">
        <v>10978</v>
      </c>
      <c r="J1803" s="136" t="s">
        <v>10979</v>
      </c>
      <c r="L1803" s="136"/>
      <c r="M1803" s="136"/>
      <c r="N1803" s="136"/>
    </row>
    <row r="1804" spans="6:14">
      <c r="F1804" s="136" t="s">
        <v>10980</v>
      </c>
      <c r="G1804" s="136">
        <v>1801</v>
      </c>
      <c r="H1804" s="136" t="s">
        <v>5586</v>
      </c>
      <c r="I1804" s="136" t="s">
        <v>5587</v>
      </c>
      <c r="J1804" s="136" t="s">
        <v>10981</v>
      </c>
      <c r="L1804" s="136"/>
      <c r="M1804" s="136"/>
      <c r="N1804" s="136"/>
    </row>
    <row r="1805" spans="6:14">
      <c r="F1805" s="136" t="s">
        <v>10982</v>
      </c>
      <c r="G1805" s="136">
        <v>1802</v>
      </c>
      <c r="H1805" s="136" t="s">
        <v>631</v>
      </c>
      <c r="I1805" s="136" t="s">
        <v>632</v>
      </c>
      <c r="J1805" s="136" t="s">
        <v>10983</v>
      </c>
      <c r="L1805" s="136"/>
      <c r="M1805" s="136"/>
      <c r="N1805" s="136"/>
    </row>
    <row r="1806" spans="6:14">
      <c r="F1806" s="136" t="s">
        <v>10984</v>
      </c>
      <c r="G1806" s="136">
        <v>1803</v>
      </c>
      <c r="H1806" s="136" t="s">
        <v>2818</v>
      </c>
      <c r="I1806" s="136" t="s">
        <v>2827</v>
      </c>
      <c r="J1806" s="136" t="s">
        <v>10985</v>
      </c>
      <c r="L1806" s="136"/>
      <c r="M1806" s="136"/>
      <c r="N1806" s="136"/>
    </row>
    <row r="1807" spans="6:14">
      <c r="F1807" s="136" t="s">
        <v>10986</v>
      </c>
      <c r="G1807" s="136">
        <v>1804</v>
      </c>
      <c r="H1807" s="136" t="s">
        <v>5618</v>
      </c>
      <c r="I1807" s="136" t="s">
        <v>5619</v>
      </c>
      <c r="J1807" s="136" t="s">
        <v>10987</v>
      </c>
      <c r="L1807" s="136"/>
      <c r="M1807" s="136"/>
      <c r="N1807" s="136"/>
    </row>
    <row r="1808" spans="6:14">
      <c r="F1808" s="136" t="s">
        <v>10988</v>
      </c>
      <c r="G1808" s="136">
        <v>1805</v>
      </c>
      <c r="H1808" s="136" t="s">
        <v>1117</v>
      </c>
      <c r="I1808" s="136" t="s">
        <v>1118</v>
      </c>
      <c r="J1808" s="136" t="s">
        <v>10989</v>
      </c>
      <c r="L1808" s="136"/>
      <c r="M1808" s="136"/>
      <c r="N1808" s="136"/>
    </row>
    <row r="1809" spans="6:14">
      <c r="F1809" s="136" t="s">
        <v>10990</v>
      </c>
      <c r="G1809" s="136">
        <v>1806</v>
      </c>
      <c r="H1809" s="136" t="s">
        <v>4112</v>
      </c>
      <c r="I1809" s="136" t="s">
        <v>4113</v>
      </c>
      <c r="J1809" s="136" t="s">
        <v>10991</v>
      </c>
      <c r="L1809" s="136"/>
      <c r="M1809" s="136"/>
      <c r="N1809" s="136"/>
    </row>
    <row r="1810" spans="6:14">
      <c r="F1810" s="136" t="s">
        <v>10992</v>
      </c>
      <c r="G1810" s="136">
        <v>1807</v>
      </c>
      <c r="H1810" s="136" t="s">
        <v>4585</v>
      </c>
      <c r="I1810" s="136" t="s">
        <v>4586</v>
      </c>
      <c r="J1810" s="136" t="s">
        <v>10993</v>
      </c>
      <c r="L1810" s="136"/>
      <c r="M1810" s="136"/>
      <c r="N1810" s="136"/>
    </row>
    <row r="1811" spans="6:14">
      <c r="F1811" s="136" t="s">
        <v>10994</v>
      </c>
      <c r="G1811" s="136">
        <v>1808</v>
      </c>
      <c r="H1811" s="136" t="s">
        <v>5868</v>
      </c>
      <c r="I1811" s="136" t="s">
        <v>5871</v>
      </c>
      <c r="J1811" s="136" t="s">
        <v>10995</v>
      </c>
      <c r="L1811" s="136"/>
      <c r="M1811" s="136"/>
      <c r="N1811" s="136"/>
    </row>
    <row r="1812" spans="6:14">
      <c r="F1812" s="136" t="s">
        <v>10996</v>
      </c>
      <c r="G1812" s="136">
        <v>1809</v>
      </c>
      <c r="H1812" s="136" t="s">
        <v>5130</v>
      </c>
      <c r="I1812" s="136" t="s">
        <v>5131</v>
      </c>
      <c r="J1812" s="136" t="s">
        <v>10997</v>
      </c>
      <c r="L1812" s="136"/>
      <c r="M1812" s="136"/>
      <c r="N1812" s="136"/>
    </row>
    <row r="1813" spans="6:14">
      <c r="F1813" s="136" t="s">
        <v>10998</v>
      </c>
      <c r="G1813" s="136">
        <v>1810</v>
      </c>
      <c r="H1813" s="136" t="s">
        <v>10999</v>
      </c>
      <c r="I1813" s="136" t="s">
        <v>11000</v>
      </c>
      <c r="J1813" s="136" t="s">
        <v>11001</v>
      </c>
      <c r="L1813" s="136"/>
      <c r="M1813" s="136"/>
      <c r="N1813" s="136"/>
    </row>
    <row r="1814" spans="6:14">
      <c r="F1814" s="136" t="s">
        <v>11002</v>
      </c>
      <c r="G1814" s="136">
        <v>1811</v>
      </c>
      <c r="H1814" s="136" t="s">
        <v>11003</v>
      </c>
      <c r="I1814" s="136" t="s">
        <v>11004</v>
      </c>
      <c r="J1814" s="136" t="s">
        <v>11005</v>
      </c>
      <c r="L1814" s="136"/>
      <c r="M1814" s="136"/>
      <c r="N1814" s="136"/>
    </row>
    <row r="1815" spans="6:14">
      <c r="F1815" s="136" t="s">
        <v>11006</v>
      </c>
      <c r="G1815" s="136">
        <v>1812</v>
      </c>
      <c r="H1815" s="136" t="s">
        <v>5331</v>
      </c>
      <c r="I1815" s="136" t="s">
        <v>5332</v>
      </c>
      <c r="J1815" s="136" t="s">
        <v>11007</v>
      </c>
      <c r="L1815" s="136"/>
      <c r="M1815" s="136"/>
      <c r="N1815" s="136"/>
    </row>
    <row r="1816" spans="6:14">
      <c r="F1816" s="136" t="s">
        <v>11008</v>
      </c>
      <c r="G1816" s="136">
        <v>1813</v>
      </c>
      <c r="H1816" s="136" t="s">
        <v>441</v>
      </c>
      <c r="I1816" s="136" t="s">
        <v>442</v>
      </c>
      <c r="J1816" s="136" t="s">
        <v>11009</v>
      </c>
      <c r="L1816" s="136"/>
      <c r="M1816" s="136"/>
      <c r="N1816" s="136"/>
    </row>
    <row r="1817" spans="6:14">
      <c r="F1817" s="136" t="s">
        <v>11010</v>
      </c>
      <c r="G1817" s="136">
        <v>1814</v>
      </c>
      <c r="H1817" s="136" t="s">
        <v>2060</v>
      </c>
      <c r="I1817" s="136" t="s">
        <v>2061</v>
      </c>
      <c r="J1817" s="136" t="s">
        <v>11011</v>
      </c>
      <c r="L1817" s="136"/>
      <c r="M1817" s="136"/>
      <c r="N1817" s="136"/>
    </row>
    <row r="1818" spans="6:14">
      <c r="F1818" s="136" t="s">
        <v>11012</v>
      </c>
      <c r="G1818" s="136">
        <v>1815</v>
      </c>
      <c r="H1818" s="136" t="s">
        <v>2598</v>
      </c>
      <c r="I1818" s="136" t="s">
        <v>2599</v>
      </c>
      <c r="J1818" s="136" t="s">
        <v>11013</v>
      </c>
      <c r="L1818" s="136"/>
      <c r="M1818" s="136"/>
      <c r="N1818" s="136"/>
    </row>
    <row r="1819" spans="6:14">
      <c r="F1819" s="136" t="s">
        <v>11014</v>
      </c>
      <c r="G1819" s="136">
        <v>1816</v>
      </c>
      <c r="H1819" s="136" t="s">
        <v>11015</v>
      </c>
      <c r="I1819" s="136" t="s">
        <v>11016</v>
      </c>
      <c r="J1819" s="136" t="s">
        <v>11017</v>
      </c>
      <c r="L1819" s="136"/>
      <c r="M1819" s="136"/>
      <c r="N1819" s="136"/>
    </row>
    <row r="1820" spans="6:14">
      <c r="F1820" s="136" t="s">
        <v>11018</v>
      </c>
      <c r="G1820" s="136">
        <v>1817</v>
      </c>
      <c r="H1820" s="136" t="s">
        <v>11019</v>
      </c>
      <c r="I1820" s="136" t="s">
        <v>11020</v>
      </c>
      <c r="J1820" s="136" t="s">
        <v>11021</v>
      </c>
      <c r="L1820" s="136"/>
      <c r="M1820" s="136"/>
      <c r="N1820" s="136"/>
    </row>
    <row r="1821" spans="6:14">
      <c r="F1821" s="136" t="s">
        <v>11022</v>
      </c>
      <c r="G1821" s="136">
        <v>1818</v>
      </c>
      <c r="H1821" s="136" t="s">
        <v>370</v>
      </c>
      <c r="I1821" s="136" t="s">
        <v>371</v>
      </c>
      <c r="J1821" s="136" t="s">
        <v>11023</v>
      </c>
      <c r="L1821" s="136"/>
      <c r="M1821" s="136"/>
      <c r="N1821" s="136"/>
    </row>
    <row r="1822" spans="6:14">
      <c r="F1822" s="136" t="s">
        <v>11024</v>
      </c>
      <c r="G1822" s="136">
        <v>1819</v>
      </c>
      <c r="H1822" s="136" t="s">
        <v>4133</v>
      </c>
      <c r="I1822" s="136" t="s">
        <v>4134</v>
      </c>
      <c r="J1822" s="136" t="s">
        <v>11025</v>
      </c>
      <c r="L1822" s="136"/>
      <c r="M1822" s="136"/>
      <c r="N1822" s="136"/>
    </row>
    <row r="1823" spans="6:14">
      <c r="F1823" s="136" t="s">
        <v>11026</v>
      </c>
      <c r="G1823" s="136">
        <v>1820</v>
      </c>
      <c r="H1823" s="136" t="s">
        <v>11027</v>
      </c>
      <c r="I1823" s="136" t="s">
        <v>11028</v>
      </c>
      <c r="J1823" s="136" t="s">
        <v>11029</v>
      </c>
      <c r="L1823" s="136"/>
      <c r="M1823" s="136"/>
      <c r="N1823" s="136"/>
    </row>
    <row r="1824" spans="6:14">
      <c r="F1824" s="136" t="s">
        <v>11030</v>
      </c>
      <c r="G1824" s="136">
        <v>1821</v>
      </c>
      <c r="H1824" s="136" t="s">
        <v>4665</v>
      </c>
      <c r="I1824" s="136" t="s">
        <v>4666</v>
      </c>
      <c r="J1824" s="136" t="s">
        <v>11031</v>
      </c>
      <c r="L1824" s="136"/>
      <c r="M1824" s="136"/>
      <c r="N1824" s="136"/>
    </row>
    <row r="1825" spans="6:14">
      <c r="F1825" s="136" t="s">
        <v>11032</v>
      </c>
      <c r="G1825" s="136">
        <v>1822</v>
      </c>
      <c r="H1825" s="136" t="s">
        <v>2600</v>
      </c>
      <c r="I1825" s="136" t="s">
        <v>2601</v>
      </c>
      <c r="J1825" s="136" t="s">
        <v>11033</v>
      </c>
      <c r="L1825" s="136"/>
      <c r="M1825" s="136"/>
      <c r="N1825" s="136"/>
    </row>
    <row r="1826" spans="6:14">
      <c r="F1826" s="136" t="s">
        <v>11034</v>
      </c>
      <c r="G1826" s="136">
        <v>1823</v>
      </c>
      <c r="H1826" s="136" t="s">
        <v>2907</v>
      </c>
      <c r="I1826" s="136" t="s">
        <v>2908</v>
      </c>
      <c r="J1826" s="136" t="s">
        <v>11035</v>
      </c>
      <c r="L1826" s="136"/>
      <c r="M1826" s="136"/>
      <c r="N1826" s="136"/>
    </row>
    <row r="1827" spans="6:14">
      <c r="F1827" s="136" t="s">
        <v>11036</v>
      </c>
      <c r="G1827" s="136">
        <v>1824</v>
      </c>
      <c r="H1827" s="136" t="s">
        <v>3761</v>
      </c>
      <c r="I1827" s="136" t="s">
        <v>3762</v>
      </c>
      <c r="J1827" s="136" t="s">
        <v>11037</v>
      </c>
      <c r="L1827" s="136"/>
      <c r="M1827" s="136"/>
      <c r="N1827" s="136"/>
    </row>
    <row r="1828" spans="6:14">
      <c r="F1828" s="136" t="s">
        <v>11038</v>
      </c>
      <c r="G1828" s="136">
        <v>1825</v>
      </c>
      <c r="H1828" s="136" t="s">
        <v>4116</v>
      </c>
      <c r="I1828" s="136" t="s">
        <v>4117</v>
      </c>
      <c r="J1828" s="136" t="s">
        <v>11039</v>
      </c>
      <c r="L1828" s="136"/>
      <c r="M1828" s="136"/>
      <c r="N1828" s="136"/>
    </row>
    <row r="1829" spans="6:14">
      <c r="F1829" s="136" t="s">
        <v>11040</v>
      </c>
      <c r="G1829" s="136">
        <v>1826</v>
      </c>
      <c r="H1829" s="136" t="s">
        <v>171</v>
      </c>
      <c r="I1829" s="136" t="s">
        <v>172</v>
      </c>
      <c r="J1829" s="136" t="s">
        <v>11041</v>
      </c>
      <c r="L1829" s="136"/>
      <c r="M1829" s="136"/>
      <c r="N1829" s="136"/>
    </row>
    <row r="1830" spans="6:14">
      <c r="F1830" s="136" t="s">
        <v>11042</v>
      </c>
      <c r="G1830" s="136">
        <v>1827</v>
      </c>
      <c r="H1830" s="136" t="s">
        <v>2449</v>
      </c>
      <c r="I1830" s="136" t="s">
        <v>2450</v>
      </c>
      <c r="J1830" s="136" t="s">
        <v>11043</v>
      </c>
      <c r="L1830" s="136"/>
      <c r="M1830" s="136"/>
      <c r="N1830" s="136"/>
    </row>
    <row r="1831" spans="6:14">
      <c r="F1831" s="136" t="s">
        <v>11044</v>
      </c>
      <c r="G1831" s="136">
        <v>1828</v>
      </c>
      <c r="H1831" s="136" t="s">
        <v>2433</v>
      </c>
      <c r="I1831" s="136" t="s">
        <v>2434</v>
      </c>
      <c r="J1831" s="136" t="s">
        <v>11045</v>
      </c>
      <c r="L1831" s="136"/>
      <c r="M1831" s="136"/>
      <c r="N1831" s="136"/>
    </row>
    <row r="1832" spans="6:14">
      <c r="F1832" s="136" t="s">
        <v>11046</v>
      </c>
      <c r="G1832" s="136">
        <v>1829</v>
      </c>
      <c r="H1832" s="136" t="s">
        <v>2117</v>
      </c>
      <c r="I1832" s="136" t="s">
        <v>2118</v>
      </c>
      <c r="J1832" s="136" t="s">
        <v>11047</v>
      </c>
      <c r="L1832" s="136"/>
      <c r="M1832" s="136"/>
      <c r="N1832" s="136"/>
    </row>
    <row r="1833" spans="6:14">
      <c r="F1833" s="136" t="s">
        <v>11048</v>
      </c>
      <c r="G1833" s="136">
        <v>1830</v>
      </c>
      <c r="H1833" s="136" t="s">
        <v>5484</v>
      </c>
      <c r="I1833" s="136" t="s">
        <v>5485</v>
      </c>
      <c r="J1833" s="136" t="s">
        <v>11049</v>
      </c>
      <c r="L1833" s="136"/>
      <c r="M1833" s="136"/>
      <c r="N1833" s="136"/>
    </row>
    <row r="1834" spans="6:14">
      <c r="F1834" s="136" t="s">
        <v>11050</v>
      </c>
      <c r="G1834" s="136">
        <v>1831</v>
      </c>
      <c r="H1834" s="136" t="s">
        <v>5293</v>
      </c>
      <c r="I1834" s="136" t="s">
        <v>5294</v>
      </c>
      <c r="J1834" s="136" t="s">
        <v>11051</v>
      </c>
      <c r="L1834" s="136"/>
      <c r="M1834" s="136"/>
      <c r="N1834" s="136"/>
    </row>
    <row r="1835" spans="6:14">
      <c r="F1835" s="136" t="s">
        <v>11052</v>
      </c>
      <c r="G1835" s="136">
        <v>1832</v>
      </c>
      <c r="H1835" s="136" t="s">
        <v>3367</v>
      </c>
      <c r="I1835" s="136" t="s">
        <v>3368</v>
      </c>
      <c r="J1835" s="136" t="s">
        <v>11053</v>
      </c>
      <c r="L1835" s="136"/>
      <c r="M1835" s="136"/>
      <c r="N1835" s="136"/>
    </row>
    <row r="1836" spans="6:14">
      <c r="F1836" s="136" t="s">
        <v>11054</v>
      </c>
      <c r="G1836" s="136">
        <v>1833</v>
      </c>
      <c r="H1836" s="136" t="s">
        <v>11055</v>
      </c>
      <c r="I1836" s="136" t="s">
        <v>11056</v>
      </c>
      <c r="J1836" s="136" t="s">
        <v>11057</v>
      </c>
      <c r="L1836" s="136"/>
      <c r="M1836" s="136"/>
      <c r="N1836" s="136"/>
    </row>
    <row r="1837" spans="6:14">
      <c r="F1837" s="136" t="s">
        <v>11058</v>
      </c>
      <c r="G1837" s="136">
        <v>1834</v>
      </c>
      <c r="H1837" s="136" t="s">
        <v>11059</v>
      </c>
      <c r="I1837" s="136" t="s">
        <v>11060</v>
      </c>
      <c r="J1837" s="136" t="s">
        <v>11061</v>
      </c>
      <c r="L1837" s="136"/>
      <c r="M1837" s="136"/>
      <c r="N1837" s="136"/>
    </row>
    <row r="1838" spans="6:14">
      <c r="F1838" s="136" t="s">
        <v>11062</v>
      </c>
      <c r="G1838" s="136">
        <v>1835</v>
      </c>
      <c r="H1838" s="136" t="s">
        <v>1100</v>
      </c>
      <c r="I1838" s="136" t="s">
        <v>1101</v>
      </c>
      <c r="J1838" s="136" t="s">
        <v>11063</v>
      </c>
      <c r="L1838" s="136"/>
      <c r="M1838" s="136"/>
      <c r="N1838" s="136"/>
    </row>
    <row r="1839" spans="6:14">
      <c r="F1839" s="136" t="s">
        <v>11064</v>
      </c>
      <c r="G1839" s="136">
        <v>1836</v>
      </c>
      <c r="H1839" s="136" t="s">
        <v>4834</v>
      </c>
      <c r="I1839" s="136" t="s">
        <v>4835</v>
      </c>
      <c r="J1839" s="136" t="s">
        <v>11065</v>
      </c>
      <c r="L1839" s="136"/>
      <c r="M1839" s="136"/>
      <c r="N1839" s="136"/>
    </row>
    <row r="1840" spans="6:14">
      <c r="F1840" s="136" t="s">
        <v>11066</v>
      </c>
      <c r="G1840" s="136">
        <v>1837</v>
      </c>
      <c r="H1840" s="136" t="s">
        <v>5563</v>
      </c>
      <c r="I1840" s="136" t="s">
        <v>5564</v>
      </c>
      <c r="J1840" s="136" t="s">
        <v>11067</v>
      </c>
      <c r="L1840" s="136"/>
      <c r="M1840" s="136"/>
      <c r="N1840" s="136"/>
    </row>
    <row r="1841" spans="6:14">
      <c r="F1841" s="136" t="s">
        <v>11068</v>
      </c>
      <c r="G1841" s="136">
        <v>1838</v>
      </c>
      <c r="H1841" s="136" t="s">
        <v>662</v>
      </c>
      <c r="I1841" s="136" t="s">
        <v>663</v>
      </c>
      <c r="J1841" s="136" t="s">
        <v>11069</v>
      </c>
      <c r="L1841" s="136"/>
      <c r="M1841" s="136"/>
      <c r="N1841" s="136"/>
    </row>
    <row r="1842" spans="6:14">
      <c r="F1842" s="136" t="s">
        <v>11070</v>
      </c>
      <c r="G1842" s="136">
        <v>1839</v>
      </c>
      <c r="H1842" s="136" t="s">
        <v>5478</v>
      </c>
      <c r="I1842" s="136" t="s">
        <v>5479</v>
      </c>
      <c r="J1842" s="136" t="s">
        <v>11071</v>
      </c>
      <c r="L1842" s="136"/>
      <c r="M1842" s="136"/>
      <c r="N1842" s="136"/>
    </row>
    <row r="1843" spans="6:14">
      <c r="F1843" s="136" t="s">
        <v>11072</v>
      </c>
      <c r="G1843" s="136">
        <v>1840</v>
      </c>
      <c r="H1843" s="136" t="s">
        <v>4248</v>
      </c>
      <c r="I1843" s="136" t="s">
        <v>4249</v>
      </c>
      <c r="J1843" s="136" t="s">
        <v>11073</v>
      </c>
      <c r="L1843" s="136"/>
      <c r="M1843" s="136"/>
      <c r="N1843" s="136"/>
    </row>
    <row r="1844" spans="6:14">
      <c r="F1844" s="136" t="s">
        <v>11074</v>
      </c>
      <c r="G1844" s="136">
        <v>1841</v>
      </c>
      <c r="H1844" s="136" t="s">
        <v>1870</v>
      </c>
      <c r="I1844" s="136" t="s">
        <v>1871</v>
      </c>
      <c r="J1844" s="136" t="s">
        <v>11075</v>
      </c>
      <c r="L1844" s="136"/>
      <c r="M1844" s="136"/>
      <c r="N1844" s="136"/>
    </row>
    <row r="1845" spans="6:14">
      <c r="F1845" s="136" t="s">
        <v>11076</v>
      </c>
      <c r="G1845" s="136">
        <v>1842</v>
      </c>
      <c r="H1845" s="136" t="s">
        <v>11077</v>
      </c>
      <c r="I1845" s="136" t="s">
        <v>11078</v>
      </c>
      <c r="J1845" s="136" t="s">
        <v>11079</v>
      </c>
      <c r="L1845" s="136"/>
      <c r="M1845" s="136"/>
      <c r="N1845" s="136"/>
    </row>
    <row r="1846" spans="6:14">
      <c r="F1846" s="136" t="s">
        <v>11080</v>
      </c>
      <c r="G1846" s="136">
        <v>1843</v>
      </c>
      <c r="H1846" s="136" t="s">
        <v>3912</v>
      </c>
      <c r="I1846" s="136" t="s">
        <v>3913</v>
      </c>
      <c r="J1846" s="136" t="s">
        <v>11081</v>
      </c>
      <c r="L1846" s="136"/>
      <c r="M1846" s="136"/>
      <c r="N1846" s="136"/>
    </row>
    <row r="1847" spans="6:14">
      <c r="F1847" s="136" t="s">
        <v>11082</v>
      </c>
      <c r="G1847" s="136">
        <v>1844</v>
      </c>
      <c r="H1847" s="136" t="s">
        <v>4517</v>
      </c>
      <c r="I1847" s="136" t="s">
        <v>4518</v>
      </c>
      <c r="J1847" s="136" t="s">
        <v>11083</v>
      </c>
      <c r="L1847" s="136"/>
      <c r="M1847" s="136"/>
      <c r="N1847" s="136"/>
    </row>
    <row r="1848" spans="6:14">
      <c r="F1848" s="136" t="s">
        <v>11084</v>
      </c>
      <c r="G1848" s="136">
        <v>1845</v>
      </c>
      <c r="H1848" s="136" t="s">
        <v>4710</v>
      </c>
      <c r="I1848" s="136" t="s">
        <v>4711</v>
      </c>
      <c r="J1848" s="136" t="s">
        <v>11085</v>
      </c>
      <c r="L1848" s="136"/>
      <c r="M1848" s="136"/>
      <c r="N1848" s="136"/>
    </row>
    <row r="1849" spans="6:14">
      <c r="F1849" s="136" t="s">
        <v>11086</v>
      </c>
      <c r="G1849" s="136">
        <v>1846</v>
      </c>
      <c r="H1849" s="136" t="s">
        <v>2336</v>
      </c>
      <c r="I1849" s="136" t="s">
        <v>2337</v>
      </c>
      <c r="J1849" s="136" t="s">
        <v>11087</v>
      </c>
      <c r="L1849" s="136"/>
      <c r="M1849" s="136"/>
      <c r="N1849" s="136"/>
    </row>
    <row r="1850" spans="6:14">
      <c r="F1850" s="136" t="s">
        <v>11088</v>
      </c>
      <c r="G1850" s="136">
        <v>1847</v>
      </c>
      <c r="H1850" s="136" t="s">
        <v>2153</v>
      </c>
      <c r="I1850" s="136" t="s">
        <v>2155</v>
      </c>
      <c r="J1850" s="136" t="s">
        <v>11089</v>
      </c>
      <c r="L1850" s="136"/>
      <c r="M1850" s="136"/>
      <c r="N1850" s="136"/>
    </row>
    <row r="1851" spans="6:14">
      <c r="F1851" s="136" t="s">
        <v>11090</v>
      </c>
      <c r="G1851" s="136">
        <v>1848</v>
      </c>
      <c r="H1851" s="136" t="s">
        <v>4541</v>
      </c>
      <c r="I1851" s="136" t="s">
        <v>4542</v>
      </c>
      <c r="J1851" s="136" t="s">
        <v>11091</v>
      </c>
      <c r="L1851" s="136"/>
      <c r="M1851" s="136"/>
      <c r="N1851" s="136"/>
    </row>
    <row r="1852" spans="6:14">
      <c r="F1852" s="136" t="s">
        <v>11092</v>
      </c>
      <c r="G1852" s="136">
        <v>1849</v>
      </c>
      <c r="H1852" s="136" t="s">
        <v>2953</v>
      </c>
      <c r="I1852" s="136" t="s">
        <v>2954</v>
      </c>
      <c r="J1852" s="136" t="s">
        <v>11093</v>
      </c>
      <c r="L1852" s="136"/>
      <c r="M1852" s="136"/>
      <c r="N1852" s="136"/>
    </row>
    <row r="1853" spans="6:14">
      <c r="F1853" s="136" t="s">
        <v>11094</v>
      </c>
      <c r="G1853" s="136">
        <v>1850</v>
      </c>
      <c r="H1853" s="136" t="s">
        <v>2393</v>
      </c>
      <c r="I1853" s="136" t="s">
        <v>2394</v>
      </c>
      <c r="J1853" s="136" t="s">
        <v>11095</v>
      </c>
      <c r="L1853" s="136"/>
      <c r="M1853" s="136"/>
      <c r="N1853" s="136"/>
    </row>
    <row r="1854" spans="6:14">
      <c r="F1854" s="136" t="s">
        <v>11096</v>
      </c>
      <c r="G1854" s="136">
        <v>1851</v>
      </c>
      <c r="H1854" s="136" t="s">
        <v>2295</v>
      </c>
      <c r="I1854" s="136" t="s">
        <v>2296</v>
      </c>
      <c r="J1854" s="136" t="s">
        <v>11097</v>
      </c>
      <c r="L1854" s="136"/>
      <c r="M1854" s="136"/>
      <c r="N1854" s="136"/>
    </row>
    <row r="1855" spans="6:14">
      <c r="F1855" s="136" t="s">
        <v>11098</v>
      </c>
      <c r="G1855" s="136">
        <v>1852</v>
      </c>
      <c r="H1855" s="136" t="s">
        <v>11099</v>
      </c>
      <c r="I1855" s="136" t="s">
        <v>11100</v>
      </c>
      <c r="J1855" s="136" t="s">
        <v>11101</v>
      </c>
      <c r="L1855" s="136"/>
      <c r="M1855" s="136"/>
      <c r="N1855" s="136"/>
    </row>
    <row r="1856" spans="6:14">
      <c r="F1856" s="136" t="s">
        <v>11102</v>
      </c>
      <c r="G1856" s="136">
        <v>1853</v>
      </c>
      <c r="H1856" s="136" t="s">
        <v>11103</v>
      </c>
      <c r="I1856" s="136" t="s">
        <v>11104</v>
      </c>
      <c r="J1856" s="136" t="s">
        <v>11105</v>
      </c>
      <c r="L1856" s="136"/>
      <c r="M1856" s="136"/>
      <c r="N1856" s="136"/>
    </row>
    <row r="1857" spans="6:14">
      <c r="F1857" s="136" t="s">
        <v>11106</v>
      </c>
      <c r="G1857" s="136">
        <v>1854</v>
      </c>
      <c r="H1857" s="136" t="s">
        <v>11107</v>
      </c>
      <c r="I1857" s="136" t="s">
        <v>11108</v>
      </c>
      <c r="J1857" s="136" t="s">
        <v>11109</v>
      </c>
      <c r="L1857" s="136"/>
      <c r="M1857" s="136"/>
      <c r="N1857" s="136"/>
    </row>
    <row r="1858" spans="6:14">
      <c r="F1858" s="136" t="s">
        <v>11110</v>
      </c>
      <c r="G1858" s="136">
        <v>1855</v>
      </c>
      <c r="H1858" s="136" t="s">
        <v>11111</v>
      </c>
      <c r="I1858" s="136" t="s">
        <v>11112</v>
      </c>
      <c r="J1858" s="136" t="s">
        <v>11113</v>
      </c>
      <c r="L1858" s="136"/>
      <c r="M1858" s="136"/>
      <c r="N1858" s="136"/>
    </row>
    <row r="1859" spans="6:14">
      <c r="F1859" s="136" t="s">
        <v>11114</v>
      </c>
      <c r="G1859" s="136">
        <v>1856</v>
      </c>
      <c r="H1859" s="136" t="s">
        <v>11115</v>
      </c>
      <c r="I1859" s="136" t="s">
        <v>11116</v>
      </c>
      <c r="J1859" s="136" t="s">
        <v>11117</v>
      </c>
      <c r="L1859" s="136"/>
      <c r="M1859" s="136"/>
      <c r="N1859" s="136"/>
    </row>
    <row r="1860" spans="6:14">
      <c r="F1860" s="136" t="s">
        <v>11118</v>
      </c>
      <c r="G1860" s="136">
        <v>1857</v>
      </c>
      <c r="H1860" s="136" t="s">
        <v>11119</v>
      </c>
      <c r="I1860" s="136" t="s">
        <v>11120</v>
      </c>
      <c r="J1860" s="136" t="s">
        <v>11121</v>
      </c>
      <c r="L1860" s="136"/>
      <c r="M1860" s="136"/>
      <c r="N1860" s="136"/>
    </row>
    <row r="1861" spans="6:14">
      <c r="F1861" s="136" t="s">
        <v>11122</v>
      </c>
      <c r="G1861" s="136">
        <v>1858</v>
      </c>
      <c r="H1861" s="136" t="s">
        <v>5449</v>
      </c>
      <c r="I1861" s="136" t="s">
        <v>5450</v>
      </c>
      <c r="J1861" s="136" t="s">
        <v>11123</v>
      </c>
      <c r="L1861" s="136"/>
      <c r="M1861" s="136"/>
      <c r="N1861" s="136"/>
    </row>
    <row r="1862" spans="6:14">
      <c r="F1862" s="136" t="s">
        <v>11124</v>
      </c>
      <c r="G1862" s="136">
        <v>1859</v>
      </c>
      <c r="H1862" s="136" t="s">
        <v>6035</v>
      </c>
      <c r="I1862" s="136" t="s">
        <v>6036</v>
      </c>
      <c r="J1862" s="136" t="s">
        <v>11125</v>
      </c>
      <c r="L1862" s="136"/>
      <c r="M1862" s="136"/>
      <c r="N1862" s="136"/>
    </row>
    <row r="1863" spans="6:14">
      <c r="F1863" s="136" t="s">
        <v>11126</v>
      </c>
      <c r="G1863" s="136">
        <v>1860</v>
      </c>
      <c r="H1863" s="136" t="s">
        <v>53</v>
      </c>
      <c r="I1863" s="136" t="s">
        <v>54</v>
      </c>
      <c r="J1863" s="136" t="s">
        <v>11127</v>
      </c>
      <c r="L1863" s="136"/>
      <c r="M1863" s="136"/>
      <c r="N1863" s="136"/>
    </row>
    <row r="1864" spans="6:14">
      <c r="F1864" s="136" t="s">
        <v>11128</v>
      </c>
      <c r="G1864" s="136">
        <v>1861</v>
      </c>
      <c r="H1864" s="136" t="s">
        <v>4986</v>
      </c>
      <c r="I1864" s="136" t="s">
        <v>4987</v>
      </c>
      <c r="J1864" s="136" t="s">
        <v>11129</v>
      </c>
      <c r="L1864" s="136"/>
      <c r="M1864" s="136"/>
      <c r="N1864" s="136"/>
    </row>
    <row r="1865" spans="6:14">
      <c r="F1865" s="136" t="s">
        <v>11130</v>
      </c>
      <c r="G1865" s="136">
        <v>1862</v>
      </c>
      <c r="H1865" s="136" t="s">
        <v>11131</v>
      </c>
      <c r="I1865" s="136" t="s">
        <v>11132</v>
      </c>
      <c r="J1865" s="136" t="s">
        <v>11133</v>
      </c>
      <c r="L1865" s="136"/>
      <c r="M1865" s="136"/>
      <c r="N1865" s="136"/>
    </row>
    <row r="1866" spans="6:14">
      <c r="F1866" s="136" t="s">
        <v>11134</v>
      </c>
      <c r="G1866" s="136">
        <v>1863</v>
      </c>
      <c r="H1866" s="136" t="s">
        <v>666</v>
      </c>
      <c r="I1866" s="136" t="s">
        <v>667</v>
      </c>
      <c r="J1866" s="136" t="s">
        <v>11135</v>
      </c>
      <c r="L1866" s="136"/>
      <c r="M1866" s="136"/>
      <c r="N1866" s="136"/>
    </row>
    <row r="1867" spans="6:14">
      <c r="F1867" s="136" t="s">
        <v>11136</v>
      </c>
      <c r="G1867" s="136">
        <v>1864</v>
      </c>
      <c r="H1867" s="136" t="s">
        <v>2913</v>
      </c>
      <c r="I1867" s="136" t="s">
        <v>2914</v>
      </c>
      <c r="J1867" s="136" t="s">
        <v>11137</v>
      </c>
      <c r="L1867" s="136"/>
      <c r="M1867" s="136"/>
      <c r="N1867" s="136"/>
    </row>
    <row r="1868" spans="6:14">
      <c r="F1868" s="136" t="s">
        <v>11138</v>
      </c>
      <c r="G1868" s="136">
        <v>1865</v>
      </c>
      <c r="H1868" s="136" t="s">
        <v>2521</v>
      </c>
      <c r="I1868" s="136" t="s">
        <v>2522</v>
      </c>
      <c r="J1868" s="136" t="s">
        <v>11139</v>
      </c>
      <c r="L1868" s="136"/>
      <c r="M1868" s="136"/>
      <c r="N1868" s="136"/>
    </row>
    <row r="1869" spans="6:14">
      <c r="F1869" s="136" t="s">
        <v>11140</v>
      </c>
      <c r="G1869" s="136">
        <v>1866</v>
      </c>
      <c r="H1869" s="136" t="s">
        <v>1179</v>
      </c>
      <c r="I1869" s="136" t="s">
        <v>1180</v>
      </c>
      <c r="J1869" s="136" t="s">
        <v>11141</v>
      </c>
      <c r="L1869" s="136"/>
      <c r="M1869" s="136"/>
      <c r="N1869" s="136"/>
    </row>
    <row r="1870" spans="6:14">
      <c r="F1870" s="136" t="s">
        <v>11142</v>
      </c>
      <c r="G1870" s="136">
        <v>1867</v>
      </c>
      <c r="H1870" s="136" t="s">
        <v>4455</v>
      </c>
      <c r="I1870" s="136" t="s">
        <v>4456</v>
      </c>
      <c r="J1870" s="136" t="s">
        <v>11143</v>
      </c>
      <c r="L1870" s="136"/>
      <c r="M1870" s="136"/>
      <c r="N1870" s="136"/>
    </row>
    <row r="1871" spans="6:14">
      <c r="F1871" s="136" t="s">
        <v>11144</v>
      </c>
      <c r="G1871" s="136">
        <v>1868</v>
      </c>
      <c r="H1871" s="136" t="s">
        <v>5363</v>
      </c>
      <c r="I1871" s="136" t="s">
        <v>5364</v>
      </c>
      <c r="J1871" s="136" t="s">
        <v>11145</v>
      </c>
      <c r="L1871" s="136"/>
      <c r="M1871" s="136"/>
      <c r="N1871" s="136"/>
    </row>
    <row r="1872" spans="6:14">
      <c r="F1872" s="136" t="s">
        <v>11146</v>
      </c>
      <c r="G1872" s="136">
        <v>1869</v>
      </c>
      <c r="H1872" s="136" t="s">
        <v>11147</v>
      </c>
      <c r="I1872" s="136" t="s">
        <v>11148</v>
      </c>
      <c r="J1872" s="136" t="s">
        <v>11149</v>
      </c>
      <c r="L1872" s="136"/>
      <c r="M1872" s="136"/>
      <c r="N1872" s="136"/>
    </row>
    <row r="1873" spans="6:14">
      <c r="F1873" s="136" t="s">
        <v>11150</v>
      </c>
      <c r="G1873" s="136">
        <v>1870</v>
      </c>
      <c r="H1873" s="136" t="s">
        <v>3371</v>
      </c>
      <c r="I1873" s="136" t="s">
        <v>3372</v>
      </c>
      <c r="J1873" s="136" t="s">
        <v>11151</v>
      </c>
      <c r="L1873" s="136"/>
      <c r="M1873" s="136"/>
      <c r="N1873" s="136"/>
    </row>
    <row r="1874" spans="6:14">
      <c r="F1874" s="136" t="s">
        <v>11152</v>
      </c>
      <c r="G1874" s="136">
        <v>1871</v>
      </c>
      <c r="H1874" s="136" t="s">
        <v>5289</v>
      </c>
      <c r="I1874" s="136" t="s">
        <v>5290</v>
      </c>
      <c r="J1874" s="136" t="s">
        <v>11153</v>
      </c>
      <c r="L1874" s="136"/>
      <c r="M1874" s="136"/>
      <c r="N1874" s="136"/>
    </row>
    <row r="1875" spans="6:14">
      <c r="F1875" s="136" t="s">
        <v>11154</v>
      </c>
      <c r="G1875" s="136">
        <v>1872</v>
      </c>
      <c r="H1875" s="136" t="s">
        <v>2947</v>
      </c>
      <c r="I1875" s="136" t="s">
        <v>2948</v>
      </c>
      <c r="J1875" s="136" t="s">
        <v>11155</v>
      </c>
      <c r="L1875" s="136"/>
      <c r="M1875" s="136"/>
      <c r="N1875" s="136"/>
    </row>
    <row r="1876" spans="6:14">
      <c r="F1876" s="136" t="s">
        <v>11156</v>
      </c>
      <c r="G1876" s="136">
        <v>1873</v>
      </c>
      <c r="H1876" s="136" t="s">
        <v>4301</v>
      </c>
      <c r="I1876" s="136" t="s">
        <v>4301</v>
      </c>
      <c r="J1876" s="136" t="s">
        <v>11157</v>
      </c>
      <c r="L1876" s="136"/>
      <c r="M1876" s="136"/>
      <c r="N1876" s="136"/>
    </row>
    <row r="1877" spans="6:14">
      <c r="F1877" s="136" t="s">
        <v>11158</v>
      </c>
      <c r="G1877" s="136">
        <v>1874</v>
      </c>
      <c r="H1877" s="136" t="s">
        <v>11159</v>
      </c>
      <c r="I1877" s="136" t="s">
        <v>11160</v>
      </c>
      <c r="J1877" s="136" t="s">
        <v>11161</v>
      </c>
      <c r="L1877" s="136"/>
      <c r="M1877" s="136"/>
      <c r="N1877" s="136"/>
    </row>
    <row r="1878" spans="6:14">
      <c r="F1878" s="136" t="s">
        <v>11162</v>
      </c>
      <c r="G1878" s="136">
        <v>1875</v>
      </c>
      <c r="H1878" s="136" t="s">
        <v>4196</v>
      </c>
      <c r="I1878" s="136" t="s">
        <v>4197</v>
      </c>
      <c r="J1878" s="136" t="s">
        <v>11163</v>
      </c>
      <c r="L1878" s="136"/>
      <c r="M1878" s="136"/>
      <c r="N1878" s="136"/>
    </row>
    <row r="1879" spans="6:14">
      <c r="F1879" s="136" t="s">
        <v>11164</v>
      </c>
      <c r="G1879" s="136">
        <v>1876</v>
      </c>
      <c r="H1879" s="136" t="s">
        <v>3435</v>
      </c>
      <c r="I1879" s="136" t="s">
        <v>3436</v>
      </c>
      <c r="J1879" s="136" t="s">
        <v>11165</v>
      </c>
      <c r="L1879" s="136"/>
      <c r="M1879" s="136"/>
      <c r="N1879" s="136"/>
    </row>
    <row r="1880" spans="6:14">
      <c r="F1880" s="136" t="s">
        <v>11166</v>
      </c>
      <c r="G1880" s="136">
        <v>1877</v>
      </c>
      <c r="H1880" s="136" t="s">
        <v>2410</v>
      </c>
      <c r="I1880" s="136" t="s">
        <v>2411</v>
      </c>
      <c r="J1880" s="136" t="s">
        <v>11167</v>
      </c>
      <c r="L1880" s="136"/>
      <c r="M1880" s="136"/>
      <c r="N1880" s="136"/>
    </row>
    <row r="1881" spans="6:14">
      <c r="F1881" s="136" t="s">
        <v>11168</v>
      </c>
      <c r="G1881" s="136">
        <v>1878</v>
      </c>
      <c r="H1881" s="136" t="s">
        <v>656</v>
      </c>
      <c r="I1881" s="136" t="s">
        <v>657</v>
      </c>
      <c r="J1881" s="136" t="s">
        <v>11169</v>
      </c>
      <c r="L1881" s="136"/>
      <c r="M1881" s="136"/>
      <c r="N1881" s="136"/>
    </row>
    <row r="1882" spans="6:14">
      <c r="F1882" s="136" t="s">
        <v>11170</v>
      </c>
      <c r="G1882" s="136">
        <v>1879</v>
      </c>
      <c r="H1882" s="136" t="s">
        <v>11171</v>
      </c>
      <c r="I1882" s="136" t="s">
        <v>11172</v>
      </c>
      <c r="J1882" s="136" t="s">
        <v>11173</v>
      </c>
      <c r="L1882" s="136"/>
      <c r="M1882" s="136"/>
      <c r="N1882" s="136"/>
    </row>
    <row r="1883" spans="6:14">
      <c r="F1883" s="136" t="s">
        <v>11174</v>
      </c>
      <c r="G1883" s="136">
        <v>1880</v>
      </c>
      <c r="H1883" s="136" t="s">
        <v>1989</v>
      </c>
      <c r="I1883" s="136" t="s">
        <v>1990</v>
      </c>
      <c r="J1883" s="136" t="s">
        <v>11175</v>
      </c>
      <c r="L1883" s="136"/>
      <c r="M1883" s="136"/>
      <c r="N1883" s="136"/>
    </row>
    <row r="1884" spans="6:14">
      <c r="F1884" s="136" t="s">
        <v>11176</v>
      </c>
      <c r="G1884" s="136">
        <v>1881</v>
      </c>
      <c r="H1884" s="136" t="s">
        <v>11177</v>
      </c>
      <c r="I1884" s="136" t="s">
        <v>11178</v>
      </c>
      <c r="J1884" s="136" t="s">
        <v>11179</v>
      </c>
      <c r="L1884" s="136"/>
      <c r="M1884" s="136"/>
      <c r="N1884" s="136"/>
    </row>
    <row r="1885" spans="6:14">
      <c r="F1885" s="136" t="s">
        <v>11180</v>
      </c>
      <c r="G1885" s="136">
        <v>1882</v>
      </c>
      <c r="H1885" s="136" t="s">
        <v>5095</v>
      </c>
      <c r="I1885" s="136" t="s">
        <v>5096</v>
      </c>
      <c r="J1885" s="136" t="s">
        <v>11181</v>
      </c>
      <c r="L1885" s="136"/>
      <c r="M1885" s="136"/>
      <c r="N1885" s="136"/>
    </row>
    <row r="1886" spans="6:14">
      <c r="F1886" s="136" t="s">
        <v>11182</v>
      </c>
      <c r="G1886" s="136">
        <v>1883</v>
      </c>
      <c r="H1886" s="136" t="s">
        <v>2818</v>
      </c>
      <c r="I1886" s="136" t="s">
        <v>2828</v>
      </c>
      <c r="J1886" s="136" t="s">
        <v>11183</v>
      </c>
      <c r="L1886" s="136"/>
      <c r="M1886" s="136"/>
      <c r="N1886" s="136"/>
    </row>
    <row r="1887" spans="6:14">
      <c r="F1887" s="136" t="s">
        <v>11184</v>
      </c>
      <c r="G1887" s="136">
        <v>1884</v>
      </c>
      <c r="H1887" s="136" t="s">
        <v>6076</v>
      </c>
      <c r="I1887" s="136" t="s">
        <v>6077</v>
      </c>
      <c r="J1887" s="136" t="s">
        <v>11185</v>
      </c>
      <c r="L1887" s="136"/>
      <c r="M1887" s="136"/>
      <c r="N1887" s="136"/>
    </row>
    <row r="1888" spans="6:14">
      <c r="F1888" s="136" t="s">
        <v>11186</v>
      </c>
      <c r="G1888" s="136">
        <v>1885</v>
      </c>
      <c r="H1888" s="136" t="s">
        <v>4762</v>
      </c>
      <c r="I1888" s="136" t="s">
        <v>4763</v>
      </c>
      <c r="J1888" s="136" t="s">
        <v>11187</v>
      </c>
      <c r="L1888" s="136"/>
      <c r="M1888" s="136"/>
      <c r="N1888" s="136"/>
    </row>
    <row r="1889" spans="6:14">
      <c r="F1889" s="136" t="s">
        <v>11188</v>
      </c>
      <c r="G1889" s="136">
        <v>1886</v>
      </c>
      <c r="H1889" s="136" t="s">
        <v>1594</v>
      </c>
      <c r="I1889" s="136" t="s">
        <v>1595</v>
      </c>
      <c r="J1889" s="136" t="s">
        <v>11189</v>
      </c>
      <c r="L1889" s="136"/>
      <c r="M1889" s="136"/>
      <c r="N1889" s="136"/>
    </row>
    <row r="1890" spans="6:14">
      <c r="F1890" s="136" t="s">
        <v>11190</v>
      </c>
      <c r="G1890" s="136">
        <v>1887</v>
      </c>
      <c r="H1890" s="136" t="s">
        <v>11191</v>
      </c>
      <c r="I1890" s="136" t="s">
        <v>11192</v>
      </c>
      <c r="J1890" s="136" t="s">
        <v>11193</v>
      </c>
      <c r="L1890" s="136"/>
      <c r="M1890" s="136"/>
      <c r="N1890" s="136"/>
    </row>
    <row r="1891" spans="6:14">
      <c r="F1891" s="136" t="s">
        <v>11194</v>
      </c>
      <c r="G1891" s="136">
        <v>1888</v>
      </c>
      <c r="H1891" s="136" t="s">
        <v>11195</v>
      </c>
      <c r="I1891" s="136" t="s">
        <v>11196</v>
      </c>
      <c r="J1891" s="136" t="s">
        <v>11197</v>
      </c>
      <c r="L1891" s="136"/>
      <c r="M1891" s="136"/>
      <c r="N1891" s="136"/>
    </row>
    <row r="1892" spans="6:14">
      <c r="F1892" s="136" t="s">
        <v>11198</v>
      </c>
      <c r="G1892" s="136">
        <v>1889</v>
      </c>
      <c r="H1892" s="136" t="s">
        <v>5565</v>
      </c>
      <c r="I1892" s="136" t="s">
        <v>5566</v>
      </c>
      <c r="J1892" s="136" t="s">
        <v>11199</v>
      </c>
      <c r="L1892" s="136"/>
      <c r="M1892" s="136"/>
      <c r="N1892" s="136"/>
    </row>
    <row r="1893" spans="6:14">
      <c r="F1893" s="136" t="s">
        <v>11200</v>
      </c>
      <c r="G1893" s="136">
        <v>1890</v>
      </c>
      <c r="H1893" s="136" t="s">
        <v>3371</v>
      </c>
      <c r="I1893" s="136" t="s">
        <v>3372</v>
      </c>
      <c r="J1893" s="136" t="s">
        <v>11201</v>
      </c>
      <c r="L1893" s="136"/>
      <c r="M1893" s="136"/>
      <c r="N1893" s="136"/>
    </row>
    <row r="1894" spans="6:14">
      <c r="F1894" s="136" t="s">
        <v>11202</v>
      </c>
      <c r="G1894" s="136">
        <v>1891</v>
      </c>
      <c r="H1894" s="136" t="s">
        <v>4081</v>
      </c>
      <c r="I1894" s="136" t="s">
        <v>4082</v>
      </c>
      <c r="J1894" s="136" t="s">
        <v>11203</v>
      </c>
      <c r="L1894" s="136"/>
      <c r="M1894" s="136"/>
      <c r="N1894" s="136"/>
    </row>
    <row r="1895" spans="6:14">
      <c r="F1895" s="136" t="s">
        <v>11204</v>
      </c>
      <c r="G1895" s="136">
        <v>1892</v>
      </c>
      <c r="H1895" s="136" t="s">
        <v>11205</v>
      </c>
      <c r="I1895" s="136" t="s">
        <v>11206</v>
      </c>
      <c r="J1895" s="136" t="s">
        <v>11207</v>
      </c>
      <c r="L1895" s="136"/>
      <c r="M1895" s="136"/>
      <c r="N1895" s="136"/>
    </row>
    <row r="1896" spans="6:14">
      <c r="F1896" s="136" t="s">
        <v>11208</v>
      </c>
      <c r="G1896" s="136">
        <v>1893</v>
      </c>
      <c r="H1896" s="136" t="s">
        <v>2158</v>
      </c>
      <c r="I1896" s="136" t="s">
        <v>2159</v>
      </c>
      <c r="J1896" s="136" t="s">
        <v>11209</v>
      </c>
      <c r="L1896" s="136"/>
      <c r="M1896" s="136"/>
      <c r="N1896" s="136"/>
    </row>
    <row r="1897" spans="6:14">
      <c r="F1897" s="136" t="s">
        <v>11210</v>
      </c>
      <c r="G1897" s="136">
        <v>1894</v>
      </c>
      <c r="H1897" s="136" t="s">
        <v>738</v>
      </c>
      <c r="I1897" s="136" t="s">
        <v>742</v>
      </c>
      <c r="J1897" s="136" t="s">
        <v>11211</v>
      </c>
      <c r="L1897" s="136"/>
      <c r="M1897" s="136"/>
      <c r="N1897" s="136"/>
    </row>
    <row r="1898" spans="6:14">
      <c r="F1898" s="136" t="s">
        <v>11212</v>
      </c>
      <c r="G1898" s="136">
        <v>1895</v>
      </c>
      <c r="H1898" s="136" t="s">
        <v>3202</v>
      </c>
      <c r="I1898" s="136" t="s">
        <v>3203</v>
      </c>
      <c r="J1898" s="136" t="s">
        <v>11213</v>
      </c>
      <c r="L1898" s="136"/>
      <c r="M1898" s="136"/>
      <c r="N1898" s="136"/>
    </row>
    <row r="1899" spans="6:14">
      <c r="F1899" s="136" t="s">
        <v>11214</v>
      </c>
      <c r="G1899" s="136">
        <v>1896</v>
      </c>
      <c r="H1899" s="136" t="s">
        <v>2143</v>
      </c>
      <c r="I1899" s="136" t="s">
        <v>2144</v>
      </c>
      <c r="J1899" s="136" t="s">
        <v>11215</v>
      </c>
      <c r="L1899" s="136"/>
      <c r="M1899" s="136"/>
      <c r="N1899" s="136"/>
    </row>
    <row r="1900" spans="6:14">
      <c r="F1900" s="136" t="s">
        <v>11216</v>
      </c>
      <c r="G1900" s="136">
        <v>1897</v>
      </c>
      <c r="H1900" s="136" t="s">
        <v>11217</v>
      </c>
      <c r="I1900" s="136" t="s">
        <v>11218</v>
      </c>
      <c r="J1900" s="136" t="s">
        <v>11219</v>
      </c>
      <c r="L1900" s="136"/>
      <c r="M1900" s="136"/>
      <c r="N1900" s="136"/>
    </row>
    <row r="1901" spans="6:14">
      <c r="F1901" s="136" t="s">
        <v>11220</v>
      </c>
      <c r="G1901" s="136">
        <v>1898</v>
      </c>
      <c r="H1901" s="136" t="s">
        <v>11221</v>
      </c>
      <c r="I1901" s="136" t="s">
        <v>11222</v>
      </c>
      <c r="J1901" s="136" t="s">
        <v>11223</v>
      </c>
      <c r="L1901" s="136"/>
      <c r="M1901" s="136"/>
      <c r="N1901" s="136"/>
    </row>
    <row r="1902" spans="6:14">
      <c r="F1902" s="136" t="s">
        <v>11224</v>
      </c>
      <c r="G1902" s="136">
        <v>1899</v>
      </c>
      <c r="H1902" s="136" t="s">
        <v>2215</v>
      </c>
      <c r="I1902" s="136" t="s">
        <v>2217</v>
      </c>
      <c r="J1902" s="136" t="s">
        <v>11225</v>
      </c>
      <c r="L1902" s="136"/>
      <c r="M1902" s="136"/>
      <c r="N1902" s="136"/>
    </row>
    <row r="1903" spans="6:14">
      <c r="F1903" s="136" t="s">
        <v>11226</v>
      </c>
      <c r="G1903" s="136">
        <v>1900</v>
      </c>
      <c r="H1903" s="136" t="s">
        <v>11227</v>
      </c>
      <c r="I1903" s="136" t="s">
        <v>11228</v>
      </c>
      <c r="J1903" s="136" t="s">
        <v>11229</v>
      </c>
      <c r="L1903" s="136"/>
      <c r="M1903" s="136"/>
      <c r="N1903" s="136"/>
    </row>
    <row r="1904" spans="6:14">
      <c r="F1904" s="136" t="s">
        <v>11230</v>
      </c>
      <c r="G1904" s="136">
        <v>1901</v>
      </c>
      <c r="H1904" s="136" t="s">
        <v>11231</v>
      </c>
      <c r="I1904" s="136" t="s">
        <v>11232</v>
      </c>
      <c r="J1904" s="136" t="s">
        <v>11233</v>
      </c>
      <c r="L1904" s="136"/>
      <c r="M1904" s="136"/>
      <c r="N1904" s="136"/>
    </row>
    <row r="1905" spans="6:14">
      <c r="F1905" s="136" t="s">
        <v>11234</v>
      </c>
      <c r="G1905" s="136">
        <v>1902</v>
      </c>
      <c r="H1905" s="136" t="s">
        <v>11235</v>
      </c>
      <c r="I1905" s="136" t="s">
        <v>11236</v>
      </c>
      <c r="J1905" s="136" t="s">
        <v>11237</v>
      </c>
      <c r="L1905" s="136"/>
      <c r="M1905" s="136"/>
      <c r="N1905" s="136"/>
    </row>
    <row r="1906" spans="6:14">
      <c r="F1906" s="136" t="s">
        <v>11238</v>
      </c>
      <c r="G1906" s="136">
        <v>1903</v>
      </c>
      <c r="H1906" s="136" t="s">
        <v>2718</v>
      </c>
      <c r="I1906" s="136" t="s">
        <v>2719</v>
      </c>
      <c r="J1906" s="136" t="s">
        <v>11239</v>
      </c>
      <c r="L1906" s="136"/>
      <c r="M1906" s="136"/>
      <c r="N1906" s="136"/>
    </row>
    <row r="1907" spans="6:14">
      <c r="F1907" s="136" t="s">
        <v>11240</v>
      </c>
      <c r="G1907" s="136">
        <v>1904</v>
      </c>
      <c r="H1907" s="136" t="s">
        <v>11241</v>
      </c>
      <c r="I1907" s="136" t="s">
        <v>11242</v>
      </c>
      <c r="J1907" s="136" t="s">
        <v>11243</v>
      </c>
      <c r="L1907" s="136"/>
      <c r="M1907" s="136"/>
      <c r="N1907" s="136"/>
    </row>
    <row r="1908" spans="6:14">
      <c r="F1908" s="136" t="s">
        <v>11244</v>
      </c>
      <c r="G1908" s="136">
        <v>1905</v>
      </c>
      <c r="H1908" s="136" t="s">
        <v>11245</v>
      </c>
      <c r="I1908" s="136" t="s">
        <v>11246</v>
      </c>
      <c r="J1908" s="136" t="s">
        <v>11247</v>
      </c>
      <c r="L1908" s="136"/>
      <c r="M1908" s="136"/>
      <c r="N1908" s="136"/>
    </row>
    <row r="1909" spans="6:14">
      <c r="F1909" s="136" t="s">
        <v>11248</v>
      </c>
      <c r="G1909" s="136">
        <v>1906</v>
      </c>
      <c r="H1909" s="136" t="s">
        <v>11249</v>
      </c>
      <c r="I1909" s="136" t="s">
        <v>11250</v>
      </c>
      <c r="J1909" s="136" t="s">
        <v>11251</v>
      </c>
      <c r="L1909" s="136"/>
      <c r="M1909" s="136"/>
      <c r="N1909" s="136"/>
    </row>
    <row r="1910" spans="6:14">
      <c r="F1910" s="136" t="s">
        <v>11252</v>
      </c>
      <c r="G1910" s="136">
        <v>1907</v>
      </c>
      <c r="H1910" s="136" t="s">
        <v>5632</v>
      </c>
      <c r="I1910" s="136" t="s">
        <v>5633</v>
      </c>
      <c r="J1910" s="136" t="s">
        <v>11253</v>
      </c>
      <c r="L1910" s="136"/>
      <c r="M1910" s="136"/>
      <c r="N1910" s="136"/>
    </row>
    <row r="1911" spans="6:14">
      <c r="F1911" s="136" t="s">
        <v>11254</v>
      </c>
      <c r="G1911" s="136">
        <v>1908</v>
      </c>
      <c r="H1911" s="136" t="s">
        <v>609</v>
      </c>
      <c r="I1911" s="136" t="s">
        <v>610</v>
      </c>
      <c r="J1911" s="136" t="s">
        <v>11255</v>
      </c>
      <c r="L1911" s="136"/>
      <c r="M1911" s="136"/>
      <c r="N1911" s="136"/>
    </row>
    <row r="1912" spans="6:14">
      <c r="F1912" s="136" t="s">
        <v>11256</v>
      </c>
      <c r="G1912" s="136">
        <v>1909</v>
      </c>
      <c r="H1912" s="136" t="s">
        <v>4668</v>
      </c>
      <c r="I1912" s="136" t="s">
        <v>4669</v>
      </c>
      <c r="J1912" s="136" t="s">
        <v>11257</v>
      </c>
      <c r="L1912" s="136"/>
      <c r="M1912" s="136"/>
      <c r="N1912" s="136"/>
    </row>
    <row r="1913" spans="6:14">
      <c r="F1913" s="136" t="s">
        <v>11258</v>
      </c>
      <c r="G1913" s="136">
        <v>1910</v>
      </c>
      <c r="H1913" s="136" t="s">
        <v>6110</v>
      </c>
      <c r="I1913" s="136" t="s">
        <v>6111</v>
      </c>
      <c r="J1913" s="136" t="s">
        <v>11259</v>
      </c>
      <c r="L1913" s="136"/>
      <c r="M1913" s="136"/>
      <c r="N1913" s="136"/>
    </row>
    <row r="1914" spans="6:14">
      <c r="F1914" s="136" t="s">
        <v>11260</v>
      </c>
      <c r="G1914" s="136">
        <v>1911</v>
      </c>
      <c r="H1914" s="136" t="s">
        <v>2700</v>
      </c>
      <c r="I1914" s="136" t="s">
        <v>2701</v>
      </c>
      <c r="J1914" s="136" t="s">
        <v>11261</v>
      </c>
      <c r="L1914" s="136"/>
      <c r="M1914" s="136"/>
      <c r="N1914" s="136"/>
    </row>
    <row r="1915" spans="6:14">
      <c r="F1915" s="136" t="s">
        <v>11262</v>
      </c>
      <c r="G1915" s="136">
        <v>1912</v>
      </c>
      <c r="H1915" s="136" t="s">
        <v>6024</v>
      </c>
      <c r="I1915" s="136" t="s">
        <v>6025</v>
      </c>
      <c r="J1915" s="136" t="s">
        <v>11263</v>
      </c>
      <c r="L1915" s="136"/>
      <c r="M1915" s="136"/>
      <c r="N1915" s="136"/>
    </row>
    <row r="1916" spans="6:14">
      <c r="F1916" s="136" t="s">
        <v>11264</v>
      </c>
      <c r="G1916" s="136">
        <v>1913</v>
      </c>
      <c r="H1916" s="136" t="s">
        <v>4192</v>
      </c>
      <c r="I1916" s="136" t="s">
        <v>4193</v>
      </c>
      <c r="J1916" s="136" t="s">
        <v>11265</v>
      </c>
      <c r="L1916" s="136"/>
      <c r="M1916" s="136"/>
      <c r="N1916" s="136"/>
    </row>
    <row r="1917" spans="6:14">
      <c r="F1917" s="136" t="s">
        <v>11266</v>
      </c>
      <c r="G1917" s="136">
        <v>1914</v>
      </c>
      <c r="H1917" s="136" t="s">
        <v>2656</v>
      </c>
      <c r="I1917" s="136" t="s">
        <v>2657</v>
      </c>
      <c r="J1917" s="136" t="s">
        <v>11267</v>
      </c>
      <c r="L1917" s="136"/>
      <c r="M1917" s="136"/>
      <c r="N1917" s="136"/>
    </row>
    <row r="1918" spans="6:14">
      <c r="F1918" s="136" t="s">
        <v>11268</v>
      </c>
      <c r="G1918" s="136">
        <v>1915</v>
      </c>
      <c r="H1918" s="136" t="s">
        <v>11269</v>
      </c>
      <c r="I1918" s="136" t="s">
        <v>11270</v>
      </c>
      <c r="J1918" s="136" t="s">
        <v>11271</v>
      </c>
      <c r="L1918" s="136"/>
      <c r="M1918" s="136"/>
      <c r="N1918" s="136"/>
    </row>
    <row r="1919" spans="6:14">
      <c r="F1919" s="136" t="s">
        <v>11272</v>
      </c>
      <c r="G1919" s="136">
        <v>1916</v>
      </c>
      <c r="H1919" s="136" t="s">
        <v>11273</v>
      </c>
      <c r="I1919" s="136" t="s">
        <v>11274</v>
      </c>
      <c r="J1919" s="136" t="s">
        <v>11275</v>
      </c>
      <c r="L1919" s="136"/>
      <c r="M1919" s="136"/>
      <c r="N1919" s="136"/>
    </row>
    <row r="1920" spans="6:14">
      <c r="F1920" s="136" t="s">
        <v>11276</v>
      </c>
      <c r="G1920" s="136">
        <v>1917</v>
      </c>
      <c r="H1920" s="136" t="s">
        <v>437</v>
      </c>
      <c r="I1920" s="136" t="s">
        <v>438</v>
      </c>
      <c r="J1920" s="136" t="s">
        <v>11277</v>
      </c>
      <c r="L1920" s="136"/>
      <c r="M1920" s="136"/>
      <c r="N1920" s="136"/>
    </row>
    <row r="1921" spans="6:14">
      <c r="F1921" s="136" t="s">
        <v>11278</v>
      </c>
      <c r="G1921" s="136">
        <v>1918</v>
      </c>
      <c r="H1921" s="136" t="s">
        <v>1445</v>
      </c>
      <c r="I1921" s="136" t="s">
        <v>1446</v>
      </c>
      <c r="J1921" s="136" t="s">
        <v>11279</v>
      </c>
      <c r="L1921" s="136"/>
      <c r="M1921" s="136"/>
      <c r="N1921" s="136"/>
    </row>
    <row r="1922" spans="6:14">
      <c r="F1922" s="136" t="s">
        <v>11280</v>
      </c>
      <c r="G1922" s="136">
        <v>1919</v>
      </c>
      <c r="H1922" s="136" t="s">
        <v>3961</v>
      </c>
      <c r="I1922" s="136" t="s">
        <v>3962</v>
      </c>
      <c r="J1922" s="136" t="s">
        <v>11281</v>
      </c>
      <c r="L1922" s="136"/>
      <c r="M1922" s="136"/>
      <c r="N1922" s="136"/>
    </row>
    <row r="1923" spans="6:14">
      <c r="F1923" s="136" t="s">
        <v>11282</v>
      </c>
      <c r="G1923" s="136">
        <v>1920</v>
      </c>
      <c r="H1923" s="136" t="s">
        <v>11283</v>
      </c>
      <c r="I1923" s="136" t="s">
        <v>11284</v>
      </c>
      <c r="J1923" s="136" t="s">
        <v>11285</v>
      </c>
      <c r="L1923" s="136"/>
      <c r="M1923" s="136"/>
      <c r="N1923" s="136"/>
    </row>
    <row r="1924" spans="6:14">
      <c r="F1924" s="136" t="s">
        <v>11286</v>
      </c>
      <c r="G1924" s="136">
        <v>1921</v>
      </c>
      <c r="H1924" s="136" t="s">
        <v>11287</v>
      </c>
      <c r="I1924" s="136" t="s">
        <v>11288</v>
      </c>
      <c r="J1924" s="136" t="s">
        <v>11289</v>
      </c>
      <c r="L1924" s="136"/>
      <c r="M1924" s="136"/>
      <c r="N1924" s="136"/>
    </row>
    <row r="1925" spans="6:14">
      <c r="F1925" s="136" t="s">
        <v>11290</v>
      </c>
      <c r="G1925" s="136">
        <v>1922</v>
      </c>
      <c r="H1925" s="136" t="s">
        <v>11291</v>
      </c>
      <c r="I1925" s="136" t="s">
        <v>11292</v>
      </c>
      <c r="J1925" s="136" t="s">
        <v>11293</v>
      </c>
      <c r="L1925" s="136"/>
      <c r="M1925" s="136"/>
      <c r="N1925" s="136"/>
    </row>
    <row r="1926" spans="6:14">
      <c r="F1926" s="136" t="s">
        <v>11294</v>
      </c>
      <c r="G1926" s="136">
        <v>1923</v>
      </c>
      <c r="H1926" s="136" t="s">
        <v>2818</v>
      </c>
      <c r="I1926" s="136" t="s">
        <v>2829</v>
      </c>
      <c r="J1926" s="136" t="s">
        <v>11295</v>
      </c>
      <c r="L1926" s="136"/>
      <c r="M1926" s="136"/>
      <c r="N1926" s="136"/>
    </row>
    <row r="1927" spans="6:14">
      <c r="F1927" s="136" t="s">
        <v>11296</v>
      </c>
      <c r="G1927" s="136">
        <v>1924</v>
      </c>
      <c r="H1927" s="136" t="s">
        <v>4854</v>
      </c>
      <c r="I1927" s="136" t="s">
        <v>4855</v>
      </c>
      <c r="J1927" s="136" t="s">
        <v>11297</v>
      </c>
      <c r="L1927" s="136"/>
      <c r="M1927" s="136"/>
      <c r="N1927" s="136"/>
    </row>
    <row r="1928" spans="6:14">
      <c r="F1928" s="136" t="s">
        <v>11298</v>
      </c>
      <c r="G1928" s="136">
        <v>1925</v>
      </c>
      <c r="H1928" s="136" t="s">
        <v>11299</v>
      </c>
      <c r="I1928" s="136" t="s">
        <v>11178</v>
      </c>
      <c r="J1928" s="136" t="s">
        <v>11300</v>
      </c>
      <c r="L1928" s="136"/>
      <c r="M1928" s="136"/>
      <c r="N1928" s="136"/>
    </row>
    <row r="1929" spans="6:14">
      <c r="F1929" s="136" t="s">
        <v>11301</v>
      </c>
      <c r="G1929" s="136">
        <v>1926</v>
      </c>
      <c r="H1929" s="136" t="s">
        <v>11302</v>
      </c>
      <c r="I1929" s="136" t="s">
        <v>11303</v>
      </c>
      <c r="J1929" s="136" t="s">
        <v>11304</v>
      </c>
      <c r="L1929" s="136"/>
      <c r="M1929" s="136"/>
      <c r="N1929" s="136"/>
    </row>
    <row r="1930" spans="6:14">
      <c r="F1930" s="136" t="s">
        <v>11305</v>
      </c>
      <c r="G1930" s="136">
        <v>1927</v>
      </c>
      <c r="H1930" s="136" t="s">
        <v>11306</v>
      </c>
      <c r="I1930" s="136" t="s">
        <v>11307</v>
      </c>
      <c r="J1930" s="136" t="s">
        <v>11308</v>
      </c>
      <c r="L1930" s="136"/>
      <c r="M1930" s="136"/>
      <c r="N1930" s="136"/>
    </row>
    <row r="1931" spans="6:14">
      <c r="F1931" s="136" t="s">
        <v>11309</v>
      </c>
      <c r="G1931" s="136">
        <v>1928</v>
      </c>
      <c r="H1931" s="136" t="s">
        <v>4928</v>
      </c>
      <c r="I1931" s="136" t="s">
        <v>4929</v>
      </c>
      <c r="J1931" s="136" t="s">
        <v>11310</v>
      </c>
      <c r="L1931" s="136"/>
      <c r="M1931" s="136"/>
      <c r="N1931" s="136"/>
    </row>
    <row r="1932" spans="6:14">
      <c r="F1932" s="136" t="s">
        <v>11311</v>
      </c>
      <c r="G1932" s="136">
        <v>1929</v>
      </c>
      <c r="H1932" s="136" t="s">
        <v>5561</v>
      </c>
      <c r="I1932" s="136" t="s">
        <v>5562</v>
      </c>
      <c r="J1932" s="136" t="s">
        <v>11312</v>
      </c>
      <c r="L1932" s="136"/>
      <c r="M1932" s="136"/>
      <c r="N1932" s="136"/>
    </row>
    <row r="1933" spans="6:14">
      <c r="F1933" s="136" t="s">
        <v>11313</v>
      </c>
      <c r="G1933" s="136">
        <v>1930</v>
      </c>
      <c r="H1933" s="136" t="s">
        <v>11314</v>
      </c>
      <c r="I1933" s="136" t="s">
        <v>11315</v>
      </c>
      <c r="J1933" s="136" t="s">
        <v>11316</v>
      </c>
      <c r="L1933" s="136"/>
      <c r="M1933" s="136"/>
      <c r="N1933" s="136"/>
    </row>
    <row r="1934" spans="6:14">
      <c r="F1934" s="136" t="s">
        <v>11317</v>
      </c>
      <c r="G1934" s="136">
        <v>1931</v>
      </c>
      <c r="H1934" s="136" t="s">
        <v>11318</v>
      </c>
      <c r="I1934" s="136" t="s">
        <v>11319</v>
      </c>
      <c r="J1934" s="136" t="s">
        <v>11320</v>
      </c>
      <c r="L1934" s="136"/>
      <c r="M1934" s="136"/>
      <c r="N1934" s="136"/>
    </row>
    <row r="1935" spans="6:14">
      <c r="F1935" s="136" t="s">
        <v>11321</v>
      </c>
      <c r="G1935" s="136">
        <v>1932</v>
      </c>
      <c r="H1935" s="136" t="s">
        <v>11322</v>
      </c>
      <c r="I1935" s="136" t="s">
        <v>11323</v>
      </c>
      <c r="J1935" s="136" t="s">
        <v>11324</v>
      </c>
      <c r="L1935" s="136"/>
      <c r="M1935" s="136"/>
      <c r="N1935" s="136"/>
    </row>
    <row r="1936" spans="6:14">
      <c r="F1936" s="136" t="s">
        <v>11325</v>
      </c>
      <c r="G1936" s="136">
        <v>1933</v>
      </c>
      <c r="H1936" s="136" t="s">
        <v>1606</v>
      </c>
      <c r="I1936" s="136" t="s">
        <v>1607</v>
      </c>
      <c r="J1936" s="136" t="s">
        <v>11326</v>
      </c>
      <c r="L1936" s="136"/>
      <c r="M1936" s="136"/>
      <c r="N1936" s="136"/>
    </row>
    <row r="1937" spans="6:14">
      <c r="F1937" s="136" t="s">
        <v>11327</v>
      </c>
      <c r="G1937" s="136">
        <v>1934</v>
      </c>
      <c r="H1937" s="136" t="s">
        <v>5897</v>
      </c>
      <c r="I1937" s="136" t="s">
        <v>5898</v>
      </c>
      <c r="J1937" s="136" t="s">
        <v>11328</v>
      </c>
      <c r="L1937" s="136"/>
      <c r="M1937" s="136"/>
      <c r="N1937" s="136"/>
    </row>
    <row r="1938" spans="6:14">
      <c r="F1938" s="136" t="s">
        <v>11329</v>
      </c>
      <c r="G1938" s="136">
        <v>1935</v>
      </c>
      <c r="H1938" s="136" t="s">
        <v>1897</v>
      </c>
      <c r="I1938" s="136" t="s">
        <v>1898</v>
      </c>
      <c r="J1938" s="136" t="s">
        <v>11330</v>
      </c>
      <c r="L1938" s="136"/>
      <c r="M1938" s="136"/>
      <c r="N1938" s="136"/>
    </row>
    <row r="1939" spans="6:14">
      <c r="F1939" s="136" t="s">
        <v>11331</v>
      </c>
      <c r="G1939" s="136">
        <v>1936</v>
      </c>
      <c r="H1939" s="136" t="s">
        <v>11332</v>
      </c>
      <c r="I1939" s="136" t="s">
        <v>11333</v>
      </c>
      <c r="J1939" s="136" t="s">
        <v>11334</v>
      </c>
      <c r="L1939" s="136"/>
      <c r="M1939" s="136"/>
      <c r="N1939" s="136"/>
    </row>
    <row r="1940" spans="6:14">
      <c r="F1940" s="136" t="s">
        <v>11335</v>
      </c>
      <c r="G1940" s="136">
        <v>1937</v>
      </c>
      <c r="H1940" s="136" t="s">
        <v>5565</v>
      </c>
      <c r="I1940" s="136" t="s">
        <v>5567</v>
      </c>
      <c r="J1940" s="136" t="s">
        <v>11336</v>
      </c>
      <c r="L1940" s="136"/>
      <c r="M1940" s="136"/>
      <c r="N1940" s="136"/>
    </row>
    <row r="1941" spans="6:14">
      <c r="F1941" s="136" t="s">
        <v>11337</v>
      </c>
      <c r="G1941" s="136">
        <v>1938</v>
      </c>
      <c r="H1941" s="136" t="s">
        <v>11338</v>
      </c>
      <c r="I1941" s="136" t="s">
        <v>11339</v>
      </c>
      <c r="J1941" s="136" t="s">
        <v>11340</v>
      </c>
      <c r="L1941" s="136"/>
      <c r="M1941" s="136"/>
      <c r="N1941" s="136"/>
    </row>
    <row r="1942" spans="6:14">
      <c r="F1942" s="136" t="s">
        <v>11341</v>
      </c>
      <c r="G1942" s="136">
        <v>1939</v>
      </c>
      <c r="H1942" s="136" t="s">
        <v>2177</v>
      </c>
      <c r="I1942" s="136" t="s">
        <v>2178</v>
      </c>
      <c r="J1942" s="136" t="s">
        <v>11342</v>
      </c>
      <c r="L1942" s="136"/>
      <c r="M1942" s="136"/>
      <c r="N1942" s="136"/>
    </row>
    <row r="1943" spans="6:14">
      <c r="F1943" s="136" t="s">
        <v>11343</v>
      </c>
      <c r="G1943" s="136">
        <v>1940</v>
      </c>
      <c r="H1943" s="136" t="s">
        <v>11344</v>
      </c>
      <c r="I1943" s="136" t="s">
        <v>11345</v>
      </c>
      <c r="J1943" s="136" t="s">
        <v>11346</v>
      </c>
      <c r="L1943" s="136"/>
      <c r="M1943" s="136"/>
      <c r="N1943" s="136"/>
    </row>
    <row r="1944" spans="6:14">
      <c r="F1944" s="136" t="s">
        <v>11347</v>
      </c>
      <c r="G1944" s="136">
        <v>1941</v>
      </c>
      <c r="H1944" s="136" t="s">
        <v>2587</v>
      </c>
      <c r="I1944" s="136" t="s">
        <v>2589</v>
      </c>
      <c r="J1944" s="136" t="s">
        <v>11348</v>
      </c>
      <c r="L1944" s="136"/>
      <c r="M1944" s="136"/>
      <c r="N1944" s="136"/>
    </row>
    <row r="1945" spans="6:14">
      <c r="F1945" s="136" t="s">
        <v>11349</v>
      </c>
      <c r="G1945" s="136">
        <v>1942</v>
      </c>
      <c r="H1945" s="136" t="s">
        <v>4497</v>
      </c>
      <c r="I1945" s="136" t="s">
        <v>4498</v>
      </c>
      <c r="J1945" s="136" t="s">
        <v>11350</v>
      </c>
      <c r="L1945" s="136"/>
      <c r="M1945" s="136"/>
      <c r="N1945" s="136"/>
    </row>
    <row r="1946" spans="6:14">
      <c r="F1946" s="136" t="s">
        <v>11351</v>
      </c>
      <c r="G1946" s="136">
        <v>1943</v>
      </c>
      <c r="H1946" s="136" t="s">
        <v>11352</v>
      </c>
      <c r="I1946" s="136" t="s">
        <v>11353</v>
      </c>
      <c r="J1946" s="136" t="s">
        <v>11354</v>
      </c>
      <c r="L1946" s="136"/>
      <c r="M1946" s="136"/>
      <c r="N1946" s="136"/>
    </row>
    <row r="1947" spans="6:14">
      <c r="F1947" s="136" t="s">
        <v>11355</v>
      </c>
      <c r="G1947" s="136">
        <v>1944</v>
      </c>
      <c r="H1947" s="136" t="s">
        <v>11356</v>
      </c>
      <c r="I1947" s="136" t="s">
        <v>11357</v>
      </c>
      <c r="J1947" s="136" t="s">
        <v>11358</v>
      </c>
      <c r="L1947" s="136"/>
      <c r="M1947" s="136"/>
      <c r="N1947" s="136"/>
    </row>
    <row r="1948" spans="6:14">
      <c r="F1948" s="136" t="s">
        <v>11359</v>
      </c>
      <c r="G1948" s="136">
        <v>1945</v>
      </c>
      <c r="H1948" s="136" t="s">
        <v>59</v>
      </c>
      <c r="I1948" s="136" t="s">
        <v>60</v>
      </c>
      <c r="J1948" s="136" t="s">
        <v>11360</v>
      </c>
      <c r="L1948" s="136"/>
      <c r="M1948" s="136"/>
      <c r="N1948" s="136"/>
    </row>
    <row r="1949" spans="6:14">
      <c r="F1949" s="136" t="s">
        <v>11361</v>
      </c>
      <c r="G1949" s="136">
        <v>1946</v>
      </c>
      <c r="H1949" s="136" t="s">
        <v>851</v>
      </c>
      <c r="I1949" s="136" t="s">
        <v>852</v>
      </c>
      <c r="J1949" s="136" t="s">
        <v>11362</v>
      </c>
      <c r="L1949" s="136"/>
      <c r="M1949" s="136"/>
      <c r="N1949" s="136"/>
    </row>
    <row r="1950" spans="6:14">
      <c r="F1950" s="136" t="s">
        <v>11363</v>
      </c>
      <c r="G1950" s="136">
        <v>1947</v>
      </c>
      <c r="H1950" s="136" t="s">
        <v>548</v>
      </c>
      <c r="I1950" s="136" t="s">
        <v>574</v>
      </c>
      <c r="J1950" s="136" t="s">
        <v>11364</v>
      </c>
      <c r="L1950" s="136"/>
      <c r="M1950" s="136"/>
      <c r="N1950" s="136"/>
    </row>
    <row r="1951" spans="6:14">
      <c r="F1951" s="136" t="s">
        <v>11365</v>
      </c>
      <c r="G1951" s="136">
        <v>1948</v>
      </c>
      <c r="H1951" s="136" t="s">
        <v>3474</v>
      </c>
      <c r="I1951" s="136" t="s">
        <v>3475</v>
      </c>
      <c r="J1951" s="136" t="s">
        <v>11366</v>
      </c>
      <c r="L1951" s="136"/>
      <c r="M1951" s="136"/>
      <c r="N1951" s="136"/>
    </row>
    <row r="1952" spans="6:14">
      <c r="F1952" s="136" t="s">
        <v>11367</v>
      </c>
      <c r="G1952" s="136">
        <v>1949</v>
      </c>
      <c r="H1952" s="136" t="s">
        <v>1752</v>
      </c>
      <c r="I1952" s="136" t="s">
        <v>1753</v>
      </c>
      <c r="J1952" s="136" t="s">
        <v>11368</v>
      </c>
      <c r="L1952" s="136"/>
      <c r="M1952" s="136"/>
      <c r="N1952" s="136"/>
    </row>
    <row r="1953" spans="6:14">
      <c r="F1953" s="136" t="s">
        <v>11369</v>
      </c>
      <c r="G1953" s="136">
        <v>1950</v>
      </c>
      <c r="H1953" s="136" t="s">
        <v>2670</v>
      </c>
      <c r="I1953" s="136" t="s">
        <v>2671</v>
      </c>
      <c r="J1953" s="136" t="s">
        <v>11370</v>
      </c>
      <c r="L1953" s="136"/>
      <c r="M1953" s="136"/>
      <c r="N1953" s="136"/>
    </row>
    <row r="1954" spans="6:14">
      <c r="F1954" s="136" t="s">
        <v>11371</v>
      </c>
      <c r="G1954" s="136">
        <v>1951</v>
      </c>
      <c r="H1954" s="136" t="s">
        <v>11372</v>
      </c>
      <c r="I1954" s="136" t="s">
        <v>11373</v>
      </c>
      <c r="J1954" s="136" t="s">
        <v>11374</v>
      </c>
      <c r="L1954" s="136"/>
      <c r="M1954" s="136"/>
      <c r="N1954" s="136"/>
    </row>
    <row r="1955" spans="6:14">
      <c r="F1955" s="136" t="s">
        <v>11375</v>
      </c>
      <c r="G1955" s="136">
        <v>1952</v>
      </c>
      <c r="H1955" s="136" t="s">
        <v>11376</v>
      </c>
      <c r="I1955" s="136" t="s">
        <v>11377</v>
      </c>
      <c r="J1955" s="136" t="s">
        <v>11378</v>
      </c>
      <c r="L1955" s="136"/>
      <c r="M1955" s="136"/>
      <c r="N1955" s="136"/>
    </row>
    <row r="1956" spans="6:14">
      <c r="F1956" s="136" t="s">
        <v>11379</v>
      </c>
      <c r="G1956" s="136">
        <v>1953</v>
      </c>
      <c r="H1956" s="136" t="s">
        <v>2149</v>
      </c>
      <c r="I1956" s="136" t="s">
        <v>2150</v>
      </c>
      <c r="J1956" s="136" t="s">
        <v>11380</v>
      </c>
      <c r="L1956" s="136"/>
      <c r="M1956" s="136"/>
      <c r="N1956" s="136"/>
    </row>
    <row r="1957" spans="6:14">
      <c r="F1957" s="136" t="s">
        <v>11381</v>
      </c>
      <c r="G1957" s="136">
        <v>1954</v>
      </c>
      <c r="H1957" s="136" t="s">
        <v>6045</v>
      </c>
      <c r="I1957" s="136" t="s">
        <v>6046</v>
      </c>
      <c r="J1957" s="136" t="s">
        <v>11382</v>
      </c>
      <c r="L1957" s="136"/>
      <c r="M1957" s="136"/>
      <c r="N1957" s="136"/>
    </row>
    <row r="1958" spans="6:14">
      <c r="F1958" s="136" t="s">
        <v>11383</v>
      </c>
      <c r="G1958" s="136">
        <v>1955</v>
      </c>
      <c r="H1958" s="136" t="s">
        <v>11384</v>
      </c>
      <c r="I1958" s="136" t="s">
        <v>11385</v>
      </c>
      <c r="J1958" s="136" t="s">
        <v>11386</v>
      </c>
      <c r="L1958" s="136"/>
      <c r="M1958" s="136"/>
      <c r="N1958" s="136"/>
    </row>
    <row r="1959" spans="6:14">
      <c r="F1959" s="136" t="s">
        <v>11387</v>
      </c>
      <c r="G1959" s="136">
        <v>1956</v>
      </c>
      <c r="H1959" s="136" t="s">
        <v>6166</v>
      </c>
      <c r="I1959" s="136" t="s">
        <v>6166</v>
      </c>
      <c r="J1959" s="136" t="s">
        <v>11388</v>
      </c>
      <c r="L1959" s="136"/>
      <c r="M1959" s="136"/>
      <c r="N1959" s="136"/>
    </row>
    <row r="1960" spans="6:14">
      <c r="F1960" s="136" t="s">
        <v>11389</v>
      </c>
      <c r="G1960" s="136">
        <v>1957</v>
      </c>
      <c r="H1960" s="136" t="s">
        <v>1262</v>
      </c>
      <c r="I1960" s="136" t="s">
        <v>1263</v>
      </c>
      <c r="J1960" s="136" t="s">
        <v>11390</v>
      </c>
      <c r="L1960" s="136"/>
      <c r="M1960" s="136"/>
      <c r="N1960" s="136"/>
    </row>
    <row r="1961" spans="6:14">
      <c r="F1961" s="136" t="s">
        <v>11391</v>
      </c>
      <c r="G1961" s="136">
        <v>1958</v>
      </c>
      <c r="H1961" s="136" t="s">
        <v>11392</v>
      </c>
      <c r="I1961" s="136" t="s">
        <v>11392</v>
      </c>
      <c r="J1961" s="136" t="s">
        <v>11393</v>
      </c>
      <c r="L1961" s="136"/>
      <c r="M1961" s="136"/>
      <c r="N1961" s="136"/>
    </row>
    <row r="1962" spans="6:14">
      <c r="F1962" s="136" t="s">
        <v>11394</v>
      </c>
      <c r="G1962" s="136">
        <v>1959</v>
      </c>
      <c r="H1962" s="136" t="s">
        <v>11395</v>
      </c>
      <c r="I1962" s="136" t="s">
        <v>11396</v>
      </c>
      <c r="J1962" s="136" t="s">
        <v>11397</v>
      </c>
      <c r="L1962" s="136"/>
      <c r="M1962" s="136"/>
      <c r="N1962" s="136"/>
    </row>
    <row r="1963" spans="6:14">
      <c r="F1963" s="136" t="s">
        <v>11398</v>
      </c>
      <c r="G1963" s="136">
        <v>1960</v>
      </c>
      <c r="H1963" s="136" t="s">
        <v>11399</v>
      </c>
      <c r="I1963" s="136" t="s">
        <v>11400</v>
      </c>
      <c r="J1963" s="136" t="s">
        <v>11401</v>
      </c>
      <c r="L1963" s="136"/>
      <c r="M1963" s="136"/>
      <c r="N1963" s="136"/>
    </row>
    <row r="1964" spans="6:14">
      <c r="F1964" s="136" t="s">
        <v>11402</v>
      </c>
      <c r="G1964" s="136">
        <v>1961</v>
      </c>
      <c r="H1964" s="136" t="s">
        <v>1860</v>
      </c>
      <c r="I1964" s="136" t="s">
        <v>1861</v>
      </c>
      <c r="J1964" s="136" t="s">
        <v>11403</v>
      </c>
      <c r="L1964" s="136"/>
      <c r="M1964" s="136"/>
      <c r="N1964" s="136"/>
    </row>
    <row r="1965" spans="6:14">
      <c r="F1965" s="136" t="s">
        <v>11404</v>
      </c>
      <c r="G1965" s="136">
        <v>1962</v>
      </c>
      <c r="H1965" s="136" t="s">
        <v>4096</v>
      </c>
      <c r="I1965" s="136" t="s">
        <v>4097</v>
      </c>
      <c r="J1965" s="136" t="s">
        <v>11405</v>
      </c>
      <c r="L1965" s="136"/>
      <c r="M1965" s="136"/>
      <c r="N1965" s="136"/>
    </row>
    <row r="1966" spans="6:14">
      <c r="F1966" s="136" t="s">
        <v>11406</v>
      </c>
      <c r="G1966" s="136">
        <v>1963</v>
      </c>
      <c r="H1966" s="136" t="s">
        <v>11407</v>
      </c>
      <c r="I1966" s="136" t="s">
        <v>11408</v>
      </c>
      <c r="J1966" s="136" t="s">
        <v>11409</v>
      </c>
      <c r="L1966" s="136"/>
      <c r="M1966" s="136"/>
      <c r="N1966" s="136"/>
    </row>
    <row r="1967" spans="6:14">
      <c r="F1967" s="136" t="s">
        <v>11410</v>
      </c>
      <c r="G1967" s="136">
        <v>1964</v>
      </c>
      <c r="H1967" s="136" t="s">
        <v>4425</v>
      </c>
      <c r="I1967" s="136" t="s">
        <v>4426</v>
      </c>
      <c r="J1967" s="136" t="s">
        <v>11411</v>
      </c>
      <c r="L1967" s="136"/>
      <c r="M1967" s="136"/>
      <c r="N1967" s="136"/>
    </row>
    <row r="1968" spans="6:14">
      <c r="F1968" s="136" t="s">
        <v>11412</v>
      </c>
      <c r="G1968" s="136">
        <v>1965</v>
      </c>
      <c r="H1968" s="136" t="s">
        <v>11413</v>
      </c>
      <c r="I1968" s="136" t="s">
        <v>11414</v>
      </c>
      <c r="J1968" s="136" t="s">
        <v>11415</v>
      </c>
      <c r="L1968" s="136"/>
      <c r="M1968" s="136"/>
      <c r="N1968" s="136"/>
    </row>
    <row r="1969" spans="6:14">
      <c r="F1969" s="136" t="s">
        <v>11416</v>
      </c>
      <c r="G1969" s="136">
        <v>1966</v>
      </c>
      <c r="H1969" s="136" t="s">
        <v>1407</v>
      </c>
      <c r="I1969" s="136" t="s">
        <v>1408</v>
      </c>
      <c r="J1969" s="136" t="s">
        <v>11417</v>
      </c>
      <c r="L1969" s="136"/>
      <c r="M1969" s="136"/>
      <c r="N1969" s="136"/>
    </row>
    <row r="1970" spans="6:14">
      <c r="F1970" s="136" t="s">
        <v>11418</v>
      </c>
      <c r="G1970" s="136">
        <v>1967</v>
      </c>
      <c r="H1970" s="136" t="s">
        <v>6220</v>
      </c>
      <c r="I1970" s="136" t="s">
        <v>6221</v>
      </c>
      <c r="J1970" s="136" t="s">
        <v>11419</v>
      </c>
      <c r="L1970" s="136"/>
      <c r="M1970" s="136"/>
      <c r="N1970" s="136"/>
    </row>
    <row r="1971" spans="6:14">
      <c r="F1971" s="136" t="s">
        <v>11420</v>
      </c>
      <c r="G1971" s="136">
        <v>1968</v>
      </c>
      <c r="H1971" s="136" t="s">
        <v>3605</v>
      </c>
      <c r="I1971" s="136" t="s">
        <v>3606</v>
      </c>
      <c r="J1971" s="136" t="s">
        <v>11421</v>
      </c>
      <c r="L1971" s="136"/>
      <c r="M1971" s="136"/>
      <c r="N1971" s="136"/>
    </row>
    <row r="1972" spans="6:14">
      <c r="F1972" s="136" t="s">
        <v>11422</v>
      </c>
      <c r="G1972" s="136">
        <v>1969</v>
      </c>
      <c r="H1972" s="136" t="s">
        <v>5276</v>
      </c>
      <c r="I1972" s="136" t="s">
        <v>5277</v>
      </c>
      <c r="J1972" s="136" t="s">
        <v>11423</v>
      </c>
      <c r="L1972" s="136"/>
      <c r="M1972" s="136"/>
      <c r="N1972" s="136"/>
    </row>
    <row r="1973" spans="6:14">
      <c r="F1973" s="136" t="s">
        <v>11424</v>
      </c>
      <c r="G1973" s="136">
        <v>1970</v>
      </c>
      <c r="H1973" s="136" t="s">
        <v>916</v>
      </c>
      <c r="I1973" s="136" t="s">
        <v>917</v>
      </c>
      <c r="J1973" s="136" t="s">
        <v>11425</v>
      </c>
      <c r="L1973" s="136"/>
      <c r="M1973" s="136"/>
      <c r="N1973" s="136"/>
    </row>
    <row r="1974" spans="6:14">
      <c r="F1974" s="136" t="s">
        <v>11426</v>
      </c>
      <c r="G1974" s="136">
        <v>1971</v>
      </c>
      <c r="H1974" s="136" t="s">
        <v>5832</v>
      </c>
      <c r="I1974" s="136" t="s">
        <v>5833</v>
      </c>
      <c r="J1974" s="136" t="s">
        <v>11427</v>
      </c>
      <c r="L1974" s="136"/>
      <c r="M1974" s="136"/>
      <c r="N1974" s="136"/>
    </row>
    <row r="1975" spans="6:14">
      <c r="F1975" s="136" t="s">
        <v>11428</v>
      </c>
      <c r="G1975" s="136">
        <v>1972</v>
      </c>
      <c r="H1975" s="136" t="s">
        <v>4994</v>
      </c>
      <c r="I1975" s="136" t="s">
        <v>4995</v>
      </c>
      <c r="J1975" s="136" t="s">
        <v>11429</v>
      </c>
      <c r="L1975" s="136"/>
      <c r="M1975" s="136"/>
      <c r="N1975" s="136"/>
    </row>
    <row r="1976" spans="6:14">
      <c r="F1976" s="136" t="s">
        <v>11430</v>
      </c>
      <c r="G1976" s="136">
        <v>1973</v>
      </c>
      <c r="H1976" s="136" t="s">
        <v>3405</v>
      </c>
      <c r="I1976" s="136" t="s">
        <v>3407</v>
      </c>
      <c r="J1976" s="136" t="s">
        <v>11431</v>
      </c>
      <c r="L1976" s="136"/>
      <c r="M1976" s="136"/>
      <c r="N1976" s="136"/>
    </row>
    <row r="1977" spans="6:14">
      <c r="F1977" s="136" t="s">
        <v>11432</v>
      </c>
      <c r="G1977" s="136">
        <v>1974</v>
      </c>
      <c r="H1977" s="136" t="s">
        <v>11433</v>
      </c>
      <c r="I1977" s="136" t="s">
        <v>11434</v>
      </c>
      <c r="J1977" s="136" t="s">
        <v>11435</v>
      </c>
      <c r="L1977" s="136"/>
      <c r="M1977" s="136"/>
      <c r="N1977" s="136"/>
    </row>
    <row r="1978" spans="6:14">
      <c r="F1978" s="136" t="s">
        <v>11436</v>
      </c>
      <c r="G1978" s="136">
        <v>1975</v>
      </c>
      <c r="H1978" s="136" t="s">
        <v>4475</v>
      </c>
      <c r="I1978" s="136" t="s">
        <v>4476</v>
      </c>
      <c r="J1978" s="136" t="s">
        <v>11437</v>
      </c>
      <c r="L1978" s="136"/>
      <c r="M1978" s="136"/>
      <c r="N1978" s="136"/>
    </row>
    <row r="1979" spans="6:14">
      <c r="F1979" s="136" t="s">
        <v>11438</v>
      </c>
      <c r="G1979" s="136">
        <v>1976</v>
      </c>
      <c r="H1979" s="136" t="s">
        <v>11439</v>
      </c>
      <c r="I1979" s="136" t="s">
        <v>11440</v>
      </c>
      <c r="J1979" s="136" t="s">
        <v>11441</v>
      </c>
      <c r="L1979" s="136"/>
      <c r="M1979" s="136"/>
      <c r="N1979" s="136"/>
    </row>
    <row r="1980" spans="6:14">
      <c r="F1980" s="136" t="s">
        <v>11442</v>
      </c>
      <c r="G1980" s="136">
        <v>1977</v>
      </c>
      <c r="H1980" s="136" t="s">
        <v>11443</v>
      </c>
      <c r="I1980" s="136" t="s">
        <v>11444</v>
      </c>
      <c r="J1980" s="136" t="s">
        <v>11445</v>
      </c>
      <c r="L1980" s="136"/>
      <c r="M1980" s="136"/>
      <c r="N1980" s="136"/>
    </row>
    <row r="1981" spans="6:14">
      <c r="F1981" s="136" t="s">
        <v>11446</v>
      </c>
      <c r="G1981" s="136">
        <v>1978</v>
      </c>
      <c r="H1981" s="136" t="s">
        <v>11447</v>
      </c>
      <c r="I1981" s="136" t="s">
        <v>11448</v>
      </c>
      <c r="J1981" s="136" t="s">
        <v>11449</v>
      </c>
      <c r="L1981" s="136"/>
      <c r="M1981" s="136"/>
      <c r="N1981" s="136"/>
    </row>
    <row r="1982" spans="6:14">
      <c r="F1982" s="136" t="s">
        <v>11450</v>
      </c>
      <c r="G1982" s="136">
        <v>1979</v>
      </c>
      <c r="H1982" s="136" t="s">
        <v>11451</v>
      </c>
      <c r="I1982" s="136" t="s">
        <v>11451</v>
      </c>
      <c r="J1982" s="136" t="s">
        <v>11452</v>
      </c>
      <c r="L1982" s="136"/>
      <c r="M1982" s="136"/>
      <c r="N1982" s="136"/>
    </row>
    <row r="1983" spans="6:14">
      <c r="F1983" s="136" t="s">
        <v>11453</v>
      </c>
      <c r="G1983" s="136">
        <v>1980</v>
      </c>
      <c r="H1983" s="136" t="s">
        <v>11454</v>
      </c>
      <c r="I1983" s="136" t="s">
        <v>11455</v>
      </c>
      <c r="J1983" s="136" t="s">
        <v>11456</v>
      </c>
      <c r="L1983" s="136"/>
      <c r="M1983" s="136"/>
      <c r="N1983" s="136"/>
    </row>
    <row r="1984" spans="6:14">
      <c r="F1984" s="136" t="s">
        <v>11457</v>
      </c>
      <c r="G1984" s="136">
        <v>1981</v>
      </c>
      <c r="H1984" s="136" t="s">
        <v>1346</v>
      </c>
      <c r="I1984" s="136" t="s">
        <v>1347</v>
      </c>
      <c r="J1984" s="136" t="s">
        <v>11458</v>
      </c>
      <c r="L1984" s="136"/>
      <c r="M1984" s="136"/>
      <c r="N1984" s="136"/>
    </row>
    <row r="1985" spans="6:14">
      <c r="F1985" s="136" t="s">
        <v>11459</v>
      </c>
      <c r="G1985" s="136">
        <v>1982</v>
      </c>
      <c r="H1985" s="136" t="s">
        <v>11460</v>
      </c>
      <c r="I1985" s="136" t="s">
        <v>11461</v>
      </c>
      <c r="J1985" s="136" t="s">
        <v>11462</v>
      </c>
      <c r="L1985" s="136"/>
      <c r="M1985" s="136"/>
      <c r="N1985" s="136"/>
    </row>
    <row r="1986" spans="6:14">
      <c r="F1986" s="136" t="s">
        <v>11463</v>
      </c>
      <c r="G1986" s="136">
        <v>1983</v>
      </c>
      <c r="H1986" s="136" t="s">
        <v>2975</v>
      </c>
      <c r="I1986" s="136" t="s">
        <v>2975</v>
      </c>
      <c r="J1986" s="136" t="s">
        <v>11464</v>
      </c>
      <c r="L1986" s="136"/>
      <c r="M1986" s="136"/>
      <c r="N1986" s="136"/>
    </row>
    <row r="1987" spans="6:14">
      <c r="F1987" s="136" t="s">
        <v>11465</v>
      </c>
      <c r="G1987" s="136">
        <v>1984</v>
      </c>
      <c r="H1987" s="136" t="s">
        <v>2105</v>
      </c>
      <c r="I1987" s="136" t="s">
        <v>2106</v>
      </c>
      <c r="J1987" s="136" t="s">
        <v>11466</v>
      </c>
      <c r="L1987" s="136"/>
      <c r="M1987" s="136"/>
      <c r="N1987" s="136"/>
    </row>
    <row r="1988" spans="6:14">
      <c r="F1988" s="136" t="s">
        <v>11467</v>
      </c>
      <c r="G1988" s="136">
        <v>1985</v>
      </c>
      <c r="H1988" s="136" t="s">
        <v>5872</v>
      </c>
      <c r="I1988" s="136" t="s">
        <v>5873</v>
      </c>
      <c r="J1988" s="136" t="s">
        <v>11468</v>
      </c>
      <c r="L1988" s="136"/>
      <c r="M1988" s="136"/>
      <c r="N1988" s="136"/>
    </row>
    <row r="1989" spans="6:14">
      <c r="F1989" s="136" t="s">
        <v>11469</v>
      </c>
      <c r="G1989" s="136">
        <v>1986</v>
      </c>
      <c r="H1989" s="136" t="s">
        <v>4648</v>
      </c>
      <c r="I1989" s="136" t="s">
        <v>4649</v>
      </c>
      <c r="J1989" s="136" t="s">
        <v>11470</v>
      </c>
      <c r="L1989" s="136"/>
      <c r="M1989" s="136"/>
      <c r="N1989" s="136"/>
    </row>
    <row r="1990" spans="6:14">
      <c r="F1990" s="136" t="s">
        <v>11471</v>
      </c>
      <c r="G1990" s="136">
        <v>1987</v>
      </c>
      <c r="H1990" s="136" t="s">
        <v>11472</v>
      </c>
      <c r="I1990" s="136" t="s">
        <v>11472</v>
      </c>
      <c r="J1990" s="136" t="s">
        <v>11473</v>
      </c>
      <c r="L1990" s="136"/>
      <c r="M1990" s="136"/>
      <c r="N1990" s="136"/>
    </row>
    <row r="1991" spans="6:14">
      <c r="F1991" s="136" t="s">
        <v>11474</v>
      </c>
      <c r="G1991" s="136">
        <v>1988</v>
      </c>
      <c r="H1991" s="136" t="s">
        <v>11475</v>
      </c>
      <c r="I1991" s="136" t="s">
        <v>11476</v>
      </c>
      <c r="J1991" s="136" t="s">
        <v>11477</v>
      </c>
      <c r="L1991" s="136"/>
      <c r="M1991" s="136"/>
      <c r="N1991" s="136"/>
    </row>
    <row r="1992" spans="6:14">
      <c r="F1992" s="136" t="s">
        <v>11478</v>
      </c>
      <c r="G1992" s="136">
        <v>1989</v>
      </c>
      <c r="H1992" s="136" t="s">
        <v>6200</v>
      </c>
      <c r="I1992" s="136" t="s">
        <v>6201</v>
      </c>
      <c r="J1992" s="136" t="s">
        <v>11479</v>
      </c>
      <c r="L1992" s="136"/>
      <c r="M1992" s="136"/>
      <c r="N1992" s="136"/>
    </row>
    <row r="1993" spans="6:14">
      <c r="F1993" s="136" t="s">
        <v>11480</v>
      </c>
      <c r="G1993" s="136">
        <v>1990</v>
      </c>
      <c r="H1993" s="136" t="s">
        <v>2744</v>
      </c>
      <c r="I1993" s="136" t="s">
        <v>2747</v>
      </c>
      <c r="J1993" s="136" t="s">
        <v>11481</v>
      </c>
      <c r="L1993" s="136"/>
      <c r="M1993" s="136"/>
      <c r="N1993" s="136"/>
    </row>
    <row r="1994" spans="6:14">
      <c r="F1994" s="136" t="s">
        <v>11482</v>
      </c>
      <c r="G1994" s="136">
        <v>1991</v>
      </c>
      <c r="H1994" s="136" t="s">
        <v>2463</v>
      </c>
      <c r="I1994" s="136" t="s">
        <v>2464</v>
      </c>
      <c r="J1994" s="136" t="s">
        <v>11483</v>
      </c>
      <c r="L1994" s="136"/>
      <c r="M1994" s="136"/>
      <c r="N1994" s="136"/>
    </row>
    <row r="1995" spans="6:14">
      <c r="F1995" s="136" t="s">
        <v>11484</v>
      </c>
      <c r="G1995" s="136">
        <v>1992</v>
      </c>
      <c r="H1995" s="136" t="s">
        <v>11485</v>
      </c>
      <c r="I1995" s="136" t="s">
        <v>7006</v>
      </c>
      <c r="J1995" s="136" t="s">
        <v>11486</v>
      </c>
      <c r="L1995" s="136"/>
      <c r="M1995" s="136"/>
      <c r="N1995" s="136"/>
    </row>
    <row r="1996" spans="6:14">
      <c r="F1996" s="136" t="s">
        <v>11487</v>
      </c>
      <c r="G1996" s="136">
        <v>1993</v>
      </c>
      <c r="H1996" s="136" t="s">
        <v>5700</v>
      </c>
      <c r="I1996" s="136" t="s">
        <v>5701</v>
      </c>
      <c r="J1996" s="136" t="s">
        <v>11488</v>
      </c>
      <c r="L1996" s="136"/>
      <c r="M1996" s="136"/>
      <c r="N1996" s="136"/>
    </row>
    <row r="1997" spans="6:14">
      <c r="F1997" s="136" t="s">
        <v>11489</v>
      </c>
      <c r="G1997" s="136">
        <v>1994</v>
      </c>
      <c r="H1997" s="136" t="s">
        <v>1314</v>
      </c>
      <c r="I1997" s="136" t="s">
        <v>1315</v>
      </c>
      <c r="J1997" s="136" t="s">
        <v>11490</v>
      </c>
      <c r="L1997" s="136"/>
      <c r="M1997" s="136"/>
      <c r="N1997" s="136"/>
    </row>
    <row r="1998" spans="6:14">
      <c r="F1998" s="136" t="s">
        <v>11491</v>
      </c>
      <c r="G1998" s="136">
        <v>1995</v>
      </c>
      <c r="H1998" s="136" t="s">
        <v>2646</v>
      </c>
      <c r="I1998" s="136" t="s">
        <v>2647</v>
      </c>
      <c r="J1998" s="136" t="s">
        <v>11492</v>
      </c>
      <c r="L1998" s="136"/>
      <c r="M1998" s="136"/>
      <c r="N1998" s="136"/>
    </row>
    <row r="1999" spans="6:14">
      <c r="F1999" s="136" t="s">
        <v>11493</v>
      </c>
      <c r="G1999" s="136">
        <v>1996</v>
      </c>
      <c r="H1999" s="136" t="s">
        <v>5165</v>
      </c>
      <c r="I1999" s="136" t="s">
        <v>5166</v>
      </c>
      <c r="J1999" s="136" t="s">
        <v>11494</v>
      </c>
      <c r="L1999" s="136"/>
      <c r="M1999" s="136"/>
      <c r="N1999" s="136"/>
    </row>
    <row r="2000" spans="6:14">
      <c r="F2000" s="136" t="s">
        <v>11495</v>
      </c>
      <c r="G2000" s="136">
        <v>1997</v>
      </c>
      <c r="H2000" s="136" t="s">
        <v>5794</v>
      </c>
      <c r="I2000" s="136" t="s">
        <v>5795</v>
      </c>
      <c r="J2000" s="136" t="s">
        <v>11496</v>
      </c>
      <c r="L2000" s="136"/>
      <c r="M2000" s="136"/>
      <c r="N2000" s="136"/>
    </row>
    <row r="2001" spans="6:14">
      <c r="F2001" s="136" t="s">
        <v>11497</v>
      </c>
      <c r="G2001" s="136">
        <v>1998</v>
      </c>
      <c r="H2001" s="136" t="s">
        <v>4667</v>
      </c>
      <c r="I2001" s="136" t="s">
        <v>4328</v>
      </c>
      <c r="J2001" s="136" t="s">
        <v>11498</v>
      </c>
      <c r="L2001" s="136"/>
      <c r="M2001" s="136"/>
      <c r="N2001" s="136"/>
    </row>
    <row r="2002" spans="6:14">
      <c r="F2002" s="136" t="s">
        <v>11499</v>
      </c>
      <c r="G2002" s="136">
        <v>1999</v>
      </c>
      <c r="H2002" s="136" t="s">
        <v>6102</v>
      </c>
      <c r="I2002" s="136" t="s">
        <v>6103</v>
      </c>
      <c r="J2002" s="136" t="s">
        <v>11500</v>
      </c>
      <c r="L2002" s="136"/>
      <c r="M2002" s="136"/>
      <c r="N2002" s="136"/>
    </row>
    <row r="2003" spans="6:14">
      <c r="F2003" s="136" t="s">
        <v>11501</v>
      </c>
      <c r="G2003" s="136">
        <v>2000</v>
      </c>
      <c r="H2003" s="136" t="s">
        <v>3017</v>
      </c>
      <c r="I2003" s="136" t="s">
        <v>3018</v>
      </c>
      <c r="J2003" s="136" t="s">
        <v>11502</v>
      </c>
      <c r="L2003" s="136"/>
      <c r="M2003" s="136"/>
      <c r="N2003" s="136"/>
    </row>
    <row r="2004" spans="6:14">
      <c r="F2004" s="136" t="s">
        <v>11503</v>
      </c>
      <c r="G2004" s="136">
        <v>2001</v>
      </c>
      <c r="H2004" s="136" t="s">
        <v>4529</v>
      </c>
      <c r="I2004" s="136" t="s">
        <v>3643</v>
      </c>
      <c r="J2004" s="136" t="s">
        <v>11504</v>
      </c>
      <c r="L2004" s="136"/>
      <c r="M2004" s="136"/>
      <c r="N2004" s="136"/>
    </row>
    <row r="2005" spans="6:14">
      <c r="F2005" s="136" t="s">
        <v>11505</v>
      </c>
      <c r="G2005" s="136">
        <v>2002</v>
      </c>
      <c r="H2005" s="136" t="s">
        <v>4980</v>
      </c>
      <c r="I2005" s="136" t="s">
        <v>4981</v>
      </c>
      <c r="J2005" s="136" t="s">
        <v>11506</v>
      </c>
      <c r="L2005" s="136"/>
      <c r="M2005" s="136"/>
      <c r="N2005" s="136"/>
    </row>
    <row r="2006" spans="6:14">
      <c r="F2006" s="136" t="s">
        <v>11507</v>
      </c>
      <c r="G2006" s="136">
        <v>2003</v>
      </c>
      <c r="H2006" s="136" t="s">
        <v>4714</v>
      </c>
      <c r="I2006" s="136" t="s">
        <v>4715</v>
      </c>
      <c r="J2006" s="136" t="s">
        <v>11508</v>
      </c>
      <c r="L2006" s="136"/>
      <c r="M2006" s="136"/>
      <c r="N2006" s="136"/>
    </row>
    <row r="2007" spans="6:14">
      <c r="F2007" s="136" t="s">
        <v>11509</v>
      </c>
      <c r="G2007" s="136">
        <v>2004</v>
      </c>
      <c r="H2007" s="136" t="s">
        <v>6051</v>
      </c>
      <c r="I2007" s="136" t="s">
        <v>6052</v>
      </c>
      <c r="J2007" s="136" t="s">
        <v>11510</v>
      </c>
      <c r="L2007" s="136"/>
      <c r="M2007" s="136"/>
      <c r="N2007" s="136"/>
    </row>
    <row r="2008" spans="6:14">
      <c r="F2008" s="136" t="s">
        <v>11511</v>
      </c>
      <c r="G2008" s="136">
        <v>2005</v>
      </c>
      <c r="H2008" s="136" t="s">
        <v>11512</v>
      </c>
      <c r="I2008" s="136" t="s">
        <v>11513</v>
      </c>
      <c r="J2008" s="136" t="s">
        <v>11514</v>
      </c>
      <c r="L2008" s="136"/>
      <c r="M2008" s="136"/>
      <c r="N2008" s="136"/>
    </row>
    <row r="2009" spans="6:14">
      <c r="F2009" s="136" t="s">
        <v>11515</v>
      </c>
      <c r="G2009" s="136">
        <v>2006</v>
      </c>
      <c r="H2009" s="136" t="s">
        <v>7777</v>
      </c>
      <c r="I2009" s="136" t="s">
        <v>11516</v>
      </c>
      <c r="J2009" s="136" t="s">
        <v>11517</v>
      </c>
      <c r="L2009" s="136"/>
      <c r="M2009" s="136"/>
      <c r="N2009" s="136"/>
    </row>
    <row r="2010" spans="6:14">
      <c r="F2010" s="136" t="s">
        <v>11518</v>
      </c>
      <c r="G2010" s="136">
        <v>2007</v>
      </c>
      <c r="H2010" s="136" t="s">
        <v>11519</v>
      </c>
      <c r="I2010" s="136" t="s">
        <v>11520</v>
      </c>
      <c r="J2010" s="136" t="s">
        <v>11521</v>
      </c>
      <c r="L2010" s="136"/>
      <c r="M2010" s="136"/>
      <c r="N2010" s="136"/>
    </row>
    <row r="2011" spans="6:14">
      <c r="F2011" s="136" t="s">
        <v>11522</v>
      </c>
      <c r="G2011" s="136">
        <v>2008</v>
      </c>
      <c r="H2011" s="136" t="s">
        <v>5142</v>
      </c>
      <c r="I2011" s="136" t="s">
        <v>3018</v>
      </c>
      <c r="J2011" s="136" t="s">
        <v>11523</v>
      </c>
      <c r="L2011" s="136"/>
      <c r="M2011" s="136"/>
      <c r="N2011" s="136"/>
    </row>
    <row r="2012" spans="6:14">
      <c r="F2012" s="136" t="s">
        <v>11524</v>
      </c>
      <c r="G2012" s="136">
        <v>2009</v>
      </c>
      <c r="H2012" s="136" t="s">
        <v>5313</v>
      </c>
      <c r="I2012" s="136" t="s">
        <v>5068</v>
      </c>
      <c r="J2012" s="136" t="s">
        <v>11525</v>
      </c>
      <c r="L2012" s="136"/>
      <c r="M2012" s="136"/>
      <c r="N2012" s="136"/>
    </row>
    <row r="2013" spans="6:14">
      <c r="F2013" s="136" t="s">
        <v>11526</v>
      </c>
      <c r="G2013" s="136">
        <v>2010</v>
      </c>
      <c r="H2013" s="136" t="s">
        <v>11527</v>
      </c>
      <c r="I2013" s="136" t="s">
        <v>11528</v>
      </c>
      <c r="J2013" s="136" t="s">
        <v>11529</v>
      </c>
      <c r="L2013" s="136"/>
      <c r="M2013" s="136"/>
      <c r="N2013" s="136"/>
    </row>
    <row r="2014" spans="6:14">
      <c r="F2014" s="136" t="s">
        <v>11530</v>
      </c>
      <c r="G2014" s="136">
        <v>2011</v>
      </c>
      <c r="H2014" s="136" t="s">
        <v>2939</v>
      </c>
      <c r="I2014" s="136" t="s">
        <v>2940</v>
      </c>
      <c r="J2014" s="136" t="s">
        <v>11531</v>
      </c>
      <c r="L2014" s="136"/>
      <c r="M2014" s="136"/>
      <c r="N2014" s="136"/>
    </row>
    <row r="2015" spans="6:14">
      <c r="F2015" s="136" t="s">
        <v>11532</v>
      </c>
      <c r="G2015" s="136">
        <v>2012</v>
      </c>
      <c r="H2015" s="136" t="s">
        <v>11533</v>
      </c>
      <c r="I2015" s="136" t="s">
        <v>11534</v>
      </c>
      <c r="J2015" s="136" t="s">
        <v>11535</v>
      </c>
      <c r="L2015" s="136"/>
      <c r="M2015" s="136"/>
      <c r="N2015" s="136"/>
    </row>
    <row r="2016" spans="6:14">
      <c r="F2016" s="136" t="s">
        <v>11536</v>
      </c>
      <c r="G2016" s="136">
        <v>2013</v>
      </c>
      <c r="H2016" s="136" t="s">
        <v>7005</v>
      </c>
      <c r="I2016" s="136" t="s">
        <v>11537</v>
      </c>
      <c r="J2016" s="136" t="s">
        <v>11538</v>
      </c>
      <c r="L2016" s="136"/>
      <c r="M2016" s="136"/>
      <c r="N2016" s="136"/>
    </row>
    <row r="2017" spans="6:14">
      <c r="F2017" s="136" t="s">
        <v>11539</v>
      </c>
      <c r="G2017" s="136">
        <v>2014</v>
      </c>
      <c r="H2017" s="136" t="s">
        <v>4766</v>
      </c>
      <c r="I2017" s="136" t="s">
        <v>4767</v>
      </c>
      <c r="J2017" s="136" t="s">
        <v>11540</v>
      </c>
      <c r="L2017" s="136"/>
      <c r="M2017" s="136"/>
      <c r="N2017" s="136"/>
    </row>
    <row r="2018" spans="6:14">
      <c r="F2018" s="136" t="s">
        <v>11541</v>
      </c>
      <c r="G2018" s="136">
        <v>2015</v>
      </c>
      <c r="H2018" s="136" t="s">
        <v>1973</v>
      </c>
      <c r="I2018" s="136" t="s">
        <v>1974</v>
      </c>
      <c r="J2018" s="136" t="s">
        <v>11542</v>
      </c>
      <c r="L2018" s="136"/>
      <c r="M2018" s="136"/>
      <c r="N2018" s="136"/>
    </row>
    <row r="2019" spans="6:14">
      <c r="F2019" s="136" t="s">
        <v>11543</v>
      </c>
      <c r="G2019" s="136">
        <v>2016</v>
      </c>
      <c r="H2019" s="136" t="s">
        <v>3617</v>
      </c>
      <c r="I2019" s="136" t="s">
        <v>3618</v>
      </c>
      <c r="J2019" s="136" t="s">
        <v>11544</v>
      </c>
      <c r="L2019" s="136"/>
      <c r="M2019" s="136"/>
      <c r="N2019" s="136"/>
    </row>
    <row r="2020" spans="6:14">
      <c r="F2020" s="136" t="s">
        <v>11545</v>
      </c>
      <c r="G2020" s="136">
        <v>2017</v>
      </c>
      <c r="H2020" s="136" t="s">
        <v>3738</v>
      </c>
      <c r="I2020" s="136" t="s">
        <v>1389</v>
      </c>
      <c r="J2020" s="136" t="s">
        <v>11546</v>
      </c>
      <c r="L2020" s="136"/>
      <c r="M2020" s="136"/>
      <c r="N2020" s="136"/>
    </row>
    <row r="2021" spans="6:14">
      <c r="F2021" s="136" t="s">
        <v>11547</v>
      </c>
      <c r="G2021" s="136">
        <v>2018</v>
      </c>
      <c r="H2021" s="136" t="s">
        <v>3603</v>
      </c>
      <c r="I2021" s="136" t="s">
        <v>3604</v>
      </c>
      <c r="J2021" s="136" t="s">
        <v>11548</v>
      </c>
      <c r="L2021" s="136"/>
      <c r="M2021" s="136"/>
      <c r="N2021" s="136"/>
    </row>
    <row r="2022" spans="6:14">
      <c r="F2022" s="136" t="s">
        <v>11549</v>
      </c>
      <c r="G2022" s="136">
        <v>2019</v>
      </c>
      <c r="H2022" s="136" t="s">
        <v>11550</v>
      </c>
      <c r="I2022" s="136" t="s">
        <v>11551</v>
      </c>
      <c r="J2022" s="136" t="s">
        <v>11552</v>
      </c>
      <c r="L2022" s="136"/>
      <c r="M2022" s="136"/>
      <c r="N2022" s="136"/>
    </row>
    <row r="2023" spans="6:14">
      <c r="F2023" s="136" t="s">
        <v>11553</v>
      </c>
      <c r="G2023" s="136">
        <v>2020</v>
      </c>
      <c r="H2023" s="136" t="s">
        <v>11554</v>
      </c>
      <c r="I2023" s="136" t="s">
        <v>11555</v>
      </c>
      <c r="J2023" s="136" t="s">
        <v>11556</v>
      </c>
      <c r="L2023" s="136"/>
      <c r="M2023" s="136"/>
      <c r="N2023" s="136"/>
    </row>
    <row r="2024" spans="6:14">
      <c r="F2024" s="136" t="s">
        <v>11557</v>
      </c>
      <c r="G2024" s="136">
        <v>2021</v>
      </c>
      <c r="H2024" s="136" t="s">
        <v>6183</v>
      </c>
      <c r="I2024" s="136" t="s">
        <v>6187</v>
      </c>
      <c r="J2024" s="136" t="s">
        <v>11558</v>
      </c>
      <c r="L2024" s="136"/>
      <c r="M2024" s="136"/>
      <c r="N2024" s="136"/>
    </row>
    <row r="2025" spans="6:14">
      <c r="F2025" s="136" t="s">
        <v>11559</v>
      </c>
      <c r="G2025" s="136">
        <v>2022</v>
      </c>
      <c r="H2025" s="136" t="s">
        <v>6183</v>
      </c>
      <c r="I2025" s="136" t="s">
        <v>6188</v>
      </c>
      <c r="J2025" s="136" t="s">
        <v>11560</v>
      </c>
      <c r="L2025" s="136"/>
      <c r="M2025" s="136"/>
      <c r="N2025" s="136"/>
    </row>
    <row r="2026" spans="6:14">
      <c r="F2026" s="136" t="s">
        <v>11561</v>
      </c>
      <c r="G2026" s="136">
        <v>2023</v>
      </c>
      <c r="H2026" s="136" t="s">
        <v>6176</v>
      </c>
      <c r="I2026" s="136" t="s">
        <v>6177</v>
      </c>
      <c r="J2026" s="136" t="s">
        <v>11562</v>
      </c>
      <c r="L2026" s="136"/>
      <c r="M2026" s="136"/>
      <c r="N2026" s="136"/>
    </row>
    <row r="2027" spans="6:14">
      <c r="F2027" s="136" t="s">
        <v>11563</v>
      </c>
      <c r="G2027" s="136">
        <v>2024</v>
      </c>
      <c r="H2027" s="136" t="s">
        <v>11564</v>
      </c>
      <c r="I2027" s="136" t="s">
        <v>11565</v>
      </c>
      <c r="J2027" s="136" t="s">
        <v>11566</v>
      </c>
      <c r="L2027" s="136"/>
      <c r="M2027" s="136"/>
      <c r="N2027" s="136"/>
    </row>
    <row r="2028" spans="6:14">
      <c r="F2028" s="136" t="s">
        <v>11567</v>
      </c>
      <c r="G2028" s="136">
        <v>2025</v>
      </c>
      <c r="H2028" s="136" t="s">
        <v>2573</v>
      </c>
      <c r="I2028" s="136" t="s">
        <v>2574</v>
      </c>
      <c r="J2028" s="136" t="s">
        <v>11568</v>
      </c>
      <c r="L2028" s="136"/>
      <c r="M2028" s="136"/>
      <c r="N2028" s="136"/>
    </row>
    <row r="2029" spans="6:14">
      <c r="F2029" s="136" t="s">
        <v>11569</v>
      </c>
      <c r="G2029" s="136">
        <v>2026</v>
      </c>
      <c r="H2029" s="136" t="s">
        <v>5099</v>
      </c>
      <c r="I2029" s="136" t="s">
        <v>5100</v>
      </c>
      <c r="J2029" s="136" t="s">
        <v>11570</v>
      </c>
      <c r="L2029" s="136"/>
      <c r="M2029" s="136"/>
      <c r="N2029" s="136"/>
    </row>
    <row r="2030" spans="6:14">
      <c r="F2030" s="136" t="s">
        <v>11571</v>
      </c>
      <c r="G2030" s="136">
        <v>2027</v>
      </c>
      <c r="H2030" s="136" t="s">
        <v>11572</v>
      </c>
      <c r="I2030" s="136" t="s">
        <v>11573</v>
      </c>
      <c r="J2030" s="136" t="s">
        <v>11574</v>
      </c>
      <c r="L2030" s="136"/>
      <c r="M2030" s="136"/>
      <c r="N2030" s="136"/>
    </row>
    <row r="2031" spans="6:14">
      <c r="F2031" s="136" t="s">
        <v>11575</v>
      </c>
      <c r="G2031" s="136">
        <v>2028</v>
      </c>
      <c r="H2031" s="136" t="s">
        <v>627</v>
      </c>
      <c r="I2031" s="136" t="s">
        <v>628</v>
      </c>
      <c r="J2031" s="136" t="s">
        <v>11576</v>
      </c>
      <c r="L2031" s="136"/>
      <c r="M2031" s="136"/>
      <c r="N2031" s="136"/>
    </row>
    <row r="2032" spans="6:14">
      <c r="F2032" s="136" t="s">
        <v>11577</v>
      </c>
      <c r="G2032" s="136">
        <v>2029</v>
      </c>
      <c r="H2032" s="136" t="s">
        <v>11578</v>
      </c>
      <c r="I2032" s="136" t="s">
        <v>11579</v>
      </c>
      <c r="J2032" s="136" t="s">
        <v>11580</v>
      </c>
      <c r="L2032" s="136"/>
      <c r="M2032" s="136"/>
      <c r="N2032" s="136"/>
    </row>
    <row r="2033" spans="6:14">
      <c r="F2033" s="136" t="s">
        <v>11581</v>
      </c>
      <c r="G2033" s="136">
        <v>2030</v>
      </c>
      <c r="H2033" s="136" t="s">
        <v>851</v>
      </c>
      <c r="I2033" s="136" t="s">
        <v>853</v>
      </c>
      <c r="J2033" s="136" t="s">
        <v>11582</v>
      </c>
      <c r="L2033" s="136"/>
      <c r="M2033" s="136"/>
      <c r="N2033" s="136"/>
    </row>
    <row r="2034" spans="6:14">
      <c r="F2034" s="136" t="s">
        <v>11583</v>
      </c>
      <c r="G2034" s="136">
        <v>2031</v>
      </c>
      <c r="H2034" s="136" t="s">
        <v>3141</v>
      </c>
      <c r="I2034" s="136" t="s">
        <v>778</v>
      </c>
      <c r="J2034" s="136" t="s">
        <v>11584</v>
      </c>
      <c r="L2034" s="136"/>
      <c r="M2034" s="136"/>
      <c r="N2034" s="136"/>
    </row>
    <row r="2035" spans="6:14">
      <c r="F2035" s="136" t="s">
        <v>11585</v>
      </c>
      <c r="G2035" s="136">
        <v>2032</v>
      </c>
      <c r="H2035" s="136" t="s">
        <v>1936</v>
      </c>
      <c r="I2035" s="136" t="s">
        <v>1937</v>
      </c>
      <c r="J2035" s="136" t="s">
        <v>11586</v>
      </c>
      <c r="L2035" s="136"/>
      <c r="M2035" s="136"/>
      <c r="N2035" s="136"/>
    </row>
    <row r="2036" spans="6:14">
      <c r="F2036" s="136" t="s">
        <v>11587</v>
      </c>
      <c r="G2036" s="136">
        <v>2033</v>
      </c>
      <c r="H2036" s="136" t="s">
        <v>2222</v>
      </c>
      <c r="I2036" s="136" t="s">
        <v>2223</v>
      </c>
      <c r="J2036" s="136" t="s">
        <v>11588</v>
      </c>
      <c r="L2036" s="136"/>
      <c r="M2036" s="136"/>
      <c r="N2036" s="136"/>
    </row>
    <row r="2037" spans="6:14">
      <c r="F2037" s="136" t="s">
        <v>11589</v>
      </c>
      <c r="G2037" s="136">
        <v>2034</v>
      </c>
      <c r="H2037" s="136" t="s">
        <v>11590</v>
      </c>
      <c r="I2037" s="136" t="s">
        <v>11591</v>
      </c>
      <c r="J2037" s="136" t="s">
        <v>11592</v>
      </c>
      <c r="L2037" s="136"/>
      <c r="M2037" s="136"/>
      <c r="N2037" s="136"/>
    </row>
    <row r="2038" spans="6:14">
      <c r="F2038" s="136" t="s">
        <v>11593</v>
      </c>
      <c r="G2038" s="136">
        <v>2035</v>
      </c>
      <c r="H2038" s="136" t="s">
        <v>1388</v>
      </c>
      <c r="I2038" s="136" t="s">
        <v>1389</v>
      </c>
      <c r="J2038" s="136" t="s">
        <v>11594</v>
      </c>
      <c r="L2038" s="136"/>
      <c r="M2038" s="136"/>
      <c r="N2038" s="136"/>
    </row>
    <row r="2039" spans="6:14">
      <c r="F2039" s="136" t="s">
        <v>11595</v>
      </c>
      <c r="G2039" s="136">
        <v>2036</v>
      </c>
      <c r="H2039" s="136" t="s">
        <v>5518</v>
      </c>
      <c r="I2039" s="136" t="s">
        <v>5518</v>
      </c>
      <c r="J2039" s="136" t="s">
        <v>11596</v>
      </c>
      <c r="L2039" s="136"/>
      <c r="M2039" s="136"/>
      <c r="N2039" s="136"/>
    </row>
    <row r="2040" spans="6:14">
      <c r="F2040" s="136" t="s">
        <v>11597</v>
      </c>
      <c r="G2040" s="136">
        <v>2037</v>
      </c>
      <c r="H2040" s="136" t="s">
        <v>11598</v>
      </c>
      <c r="I2040" s="136" t="s">
        <v>11599</v>
      </c>
      <c r="J2040" s="136" t="s">
        <v>11600</v>
      </c>
      <c r="L2040" s="136"/>
      <c r="M2040" s="136"/>
      <c r="N2040" s="136"/>
    </row>
    <row r="2041" spans="6:14">
      <c r="F2041" s="136" t="s">
        <v>11601</v>
      </c>
      <c r="G2041" s="136">
        <v>2038</v>
      </c>
      <c r="H2041" s="136" t="s">
        <v>5777</v>
      </c>
      <c r="I2041" s="136" t="s">
        <v>5777</v>
      </c>
      <c r="J2041" s="136" t="s">
        <v>11602</v>
      </c>
      <c r="L2041" s="136"/>
      <c r="M2041" s="136"/>
      <c r="N2041" s="136"/>
    </row>
    <row r="2042" spans="6:14">
      <c r="F2042" s="136" t="s">
        <v>11603</v>
      </c>
      <c r="G2042" s="136">
        <v>2039</v>
      </c>
      <c r="H2042" s="136" t="s">
        <v>805</v>
      </c>
      <c r="I2042" s="136" t="s">
        <v>806</v>
      </c>
      <c r="J2042" s="136" t="s">
        <v>11604</v>
      </c>
      <c r="L2042" s="136"/>
      <c r="M2042" s="136"/>
      <c r="N2042" s="136"/>
    </row>
    <row r="2043" spans="6:14">
      <c r="F2043" s="136" t="s">
        <v>11605</v>
      </c>
      <c r="G2043" s="136">
        <v>2040</v>
      </c>
      <c r="H2043" s="136" t="s">
        <v>11606</v>
      </c>
      <c r="I2043" s="136" t="s">
        <v>11607</v>
      </c>
      <c r="J2043" s="136" t="s">
        <v>11608</v>
      </c>
      <c r="L2043" s="136"/>
      <c r="M2043" s="136"/>
      <c r="N2043" s="136"/>
    </row>
    <row r="2044" spans="6:14">
      <c r="F2044" s="136" t="s">
        <v>11609</v>
      </c>
      <c r="G2044" s="136">
        <v>2041</v>
      </c>
      <c r="H2044" s="136" t="s">
        <v>5134</v>
      </c>
      <c r="I2044" s="136" t="s">
        <v>5135</v>
      </c>
      <c r="J2044" s="136" t="s">
        <v>11610</v>
      </c>
      <c r="L2044" s="136"/>
      <c r="M2044" s="136"/>
      <c r="N2044" s="136"/>
    </row>
    <row r="2045" spans="6:14">
      <c r="F2045" s="136" t="s">
        <v>11611</v>
      </c>
      <c r="G2045" s="136">
        <v>2042</v>
      </c>
      <c r="H2045" s="136" t="s">
        <v>2156</v>
      </c>
      <c r="I2045" s="136" t="s">
        <v>2157</v>
      </c>
      <c r="J2045" s="136" t="s">
        <v>11612</v>
      </c>
      <c r="L2045" s="136"/>
      <c r="M2045" s="136"/>
      <c r="N2045" s="136"/>
    </row>
    <row r="2046" spans="6:14">
      <c r="F2046" s="136" t="s">
        <v>11613</v>
      </c>
      <c r="G2046" s="136">
        <v>2043</v>
      </c>
      <c r="H2046" s="136" t="s">
        <v>1854</v>
      </c>
      <c r="I2046" s="136" t="s">
        <v>1855</v>
      </c>
      <c r="J2046" s="136" t="s">
        <v>11614</v>
      </c>
      <c r="L2046" s="136"/>
      <c r="M2046" s="136"/>
      <c r="N2046" s="136"/>
    </row>
    <row r="2047" spans="6:14">
      <c r="F2047" s="136" t="s">
        <v>11615</v>
      </c>
      <c r="G2047" s="136">
        <v>2044</v>
      </c>
      <c r="H2047" s="136" t="s">
        <v>546</v>
      </c>
      <c r="I2047" s="136" t="s">
        <v>547</v>
      </c>
      <c r="J2047" s="136" t="s">
        <v>11616</v>
      </c>
      <c r="L2047" s="136"/>
      <c r="M2047" s="136"/>
      <c r="N2047" s="136"/>
    </row>
    <row r="2048" spans="6:14">
      <c r="F2048" s="136" t="s">
        <v>11617</v>
      </c>
      <c r="G2048" s="136">
        <v>2045</v>
      </c>
      <c r="H2048" s="136" t="s">
        <v>11618</v>
      </c>
      <c r="I2048" s="136" t="s">
        <v>11619</v>
      </c>
      <c r="J2048" s="136" t="s">
        <v>11620</v>
      </c>
      <c r="L2048" s="136"/>
      <c r="M2048" s="136"/>
      <c r="N2048" s="136"/>
    </row>
    <row r="2049" spans="6:14">
      <c r="F2049" s="136" t="s">
        <v>11621</v>
      </c>
      <c r="G2049" s="136">
        <v>2046</v>
      </c>
      <c r="H2049" s="136" t="s">
        <v>5649</v>
      </c>
      <c r="I2049" s="136" t="s">
        <v>5650</v>
      </c>
      <c r="J2049" s="136" t="s">
        <v>11622</v>
      </c>
      <c r="L2049" s="136"/>
      <c r="M2049" s="136"/>
      <c r="N2049" s="136"/>
    </row>
    <row r="2050" spans="6:14">
      <c r="F2050" s="136" t="s">
        <v>11623</v>
      </c>
      <c r="G2050" s="136">
        <v>2047</v>
      </c>
      <c r="H2050" s="136" t="s">
        <v>11624</v>
      </c>
      <c r="I2050" s="136" t="s">
        <v>11625</v>
      </c>
      <c r="J2050" s="136" t="s">
        <v>11626</v>
      </c>
      <c r="L2050" s="136"/>
      <c r="M2050" s="136"/>
      <c r="N2050" s="136"/>
    </row>
    <row r="2051" spans="6:14">
      <c r="F2051" s="136" t="s">
        <v>11627</v>
      </c>
      <c r="G2051" s="136">
        <v>2048</v>
      </c>
      <c r="H2051" s="136" t="s">
        <v>11628</v>
      </c>
      <c r="I2051" s="136" t="s">
        <v>11629</v>
      </c>
      <c r="J2051" s="136" t="s">
        <v>11630</v>
      </c>
      <c r="L2051" s="136"/>
      <c r="M2051" s="136"/>
      <c r="N2051" s="136"/>
    </row>
    <row r="2052" spans="6:14">
      <c r="F2052" s="136" t="s">
        <v>11631</v>
      </c>
      <c r="G2052" s="136">
        <v>2049</v>
      </c>
      <c r="H2052" s="136" t="s">
        <v>11632</v>
      </c>
      <c r="I2052" s="136" t="s">
        <v>11633</v>
      </c>
      <c r="J2052" s="136" t="s">
        <v>11634</v>
      </c>
      <c r="L2052" s="136"/>
      <c r="M2052" s="136"/>
      <c r="N2052" s="136"/>
    </row>
    <row r="2053" spans="6:14">
      <c r="F2053" s="136" t="s">
        <v>11635</v>
      </c>
      <c r="G2053" s="136">
        <v>2050</v>
      </c>
      <c r="H2053" s="136" t="s">
        <v>11636</v>
      </c>
      <c r="I2053" s="136" t="s">
        <v>11637</v>
      </c>
      <c r="J2053" s="136" t="s">
        <v>11638</v>
      </c>
      <c r="L2053" s="136"/>
      <c r="M2053" s="136"/>
      <c r="N2053" s="136"/>
    </row>
    <row r="2054" spans="6:14">
      <c r="F2054" s="136" t="s">
        <v>11639</v>
      </c>
      <c r="G2054" s="136">
        <v>2051</v>
      </c>
      <c r="H2054" s="136" t="s">
        <v>4327</v>
      </c>
      <c r="I2054" s="136" t="s">
        <v>4328</v>
      </c>
      <c r="J2054" s="136" t="s">
        <v>11640</v>
      </c>
      <c r="L2054" s="136"/>
      <c r="M2054" s="136"/>
      <c r="N2054" s="136"/>
    </row>
    <row r="2055" spans="6:14">
      <c r="F2055" s="136" t="s">
        <v>11641</v>
      </c>
      <c r="G2055" s="136">
        <v>2052</v>
      </c>
      <c r="H2055" s="136" t="s">
        <v>11642</v>
      </c>
      <c r="I2055" s="136" t="s">
        <v>11643</v>
      </c>
      <c r="J2055" s="136" t="s">
        <v>11644</v>
      </c>
      <c r="L2055" s="136"/>
      <c r="M2055" s="136"/>
      <c r="N2055" s="136"/>
    </row>
    <row r="2056" spans="6:14">
      <c r="F2056" s="136" t="s">
        <v>11645</v>
      </c>
      <c r="G2056" s="136">
        <v>2053</v>
      </c>
      <c r="H2056" s="136" t="s">
        <v>2438</v>
      </c>
      <c r="I2056" s="136" t="s">
        <v>2438</v>
      </c>
      <c r="J2056" s="136" t="s">
        <v>11646</v>
      </c>
      <c r="L2056" s="136"/>
      <c r="M2056" s="136"/>
      <c r="N2056" s="136"/>
    </row>
    <row r="2057" spans="6:14">
      <c r="F2057" s="136" t="s">
        <v>11647</v>
      </c>
      <c r="G2057" s="136">
        <v>2054</v>
      </c>
      <c r="H2057" s="136" t="s">
        <v>1677</v>
      </c>
      <c r="I2057" s="136" t="s">
        <v>1678</v>
      </c>
      <c r="J2057" s="136" t="s">
        <v>11648</v>
      </c>
      <c r="L2057" s="136"/>
      <c r="M2057" s="136"/>
      <c r="N2057" s="136"/>
    </row>
    <row r="2058" spans="6:14">
      <c r="F2058" s="136" t="s">
        <v>11649</v>
      </c>
      <c r="G2058" s="136">
        <v>2055</v>
      </c>
      <c r="H2058" s="136" t="s">
        <v>4690</v>
      </c>
      <c r="I2058" s="136" t="s">
        <v>778</v>
      </c>
      <c r="J2058" s="136" t="s">
        <v>11650</v>
      </c>
      <c r="L2058" s="136"/>
      <c r="M2058" s="136"/>
      <c r="N2058" s="136"/>
    </row>
    <row r="2059" spans="6:14">
      <c r="F2059" s="136" t="s">
        <v>11651</v>
      </c>
      <c r="G2059" s="136">
        <v>2056</v>
      </c>
      <c r="H2059" s="136" t="s">
        <v>777</v>
      </c>
      <c r="I2059" s="136" t="s">
        <v>778</v>
      </c>
      <c r="J2059" s="136" t="s">
        <v>11652</v>
      </c>
      <c r="L2059" s="136"/>
      <c r="M2059" s="136"/>
      <c r="N2059" s="136"/>
    </row>
    <row r="2060" spans="6:14">
      <c r="F2060" s="136" t="s">
        <v>11653</v>
      </c>
      <c r="G2060" s="136">
        <v>2057</v>
      </c>
      <c r="H2060" s="136" t="s">
        <v>11654</v>
      </c>
      <c r="I2060" s="136" t="s">
        <v>11655</v>
      </c>
      <c r="J2060" s="136" t="s">
        <v>11656</v>
      </c>
      <c r="L2060" s="136"/>
      <c r="M2060" s="136"/>
      <c r="N2060" s="136"/>
    </row>
    <row r="2061" spans="6:14">
      <c r="F2061" s="136" t="s">
        <v>11657</v>
      </c>
      <c r="G2061" s="136">
        <v>2058</v>
      </c>
      <c r="H2061" s="136" t="s">
        <v>11658</v>
      </c>
      <c r="I2061" s="136" t="s">
        <v>11659</v>
      </c>
      <c r="J2061" s="136" t="s">
        <v>11660</v>
      </c>
      <c r="L2061" s="136"/>
      <c r="M2061" s="136"/>
      <c r="N2061" s="136"/>
    </row>
    <row r="2062" spans="6:14">
      <c r="F2062" s="136" t="s">
        <v>11661</v>
      </c>
      <c r="G2062" s="136">
        <v>2059</v>
      </c>
      <c r="H2062" s="136" t="s">
        <v>11662</v>
      </c>
      <c r="I2062" s="136" t="s">
        <v>11663</v>
      </c>
      <c r="J2062" s="136" t="s">
        <v>11664</v>
      </c>
      <c r="L2062" s="136"/>
      <c r="M2062" s="136"/>
      <c r="N2062" s="136"/>
    </row>
    <row r="2063" spans="6:14">
      <c r="F2063" s="136" t="s">
        <v>11665</v>
      </c>
      <c r="G2063" s="136">
        <v>2060</v>
      </c>
      <c r="H2063" s="136" t="s">
        <v>11666</v>
      </c>
      <c r="I2063" s="136" t="s">
        <v>11667</v>
      </c>
      <c r="J2063" s="136" t="s">
        <v>11668</v>
      </c>
      <c r="L2063" s="136"/>
      <c r="M2063" s="136"/>
      <c r="N2063" s="136"/>
    </row>
    <row r="2064" spans="6:14">
      <c r="F2064" s="136" t="s">
        <v>11669</v>
      </c>
      <c r="G2064" s="136">
        <v>2061</v>
      </c>
      <c r="H2064" s="136" t="s">
        <v>2358</v>
      </c>
      <c r="I2064" s="136" t="s">
        <v>2359</v>
      </c>
      <c r="J2064" s="136" t="s">
        <v>11670</v>
      </c>
      <c r="L2064" s="136"/>
      <c r="M2064" s="136"/>
      <c r="N2064" s="136"/>
    </row>
    <row r="2065" spans="6:14">
      <c r="F2065" s="136" t="s">
        <v>11671</v>
      </c>
      <c r="G2065" s="136">
        <v>2062</v>
      </c>
      <c r="H2065" s="136" t="s">
        <v>4543</v>
      </c>
      <c r="I2065" s="136" t="s">
        <v>4544</v>
      </c>
      <c r="J2065" s="136" t="s">
        <v>11672</v>
      </c>
      <c r="L2065" s="136"/>
      <c r="M2065" s="136"/>
      <c r="N2065" s="136"/>
    </row>
    <row r="2066" spans="6:14">
      <c r="F2066" s="136" t="s">
        <v>11673</v>
      </c>
      <c r="G2066" s="136">
        <v>2063</v>
      </c>
      <c r="H2066" s="136" t="s">
        <v>11674</v>
      </c>
      <c r="I2066" s="136" t="s">
        <v>11675</v>
      </c>
      <c r="J2066" s="136" t="s">
        <v>11676</v>
      </c>
      <c r="L2066" s="136"/>
      <c r="M2066" s="136"/>
      <c r="N2066" s="136"/>
    </row>
    <row r="2067" spans="6:14">
      <c r="F2067" s="136" t="s">
        <v>11677</v>
      </c>
      <c r="G2067" s="136">
        <v>2064</v>
      </c>
      <c r="H2067" s="136" t="s">
        <v>4615</v>
      </c>
      <c r="I2067" s="136" t="s">
        <v>4616</v>
      </c>
      <c r="J2067" s="136" t="s">
        <v>11678</v>
      </c>
      <c r="L2067" s="136"/>
      <c r="M2067" s="136"/>
      <c r="N2067" s="136"/>
    </row>
    <row r="2068" spans="6:14">
      <c r="F2068" s="136" t="s">
        <v>11679</v>
      </c>
      <c r="G2068" s="136">
        <v>2065</v>
      </c>
      <c r="H2068" s="136" t="s">
        <v>4936</v>
      </c>
      <c r="I2068" s="136" t="s">
        <v>4544</v>
      </c>
      <c r="J2068" s="136" t="s">
        <v>11680</v>
      </c>
      <c r="L2068" s="136"/>
      <c r="M2068" s="136"/>
      <c r="N2068" s="136"/>
    </row>
    <row r="2069" spans="6:14">
      <c r="F2069" s="136" t="s">
        <v>11681</v>
      </c>
      <c r="G2069" s="136">
        <v>2066</v>
      </c>
      <c r="H2069" s="136" t="s">
        <v>4716</v>
      </c>
      <c r="I2069" s="136" t="s">
        <v>4717</v>
      </c>
      <c r="J2069" s="136" t="s">
        <v>11682</v>
      </c>
      <c r="L2069" s="136"/>
      <c r="M2069" s="136"/>
      <c r="N2069" s="136"/>
    </row>
    <row r="2070" spans="6:14">
      <c r="F2070" s="136" t="s">
        <v>11683</v>
      </c>
      <c r="G2070" s="136">
        <v>2067</v>
      </c>
      <c r="H2070" s="136" t="s">
        <v>11684</v>
      </c>
      <c r="I2070" s="136" t="s">
        <v>11685</v>
      </c>
      <c r="J2070" s="136" t="s">
        <v>11686</v>
      </c>
      <c r="L2070" s="136"/>
      <c r="M2070" s="136"/>
      <c r="N2070" s="136"/>
    </row>
    <row r="2071" spans="6:14">
      <c r="F2071" s="136" t="s">
        <v>11687</v>
      </c>
      <c r="G2071" s="136">
        <v>2068</v>
      </c>
      <c r="H2071" s="136" t="s">
        <v>11688</v>
      </c>
      <c r="I2071" s="136" t="s">
        <v>11688</v>
      </c>
      <c r="J2071" s="136" t="s">
        <v>11689</v>
      </c>
      <c r="L2071" s="136"/>
      <c r="M2071" s="136"/>
      <c r="N2071" s="136"/>
    </row>
    <row r="2072" spans="6:14">
      <c r="F2072" s="136" t="s">
        <v>11690</v>
      </c>
      <c r="G2072" s="136">
        <v>2069</v>
      </c>
      <c r="H2072" s="136" t="s">
        <v>6195</v>
      </c>
      <c r="I2072" s="136" t="s">
        <v>6196</v>
      </c>
      <c r="J2072" s="136" t="s">
        <v>11691</v>
      </c>
      <c r="L2072" s="136"/>
      <c r="M2072" s="136"/>
      <c r="N2072" s="136"/>
    </row>
    <row r="2073" spans="6:14">
      <c r="F2073" s="136" t="s">
        <v>11692</v>
      </c>
      <c r="G2073" s="136">
        <v>2070</v>
      </c>
      <c r="H2073" s="136" t="s">
        <v>2480</v>
      </c>
      <c r="I2073" s="136" t="s">
        <v>2481</v>
      </c>
      <c r="J2073" s="136" t="s">
        <v>11693</v>
      </c>
      <c r="L2073" s="136"/>
      <c r="M2073" s="136"/>
      <c r="N2073" s="136"/>
    </row>
    <row r="2074" spans="6:14">
      <c r="F2074" s="136" t="s">
        <v>11694</v>
      </c>
      <c r="G2074" s="136">
        <v>2071</v>
      </c>
      <c r="H2074" s="136" t="s">
        <v>706</v>
      </c>
      <c r="I2074" s="136" t="s">
        <v>707</v>
      </c>
      <c r="J2074" s="136" t="s">
        <v>11695</v>
      </c>
      <c r="L2074" s="136"/>
      <c r="M2074" s="136"/>
      <c r="N2074" s="136"/>
    </row>
    <row r="2075" spans="6:14">
      <c r="F2075" s="136" t="s">
        <v>11696</v>
      </c>
      <c r="G2075" s="136">
        <v>2072</v>
      </c>
      <c r="H2075" s="136" t="s">
        <v>11697</v>
      </c>
      <c r="I2075" s="136" t="s">
        <v>11698</v>
      </c>
      <c r="J2075" s="136" t="s">
        <v>11699</v>
      </c>
      <c r="L2075" s="136"/>
      <c r="M2075" s="136"/>
      <c r="N2075" s="136"/>
    </row>
    <row r="2076" spans="6:14">
      <c r="F2076" s="136" t="s">
        <v>11700</v>
      </c>
      <c r="G2076" s="136">
        <v>2073</v>
      </c>
      <c r="H2076" s="136" t="s">
        <v>2581</v>
      </c>
      <c r="I2076" s="136" t="s">
        <v>2582</v>
      </c>
      <c r="J2076" s="136" t="s">
        <v>11701</v>
      </c>
      <c r="L2076" s="136"/>
      <c r="M2076" s="136"/>
      <c r="N2076" s="136"/>
    </row>
    <row r="2077" spans="6:14">
      <c r="F2077" s="136" t="s">
        <v>11702</v>
      </c>
      <c r="G2077" s="136">
        <v>2074</v>
      </c>
      <c r="H2077" s="136" t="s">
        <v>510</v>
      </c>
      <c r="I2077" s="136" t="s">
        <v>511</v>
      </c>
      <c r="J2077" s="136" t="s">
        <v>11703</v>
      </c>
      <c r="L2077" s="136"/>
      <c r="M2077" s="136"/>
      <c r="N2077" s="136"/>
    </row>
    <row r="2078" spans="6:14">
      <c r="F2078" s="136" t="s">
        <v>11704</v>
      </c>
      <c r="G2078" s="136">
        <v>2075</v>
      </c>
      <c r="H2078" s="136" t="s">
        <v>362</v>
      </c>
      <c r="I2078" s="136" t="s">
        <v>363</v>
      </c>
      <c r="J2078" s="136" t="s">
        <v>11705</v>
      </c>
      <c r="L2078" s="136"/>
      <c r="M2078" s="136"/>
      <c r="N2078" s="136"/>
    </row>
    <row r="2079" spans="6:14">
      <c r="F2079" s="136" t="s">
        <v>11706</v>
      </c>
      <c r="G2079" s="136">
        <v>2076</v>
      </c>
      <c r="H2079" s="136" t="s">
        <v>11707</v>
      </c>
      <c r="I2079" s="136" t="s">
        <v>11708</v>
      </c>
      <c r="J2079" s="136" t="s">
        <v>11709</v>
      </c>
      <c r="L2079" s="136"/>
      <c r="M2079" s="136"/>
      <c r="N2079" s="136"/>
    </row>
    <row r="2080" spans="6:14">
      <c r="F2080" s="136" t="s">
        <v>11710</v>
      </c>
      <c r="G2080" s="136">
        <v>2077</v>
      </c>
      <c r="H2080" s="136" t="s">
        <v>1709</v>
      </c>
      <c r="I2080" s="136" t="s">
        <v>1710</v>
      </c>
      <c r="J2080" s="136" t="s">
        <v>11711</v>
      </c>
      <c r="L2080" s="136"/>
      <c r="M2080" s="136"/>
      <c r="N2080" s="136"/>
    </row>
    <row r="2081" spans="6:14">
      <c r="F2081" s="136" t="s">
        <v>11712</v>
      </c>
      <c r="G2081" s="136">
        <v>2078</v>
      </c>
      <c r="H2081" s="136" t="s">
        <v>799</v>
      </c>
      <c r="I2081" s="136" t="s">
        <v>800</v>
      </c>
      <c r="J2081" s="136" t="s">
        <v>11713</v>
      </c>
      <c r="L2081" s="136"/>
      <c r="M2081" s="136"/>
      <c r="N2081" s="136"/>
    </row>
    <row r="2082" spans="6:14">
      <c r="F2082" s="136" t="s">
        <v>11714</v>
      </c>
      <c r="G2082" s="136">
        <v>2079</v>
      </c>
      <c r="H2082" s="136" t="s">
        <v>4412</v>
      </c>
      <c r="I2082" s="136" t="s">
        <v>4413</v>
      </c>
      <c r="J2082" s="136" t="s">
        <v>11715</v>
      </c>
      <c r="L2082" s="136"/>
      <c r="M2082" s="136"/>
      <c r="N2082" s="136"/>
    </row>
    <row r="2083" spans="6:14">
      <c r="F2083" s="136" t="s">
        <v>11716</v>
      </c>
      <c r="G2083" s="136">
        <v>2080</v>
      </c>
      <c r="H2083" s="136" t="s">
        <v>11717</v>
      </c>
      <c r="I2083" s="136" t="s">
        <v>11718</v>
      </c>
      <c r="J2083" s="136" t="s">
        <v>11719</v>
      </c>
      <c r="L2083" s="136"/>
      <c r="M2083" s="136"/>
      <c r="N2083" s="136"/>
    </row>
    <row r="2084" spans="6:14">
      <c r="F2084" s="136" t="s">
        <v>11720</v>
      </c>
      <c r="G2084" s="136">
        <v>2081</v>
      </c>
      <c r="H2084" s="136" t="s">
        <v>3197</v>
      </c>
      <c r="I2084" s="136" t="s">
        <v>3198</v>
      </c>
      <c r="J2084" s="136" t="s">
        <v>11721</v>
      </c>
      <c r="L2084" s="136"/>
      <c r="M2084" s="136"/>
      <c r="N2084" s="136"/>
    </row>
    <row r="2085" spans="6:14">
      <c r="F2085" s="136" t="s">
        <v>11722</v>
      </c>
      <c r="G2085" s="136">
        <v>2082</v>
      </c>
      <c r="H2085" s="136" t="s">
        <v>231</v>
      </c>
      <c r="I2085" s="136" t="s">
        <v>232</v>
      </c>
      <c r="J2085" s="136" t="s">
        <v>11723</v>
      </c>
      <c r="L2085" s="136"/>
      <c r="M2085" s="136"/>
      <c r="N2085" s="136"/>
    </row>
    <row r="2086" spans="6:14">
      <c r="F2086" s="136" t="s">
        <v>11724</v>
      </c>
      <c r="G2086" s="136">
        <v>2083</v>
      </c>
      <c r="H2086" s="136" t="s">
        <v>4862</v>
      </c>
      <c r="I2086" s="136" t="s">
        <v>4863</v>
      </c>
      <c r="J2086" s="136" t="s">
        <v>11725</v>
      </c>
      <c r="L2086" s="136"/>
      <c r="M2086" s="136"/>
      <c r="N2086" s="136"/>
    </row>
    <row r="2087" spans="6:14">
      <c r="F2087" s="136" t="s">
        <v>11726</v>
      </c>
      <c r="G2087" s="136">
        <v>2084</v>
      </c>
      <c r="H2087" s="136" t="s">
        <v>11727</v>
      </c>
      <c r="I2087" s="136" t="s">
        <v>11728</v>
      </c>
      <c r="J2087" s="136" t="s">
        <v>11729</v>
      </c>
      <c r="L2087" s="136"/>
      <c r="M2087" s="136"/>
      <c r="N2087" s="136"/>
    </row>
    <row r="2088" spans="6:14">
      <c r="F2088" s="136" t="s">
        <v>11730</v>
      </c>
      <c r="G2088" s="136">
        <v>2085</v>
      </c>
      <c r="H2088" s="136" t="s">
        <v>2477</v>
      </c>
      <c r="I2088" s="136" t="s">
        <v>2478</v>
      </c>
      <c r="J2088" s="136" t="s">
        <v>11731</v>
      </c>
      <c r="L2088" s="136"/>
      <c r="M2088" s="136"/>
      <c r="N2088" s="136"/>
    </row>
    <row r="2089" spans="6:14">
      <c r="F2089" s="136" t="s">
        <v>11732</v>
      </c>
      <c r="G2089" s="136">
        <v>2086</v>
      </c>
      <c r="H2089" s="136" t="s">
        <v>11733</v>
      </c>
      <c r="I2089" s="136" t="s">
        <v>11734</v>
      </c>
      <c r="J2089" s="136" t="s">
        <v>11735</v>
      </c>
      <c r="L2089" s="136"/>
      <c r="M2089" s="136"/>
      <c r="N2089" s="136"/>
    </row>
    <row r="2090" spans="6:14">
      <c r="F2090" s="136" t="s">
        <v>11736</v>
      </c>
      <c r="G2090" s="136">
        <v>2087</v>
      </c>
      <c r="H2090" s="136" t="s">
        <v>1305</v>
      </c>
      <c r="I2090" s="136" t="s">
        <v>1306</v>
      </c>
      <c r="J2090" s="136" t="s">
        <v>11737</v>
      </c>
      <c r="L2090" s="136"/>
      <c r="M2090" s="136"/>
      <c r="N2090" s="136"/>
    </row>
    <row r="2091" spans="6:14">
      <c r="F2091" s="136" t="s">
        <v>11738</v>
      </c>
      <c r="G2091" s="136">
        <v>2088</v>
      </c>
      <c r="H2091" s="136" t="s">
        <v>620</v>
      </c>
      <c r="I2091" s="136" t="s">
        <v>621</v>
      </c>
      <c r="J2091" s="136" t="s">
        <v>11739</v>
      </c>
      <c r="L2091" s="136"/>
      <c r="M2091" s="136"/>
      <c r="N2091" s="136"/>
    </row>
    <row r="2092" spans="6:14">
      <c r="F2092" s="136" t="s">
        <v>11740</v>
      </c>
      <c r="G2092" s="136">
        <v>2089</v>
      </c>
      <c r="H2092" s="136" t="s">
        <v>2931</v>
      </c>
      <c r="I2092" s="136" t="s">
        <v>2933</v>
      </c>
      <c r="J2092" s="136" t="s">
        <v>11741</v>
      </c>
      <c r="L2092" s="136"/>
      <c r="M2092" s="136"/>
      <c r="N2092" s="136"/>
    </row>
    <row r="2093" spans="6:14">
      <c r="F2093" s="136" t="s">
        <v>11742</v>
      </c>
      <c r="G2093" s="136">
        <v>2090</v>
      </c>
      <c r="H2093" s="136" t="s">
        <v>6195</v>
      </c>
      <c r="I2093" s="136" t="s">
        <v>6197</v>
      </c>
      <c r="J2093" s="136" t="s">
        <v>11743</v>
      </c>
      <c r="L2093" s="136"/>
      <c r="M2093" s="136"/>
      <c r="N2093" s="136"/>
    </row>
    <row r="2094" spans="6:14">
      <c r="F2094" s="136" t="s">
        <v>11744</v>
      </c>
      <c r="G2094" s="136">
        <v>2091</v>
      </c>
      <c r="H2094" s="136" t="s">
        <v>4545</v>
      </c>
      <c r="I2094" s="136" t="s">
        <v>4546</v>
      </c>
      <c r="J2094" s="136" t="s">
        <v>11745</v>
      </c>
      <c r="L2094" s="136"/>
      <c r="M2094" s="136"/>
      <c r="N2094" s="136"/>
    </row>
    <row r="2095" spans="6:14">
      <c r="F2095" s="136" t="s">
        <v>11746</v>
      </c>
      <c r="G2095" s="136">
        <v>2092</v>
      </c>
      <c r="H2095" s="136" t="s">
        <v>5373</v>
      </c>
      <c r="I2095" s="136" t="s">
        <v>5374</v>
      </c>
      <c r="J2095" s="136" t="s">
        <v>11747</v>
      </c>
      <c r="L2095" s="136"/>
      <c r="M2095" s="136"/>
      <c r="N2095" s="136"/>
    </row>
    <row r="2096" spans="6:14">
      <c r="F2096" s="136" t="s">
        <v>11748</v>
      </c>
      <c r="G2096" s="136">
        <v>2093</v>
      </c>
      <c r="H2096" s="136" t="s">
        <v>533</v>
      </c>
      <c r="I2096" s="136" t="s">
        <v>533</v>
      </c>
      <c r="J2096" s="136" t="s">
        <v>11749</v>
      </c>
      <c r="L2096" s="136"/>
      <c r="M2096" s="136"/>
      <c r="N2096" s="136"/>
    </row>
    <row r="2097" spans="6:14">
      <c r="F2097" s="136" t="s">
        <v>11750</v>
      </c>
      <c r="G2097" s="136">
        <v>2094</v>
      </c>
      <c r="H2097" s="136" t="s">
        <v>668</v>
      </c>
      <c r="I2097" s="136" t="s">
        <v>669</v>
      </c>
      <c r="J2097" s="136" t="s">
        <v>11751</v>
      </c>
      <c r="L2097" s="136"/>
      <c r="M2097" s="136"/>
      <c r="N2097" s="136"/>
    </row>
    <row r="2098" spans="6:14">
      <c r="F2098" s="136" t="s">
        <v>11752</v>
      </c>
      <c r="G2098" s="136">
        <v>2095</v>
      </c>
      <c r="H2098" s="136" t="s">
        <v>3898</v>
      </c>
      <c r="I2098" s="136" t="s">
        <v>3899</v>
      </c>
      <c r="J2098" s="136" t="s">
        <v>11753</v>
      </c>
      <c r="L2098" s="136"/>
      <c r="M2098" s="136"/>
      <c r="N2098" s="136"/>
    </row>
    <row r="2099" spans="6:14">
      <c r="F2099" s="136" t="s">
        <v>11754</v>
      </c>
      <c r="G2099" s="136">
        <v>2096</v>
      </c>
      <c r="H2099" s="136" t="s">
        <v>11755</v>
      </c>
      <c r="I2099" s="136" t="s">
        <v>11756</v>
      </c>
      <c r="J2099" s="136" t="s">
        <v>11757</v>
      </c>
      <c r="L2099" s="136"/>
      <c r="M2099" s="136"/>
      <c r="N2099" s="136"/>
    </row>
    <row r="2100" spans="6:14">
      <c r="F2100" s="136" t="s">
        <v>11758</v>
      </c>
      <c r="G2100" s="136">
        <v>2097</v>
      </c>
      <c r="H2100" s="136" t="s">
        <v>3769</v>
      </c>
      <c r="I2100" s="136" t="s">
        <v>3770</v>
      </c>
      <c r="J2100" s="136" t="s">
        <v>11759</v>
      </c>
      <c r="L2100" s="136"/>
      <c r="M2100" s="136"/>
      <c r="N2100" s="136"/>
    </row>
    <row r="2101" spans="6:14">
      <c r="F2101" s="136" t="s">
        <v>11760</v>
      </c>
      <c r="G2101" s="136">
        <v>2098</v>
      </c>
      <c r="H2101" s="136" t="s">
        <v>716</v>
      </c>
      <c r="I2101" s="136" t="s">
        <v>717</v>
      </c>
      <c r="J2101" s="136" t="s">
        <v>11761</v>
      </c>
      <c r="L2101" s="136"/>
      <c r="M2101" s="136"/>
      <c r="N2101" s="136"/>
    </row>
    <row r="2102" spans="6:14">
      <c r="F2102" s="136" t="s">
        <v>11762</v>
      </c>
      <c r="G2102" s="136">
        <v>2099</v>
      </c>
      <c r="H2102" s="136" t="s">
        <v>11763</v>
      </c>
      <c r="I2102" s="136" t="s">
        <v>11764</v>
      </c>
      <c r="J2102" s="136" t="s">
        <v>11765</v>
      </c>
      <c r="L2102" s="136"/>
      <c r="M2102" s="136"/>
      <c r="N2102" s="136"/>
    </row>
    <row r="2103" spans="6:14">
      <c r="F2103" s="136" t="s">
        <v>11766</v>
      </c>
      <c r="G2103" s="136">
        <v>2100</v>
      </c>
      <c r="H2103" s="136" t="s">
        <v>11767</v>
      </c>
      <c r="I2103" s="136" t="s">
        <v>11768</v>
      </c>
      <c r="J2103" s="136" t="s">
        <v>11769</v>
      </c>
      <c r="L2103" s="136"/>
      <c r="M2103" s="136"/>
      <c r="N2103" s="136"/>
    </row>
    <row r="2104" spans="6:14">
      <c r="F2104" s="136" t="s">
        <v>11770</v>
      </c>
      <c r="G2104" s="136">
        <v>2101</v>
      </c>
      <c r="H2104" s="136" t="s">
        <v>11771</v>
      </c>
      <c r="I2104" s="136" t="s">
        <v>11772</v>
      </c>
      <c r="J2104" s="136" t="s">
        <v>11773</v>
      </c>
      <c r="L2104" s="136"/>
      <c r="M2104" s="136"/>
      <c r="N2104" s="136"/>
    </row>
    <row r="2105" spans="6:14">
      <c r="F2105" s="136" t="s">
        <v>11774</v>
      </c>
      <c r="G2105" s="136">
        <v>2102</v>
      </c>
      <c r="H2105" s="136" t="s">
        <v>3410</v>
      </c>
      <c r="I2105" s="136" t="s">
        <v>3411</v>
      </c>
      <c r="J2105" s="136" t="s">
        <v>11775</v>
      </c>
      <c r="L2105" s="136"/>
      <c r="M2105" s="136"/>
      <c r="N2105" s="136"/>
    </row>
    <row r="2106" spans="6:14">
      <c r="F2106" s="136" t="s">
        <v>11776</v>
      </c>
      <c r="G2106" s="136">
        <v>2103</v>
      </c>
      <c r="H2106" s="136" t="s">
        <v>4972</v>
      </c>
      <c r="I2106" s="136" t="s">
        <v>4973</v>
      </c>
      <c r="J2106" s="136" t="s">
        <v>11777</v>
      </c>
      <c r="L2106" s="136"/>
      <c r="M2106" s="136"/>
      <c r="N2106" s="136"/>
    </row>
    <row r="2107" spans="6:14">
      <c r="F2107" s="136" t="s">
        <v>11778</v>
      </c>
      <c r="G2107" s="136">
        <v>2104</v>
      </c>
      <c r="H2107" s="136" t="s">
        <v>11779</v>
      </c>
      <c r="I2107" s="136" t="s">
        <v>11780</v>
      </c>
      <c r="J2107" s="136" t="s">
        <v>11781</v>
      </c>
      <c r="L2107" s="136"/>
      <c r="M2107" s="136"/>
      <c r="N2107" s="136"/>
    </row>
    <row r="2108" spans="6:14">
      <c r="F2108" s="136" t="s">
        <v>11782</v>
      </c>
      <c r="G2108" s="136">
        <v>2105</v>
      </c>
      <c r="H2108" s="136" t="s">
        <v>1131</v>
      </c>
      <c r="I2108" s="136" t="s">
        <v>1132</v>
      </c>
      <c r="J2108" s="136" t="s">
        <v>11783</v>
      </c>
      <c r="L2108" s="136"/>
      <c r="M2108" s="136"/>
      <c r="N2108" s="136"/>
    </row>
    <row r="2109" spans="6:14">
      <c r="F2109" s="136" t="s">
        <v>11784</v>
      </c>
      <c r="G2109" s="136">
        <v>2106</v>
      </c>
      <c r="H2109" s="136" t="s">
        <v>1156</v>
      </c>
      <c r="I2109" s="136" t="s">
        <v>1157</v>
      </c>
      <c r="J2109" s="136" t="s">
        <v>11785</v>
      </c>
      <c r="L2109" s="136"/>
      <c r="M2109" s="136"/>
      <c r="N2109" s="136"/>
    </row>
    <row r="2110" spans="6:14">
      <c r="F2110" s="136" t="s">
        <v>11786</v>
      </c>
      <c r="G2110" s="136">
        <v>2107</v>
      </c>
      <c r="H2110" s="136" t="s">
        <v>11787</v>
      </c>
      <c r="I2110" s="136" t="s">
        <v>11788</v>
      </c>
      <c r="J2110" s="136" t="s">
        <v>11789</v>
      </c>
      <c r="L2110" s="136"/>
      <c r="M2110" s="136"/>
      <c r="N2110" s="136"/>
    </row>
    <row r="2111" spans="6:14">
      <c r="F2111" s="136" t="s">
        <v>11790</v>
      </c>
      <c r="G2111" s="136">
        <v>2108</v>
      </c>
      <c r="H2111" s="136" t="s">
        <v>11791</v>
      </c>
      <c r="I2111" s="136" t="s">
        <v>11792</v>
      </c>
      <c r="J2111" s="136" t="s">
        <v>11793</v>
      </c>
      <c r="L2111" s="136"/>
      <c r="M2111" s="136"/>
      <c r="N2111" s="136"/>
    </row>
    <row r="2112" spans="6:14">
      <c r="F2112" s="136" t="s">
        <v>11794</v>
      </c>
      <c r="G2112" s="136">
        <v>2109</v>
      </c>
      <c r="H2112" s="136" t="s">
        <v>11795</v>
      </c>
      <c r="I2112" s="136" t="s">
        <v>11796</v>
      </c>
      <c r="J2112" s="136" t="s">
        <v>11797</v>
      </c>
      <c r="L2112" s="136"/>
      <c r="M2112" s="136"/>
      <c r="N2112" s="136"/>
    </row>
    <row r="2113" spans="6:14">
      <c r="F2113" s="136" t="s">
        <v>11798</v>
      </c>
      <c r="G2113" s="136">
        <v>2110</v>
      </c>
      <c r="H2113" s="136" t="s">
        <v>4949</v>
      </c>
      <c r="I2113" s="136" t="s">
        <v>4950</v>
      </c>
      <c r="J2113" s="136" t="s">
        <v>11799</v>
      </c>
      <c r="L2113" s="136"/>
      <c r="M2113" s="136"/>
      <c r="N2113" s="136"/>
    </row>
    <row r="2114" spans="6:14">
      <c r="F2114" s="136" t="s">
        <v>11800</v>
      </c>
      <c r="G2114" s="136">
        <v>2111</v>
      </c>
      <c r="H2114" s="136" t="s">
        <v>11801</v>
      </c>
      <c r="I2114" s="136" t="s">
        <v>11802</v>
      </c>
      <c r="J2114" s="136" t="s">
        <v>11803</v>
      </c>
      <c r="L2114" s="136"/>
      <c r="M2114" s="136"/>
      <c r="N2114" s="136"/>
    </row>
    <row r="2115" spans="6:14">
      <c r="F2115" s="136" t="s">
        <v>11804</v>
      </c>
      <c r="G2115" s="136">
        <v>2112</v>
      </c>
      <c r="H2115" s="136" t="s">
        <v>4949</v>
      </c>
      <c r="I2115" s="136" t="s">
        <v>4951</v>
      </c>
      <c r="J2115" s="136" t="s">
        <v>11805</v>
      </c>
      <c r="L2115" s="136"/>
      <c r="M2115" s="136"/>
      <c r="N2115" s="136"/>
    </row>
    <row r="2116" spans="6:14">
      <c r="F2116" s="136" t="s">
        <v>11806</v>
      </c>
      <c r="G2116" s="136">
        <v>2113</v>
      </c>
      <c r="H2116" s="136" t="s">
        <v>11807</v>
      </c>
      <c r="I2116" s="136" t="s">
        <v>11808</v>
      </c>
      <c r="J2116" s="136" t="s">
        <v>11809</v>
      </c>
      <c r="L2116" s="136"/>
      <c r="M2116" s="136"/>
      <c r="N2116" s="136"/>
    </row>
    <row r="2117" spans="6:14">
      <c r="F2117" s="136" t="s">
        <v>11810</v>
      </c>
      <c r="G2117" s="136">
        <v>2114</v>
      </c>
      <c r="H2117" s="136" t="s">
        <v>11811</v>
      </c>
      <c r="I2117" s="136" t="s">
        <v>11812</v>
      </c>
      <c r="J2117" s="136" t="s">
        <v>11813</v>
      </c>
      <c r="L2117" s="136"/>
      <c r="M2117" s="136"/>
      <c r="N2117" s="136"/>
    </row>
    <row r="2118" spans="6:14">
      <c r="F2118" s="136" t="s">
        <v>11814</v>
      </c>
      <c r="G2118" s="136">
        <v>2115</v>
      </c>
      <c r="H2118" s="136" t="s">
        <v>11815</v>
      </c>
      <c r="I2118" s="136" t="s">
        <v>11816</v>
      </c>
      <c r="J2118" s="136" t="s">
        <v>11817</v>
      </c>
      <c r="L2118" s="136"/>
      <c r="M2118" s="136"/>
      <c r="N2118" s="136"/>
    </row>
    <row r="2119" spans="6:14">
      <c r="F2119" s="136" t="s">
        <v>11818</v>
      </c>
      <c r="G2119" s="136">
        <v>2116</v>
      </c>
      <c r="H2119" s="136" t="s">
        <v>2587</v>
      </c>
      <c r="I2119" s="136" t="s">
        <v>2590</v>
      </c>
      <c r="J2119" s="136" t="s">
        <v>11819</v>
      </c>
      <c r="L2119" s="136"/>
      <c r="M2119" s="136"/>
      <c r="N2119" s="136"/>
    </row>
    <row r="2120" spans="6:14">
      <c r="F2120" s="136" t="s">
        <v>11820</v>
      </c>
      <c r="G2120" s="136">
        <v>2117</v>
      </c>
      <c r="H2120" s="136" t="s">
        <v>3041</v>
      </c>
      <c r="I2120" s="136" t="s">
        <v>3042</v>
      </c>
      <c r="J2120" s="136" t="s">
        <v>11821</v>
      </c>
      <c r="L2120" s="136"/>
      <c r="M2120" s="136"/>
      <c r="N2120" s="136"/>
    </row>
    <row r="2121" spans="6:14">
      <c r="F2121" s="136" t="s">
        <v>11822</v>
      </c>
      <c r="G2121" s="136">
        <v>2118</v>
      </c>
      <c r="H2121" s="136" t="s">
        <v>11823</v>
      </c>
      <c r="I2121" s="136" t="s">
        <v>11824</v>
      </c>
      <c r="J2121" s="136" t="s">
        <v>11825</v>
      </c>
      <c r="L2121" s="136"/>
      <c r="M2121" s="136"/>
      <c r="N2121" s="136"/>
    </row>
    <row r="2122" spans="6:14">
      <c r="F2122" s="136" t="s">
        <v>11826</v>
      </c>
      <c r="G2122" s="136">
        <v>2119</v>
      </c>
      <c r="H2122" s="136" t="s">
        <v>4317</v>
      </c>
      <c r="I2122" s="136" t="s">
        <v>4318</v>
      </c>
      <c r="J2122" s="136" t="s">
        <v>11827</v>
      </c>
      <c r="L2122" s="136"/>
      <c r="M2122" s="136"/>
      <c r="N2122" s="136"/>
    </row>
    <row r="2123" spans="6:14">
      <c r="F2123" s="136" t="s">
        <v>11828</v>
      </c>
      <c r="G2123" s="136">
        <v>2120</v>
      </c>
      <c r="H2123" s="136" t="s">
        <v>11829</v>
      </c>
      <c r="I2123" s="136" t="s">
        <v>11830</v>
      </c>
      <c r="J2123" s="136" t="s">
        <v>11831</v>
      </c>
      <c r="L2123" s="136"/>
      <c r="M2123" s="136"/>
      <c r="N2123" s="136"/>
    </row>
    <row r="2124" spans="6:14">
      <c r="F2124" s="136" t="s">
        <v>11832</v>
      </c>
      <c r="G2124" s="136">
        <v>2121</v>
      </c>
      <c r="H2124" s="136" t="s">
        <v>11833</v>
      </c>
      <c r="I2124" s="136" t="s">
        <v>11833</v>
      </c>
      <c r="J2124" s="136" t="s">
        <v>11834</v>
      </c>
      <c r="L2124" s="136"/>
      <c r="M2124" s="136"/>
      <c r="N2124" s="136"/>
    </row>
    <row r="2125" spans="6:14">
      <c r="F2125" s="136" t="s">
        <v>11835</v>
      </c>
      <c r="G2125" s="136">
        <v>2122</v>
      </c>
      <c r="H2125" s="136" t="s">
        <v>522</v>
      </c>
      <c r="I2125" s="136" t="s">
        <v>523</v>
      </c>
      <c r="J2125" s="136" t="s">
        <v>11836</v>
      </c>
      <c r="L2125" s="136"/>
      <c r="M2125" s="136"/>
      <c r="N2125" s="136"/>
    </row>
    <row r="2126" spans="6:14">
      <c r="F2126" s="136" t="s">
        <v>11837</v>
      </c>
      <c r="G2126" s="136">
        <v>2123</v>
      </c>
      <c r="H2126" s="136" t="s">
        <v>11838</v>
      </c>
      <c r="I2126" s="136" t="s">
        <v>11839</v>
      </c>
      <c r="J2126" s="136" t="s">
        <v>11840</v>
      </c>
      <c r="L2126" s="136"/>
      <c r="M2126" s="136"/>
      <c r="N2126" s="136"/>
    </row>
    <row r="2127" spans="6:14">
      <c r="F2127" s="136" t="s">
        <v>11841</v>
      </c>
      <c r="G2127" s="136">
        <v>2124</v>
      </c>
      <c r="H2127" s="136" t="s">
        <v>4670</v>
      </c>
      <c r="I2127" s="136" t="s">
        <v>4671</v>
      </c>
      <c r="J2127" s="136" t="s">
        <v>11842</v>
      </c>
      <c r="L2127" s="136"/>
      <c r="M2127" s="136"/>
      <c r="N2127" s="136"/>
    </row>
    <row r="2128" spans="6:14">
      <c r="F2128" s="136" t="s">
        <v>11843</v>
      </c>
      <c r="G2128" s="136">
        <v>2125</v>
      </c>
      <c r="H2128" s="136" t="s">
        <v>5547</v>
      </c>
      <c r="I2128" s="136" t="s">
        <v>5548</v>
      </c>
      <c r="J2128" s="136" t="s">
        <v>11844</v>
      </c>
      <c r="L2128" s="136"/>
      <c r="M2128" s="136"/>
      <c r="N2128" s="136"/>
    </row>
    <row r="2129" spans="6:14">
      <c r="F2129" s="136" t="s">
        <v>11845</v>
      </c>
      <c r="G2129" s="136">
        <v>2126</v>
      </c>
      <c r="H2129" s="136" t="s">
        <v>1185</v>
      </c>
      <c r="I2129" s="136" t="s">
        <v>1186</v>
      </c>
      <c r="J2129" s="136" t="s">
        <v>11846</v>
      </c>
      <c r="L2129" s="136"/>
      <c r="M2129" s="136"/>
      <c r="N2129" s="136"/>
    </row>
    <row r="2130" spans="6:14">
      <c r="F2130" s="136" t="s">
        <v>11847</v>
      </c>
      <c r="G2130" s="136">
        <v>2127</v>
      </c>
      <c r="H2130" s="136" t="s">
        <v>3916</v>
      </c>
      <c r="I2130" s="136" t="s">
        <v>3916</v>
      </c>
      <c r="J2130" s="136" t="s">
        <v>11848</v>
      </c>
      <c r="L2130" s="136"/>
      <c r="M2130" s="136"/>
      <c r="N2130" s="136"/>
    </row>
    <row r="2131" spans="6:14">
      <c r="F2131" s="136" t="s">
        <v>11849</v>
      </c>
      <c r="G2131" s="136">
        <v>2128</v>
      </c>
      <c r="H2131" s="136" t="s">
        <v>372</v>
      </c>
      <c r="I2131" s="136" t="s">
        <v>372</v>
      </c>
      <c r="J2131" s="136" t="s">
        <v>11850</v>
      </c>
      <c r="L2131" s="136"/>
      <c r="M2131" s="136"/>
      <c r="N2131" s="136"/>
    </row>
    <row r="2132" spans="6:14">
      <c r="F2132" s="136" t="s">
        <v>11851</v>
      </c>
      <c r="G2132" s="136">
        <v>2129</v>
      </c>
      <c r="H2132" s="136" t="s">
        <v>2006</v>
      </c>
      <c r="I2132" s="136" t="s">
        <v>2006</v>
      </c>
      <c r="J2132" s="136" t="s">
        <v>11852</v>
      </c>
      <c r="L2132" s="136"/>
      <c r="M2132" s="136"/>
      <c r="N2132" s="136"/>
    </row>
    <row r="2133" spans="6:14">
      <c r="F2133" s="136" t="s">
        <v>11853</v>
      </c>
      <c r="G2133" s="136">
        <v>2130</v>
      </c>
      <c r="H2133" s="136" t="s">
        <v>5477</v>
      </c>
      <c r="I2133" s="136" t="s">
        <v>5477</v>
      </c>
      <c r="J2133" s="136" t="s">
        <v>11854</v>
      </c>
      <c r="L2133" s="136"/>
      <c r="M2133" s="136"/>
      <c r="N2133" s="136"/>
    </row>
    <row r="2134" spans="6:14">
      <c r="F2134" s="136" t="s">
        <v>11855</v>
      </c>
      <c r="G2134" s="136">
        <v>2131</v>
      </c>
      <c r="H2134" s="136" t="s">
        <v>824</v>
      </c>
      <c r="I2134" s="136" t="s">
        <v>825</v>
      </c>
      <c r="J2134" s="136" t="s">
        <v>11856</v>
      </c>
      <c r="L2134" s="136"/>
      <c r="M2134" s="136"/>
      <c r="N2134" s="136"/>
    </row>
    <row r="2135" spans="6:14">
      <c r="F2135" s="136" t="s">
        <v>11857</v>
      </c>
      <c r="G2135" s="136">
        <v>2132</v>
      </c>
      <c r="H2135" s="136" t="s">
        <v>2103</v>
      </c>
      <c r="I2135" s="136" t="s">
        <v>2104</v>
      </c>
      <c r="J2135" s="136" t="s">
        <v>11858</v>
      </c>
      <c r="L2135" s="136"/>
      <c r="M2135" s="136"/>
      <c r="N2135" s="136"/>
    </row>
    <row r="2136" spans="6:14">
      <c r="F2136" s="136" t="s">
        <v>11859</v>
      </c>
      <c r="G2136" s="136">
        <v>2133</v>
      </c>
      <c r="H2136" s="136" t="s">
        <v>11860</v>
      </c>
      <c r="I2136" s="136" t="s">
        <v>11861</v>
      </c>
      <c r="J2136" s="136" t="s">
        <v>11862</v>
      </c>
      <c r="L2136" s="136"/>
      <c r="M2136" s="136"/>
      <c r="N2136" s="136"/>
    </row>
    <row r="2137" spans="6:14">
      <c r="F2137" s="136" t="s">
        <v>11863</v>
      </c>
      <c r="G2137" s="136">
        <v>2134</v>
      </c>
      <c r="H2137" s="136" t="s">
        <v>2926</v>
      </c>
      <c r="I2137" s="136" t="s">
        <v>2927</v>
      </c>
      <c r="J2137" s="136" t="s">
        <v>11864</v>
      </c>
      <c r="L2137" s="136"/>
      <c r="M2137" s="136"/>
      <c r="N2137" s="136"/>
    </row>
    <row r="2138" spans="6:14">
      <c r="F2138" s="136" t="s">
        <v>11865</v>
      </c>
      <c r="G2138" s="136">
        <v>2135</v>
      </c>
      <c r="H2138" s="136" t="s">
        <v>11866</v>
      </c>
      <c r="I2138" s="136" t="s">
        <v>11867</v>
      </c>
      <c r="J2138" s="136" t="s">
        <v>11868</v>
      </c>
      <c r="L2138" s="136"/>
      <c r="M2138" s="136"/>
      <c r="N2138" s="136"/>
    </row>
    <row r="2139" spans="6:14">
      <c r="F2139" s="136" t="s">
        <v>11869</v>
      </c>
      <c r="G2139" s="136">
        <v>2136</v>
      </c>
      <c r="H2139" s="136" t="s">
        <v>11870</v>
      </c>
      <c r="I2139" s="136" t="s">
        <v>11871</v>
      </c>
      <c r="J2139" s="136" t="s">
        <v>11872</v>
      </c>
      <c r="L2139" s="136"/>
      <c r="M2139" s="136"/>
      <c r="N2139" s="136"/>
    </row>
    <row r="2140" spans="6:14">
      <c r="F2140" s="136" t="s">
        <v>11873</v>
      </c>
      <c r="G2140" s="136">
        <v>2137</v>
      </c>
      <c r="H2140" s="136" t="s">
        <v>5738</v>
      </c>
      <c r="I2140" s="136" t="s">
        <v>5738</v>
      </c>
      <c r="J2140" s="136" t="s">
        <v>11874</v>
      </c>
      <c r="L2140" s="136"/>
      <c r="M2140" s="136"/>
      <c r="N2140" s="136"/>
    </row>
    <row r="2141" spans="6:14">
      <c r="F2141" s="136" t="s">
        <v>11875</v>
      </c>
      <c r="G2141" s="136">
        <v>2138</v>
      </c>
      <c r="H2141" s="136" t="s">
        <v>3300</v>
      </c>
      <c r="I2141" s="136" t="s">
        <v>3301</v>
      </c>
      <c r="J2141" s="136" t="s">
        <v>11876</v>
      </c>
      <c r="L2141" s="136"/>
      <c r="M2141" s="136"/>
      <c r="N2141" s="136"/>
    </row>
    <row r="2142" spans="6:14">
      <c r="F2142" s="136" t="s">
        <v>11877</v>
      </c>
      <c r="G2142" s="136">
        <v>2139</v>
      </c>
      <c r="H2142" s="136" t="s">
        <v>11878</v>
      </c>
      <c r="I2142" s="136" t="s">
        <v>11879</v>
      </c>
      <c r="J2142" s="136" t="s">
        <v>11880</v>
      </c>
      <c r="L2142" s="136"/>
      <c r="M2142" s="136"/>
      <c r="N2142" s="136"/>
    </row>
    <row r="2143" spans="6:14">
      <c r="F2143" s="136" t="s">
        <v>11881</v>
      </c>
      <c r="G2143" s="136">
        <v>2140</v>
      </c>
      <c r="H2143" s="136" t="s">
        <v>6116</v>
      </c>
      <c r="I2143" s="136" t="s">
        <v>6117</v>
      </c>
      <c r="J2143" s="136" t="s">
        <v>11882</v>
      </c>
      <c r="L2143" s="136"/>
      <c r="M2143" s="136"/>
      <c r="N2143" s="136"/>
    </row>
    <row r="2144" spans="6:14">
      <c r="F2144" s="136" t="s">
        <v>11883</v>
      </c>
      <c r="G2144" s="136">
        <v>2141</v>
      </c>
      <c r="H2144" s="136" t="s">
        <v>5180</v>
      </c>
      <c r="I2144" s="136" t="s">
        <v>5181</v>
      </c>
      <c r="J2144" s="136" t="s">
        <v>11884</v>
      </c>
      <c r="L2144" s="136"/>
      <c r="M2144" s="136"/>
      <c r="N2144" s="136"/>
    </row>
    <row r="2145" spans="6:14">
      <c r="F2145" s="136" t="s">
        <v>11885</v>
      </c>
      <c r="G2145" s="136">
        <v>2142</v>
      </c>
      <c r="H2145" s="136" t="s">
        <v>775</v>
      </c>
      <c r="I2145" s="136" t="s">
        <v>776</v>
      </c>
      <c r="J2145" s="136" t="s">
        <v>11886</v>
      </c>
      <c r="L2145" s="136"/>
      <c r="M2145" s="136"/>
      <c r="N2145" s="136"/>
    </row>
    <row r="2146" spans="6:14">
      <c r="F2146" s="136" t="s">
        <v>11887</v>
      </c>
      <c r="G2146" s="136">
        <v>2143</v>
      </c>
      <c r="H2146" s="136" t="s">
        <v>2935</v>
      </c>
      <c r="I2146" s="136" t="s">
        <v>2935</v>
      </c>
      <c r="J2146" s="136" t="s">
        <v>11888</v>
      </c>
      <c r="L2146" s="136"/>
      <c r="M2146" s="136"/>
      <c r="N2146" s="136"/>
    </row>
    <row r="2147" spans="6:14">
      <c r="F2147" s="136" t="s">
        <v>11889</v>
      </c>
      <c r="G2147" s="136">
        <v>2144</v>
      </c>
      <c r="H2147" s="136" t="s">
        <v>3535</v>
      </c>
      <c r="I2147" s="136" t="s">
        <v>3536</v>
      </c>
      <c r="J2147" s="136" t="s">
        <v>11890</v>
      </c>
      <c r="L2147" s="136"/>
      <c r="M2147" s="136"/>
      <c r="N2147" s="136"/>
    </row>
    <row r="2148" spans="6:14">
      <c r="F2148" s="136" t="s">
        <v>11891</v>
      </c>
      <c r="G2148" s="136">
        <v>2145</v>
      </c>
      <c r="H2148" s="136" t="s">
        <v>4000</v>
      </c>
      <c r="I2148" s="136" t="s">
        <v>4000</v>
      </c>
      <c r="J2148" s="136" t="s">
        <v>11892</v>
      </c>
      <c r="L2148" s="136"/>
      <c r="M2148" s="136"/>
      <c r="N2148" s="136"/>
    </row>
    <row r="2149" spans="6:14">
      <c r="F2149" s="136" t="s">
        <v>11893</v>
      </c>
      <c r="G2149" s="136">
        <v>2146</v>
      </c>
      <c r="H2149" s="136" t="s">
        <v>8388</v>
      </c>
      <c r="I2149" s="136" t="s">
        <v>11894</v>
      </c>
      <c r="J2149" s="136" t="s">
        <v>11895</v>
      </c>
      <c r="L2149" s="136"/>
      <c r="M2149" s="136"/>
      <c r="N2149" s="136"/>
    </row>
    <row r="2150" spans="6:14">
      <c r="F2150" s="136" t="s">
        <v>11896</v>
      </c>
      <c r="G2150" s="136">
        <v>2147</v>
      </c>
      <c r="H2150" s="136" t="s">
        <v>11897</v>
      </c>
      <c r="I2150" s="136" t="s">
        <v>11898</v>
      </c>
      <c r="J2150" s="136" t="s">
        <v>11899</v>
      </c>
      <c r="L2150" s="136"/>
      <c r="M2150" s="136"/>
      <c r="N2150" s="136"/>
    </row>
    <row r="2151" spans="6:14">
      <c r="F2151" s="136" t="s">
        <v>11900</v>
      </c>
      <c r="G2151" s="136">
        <v>2148</v>
      </c>
      <c r="H2151" s="136" t="s">
        <v>5957</v>
      </c>
      <c r="I2151" s="136" t="s">
        <v>5958</v>
      </c>
      <c r="J2151" s="136" t="s">
        <v>11901</v>
      </c>
      <c r="L2151" s="136"/>
      <c r="M2151" s="136"/>
      <c r="N2151" s="136"/>
    </row>
    <row r="2152" spans="6:14">
      <c r="F2152" s="136" t="s">
        <v>11902</v>
      </c>
      <c r="G2152" s="136">
        <v>2149</v>
      </c>
      <c r="H2152" s="136" t="s">
        <v>5324</v>
      </c>
      <c r="I2152" s="136" t="s">
        <v>5326</v>
      </c>
      <c r="J2152" s="136" t="s">
        <v>11903</v>
      </c>
      <c r="L2152" s="136"/>
      <c r="M2152" s="136"/>
      <c r="N2152" s="136"/>
    </row>
    <row r="2153" spans="6:14">
      <c r="F2153" s="136" t="s">
        <v>11904</v>
      </c>
      <c r="G2153" s="136">
        <v>2150</v>
      </c>
      <c r="H2153" s="136" t="s">
        <v>1981</v>
      </c>
      <c r="I2153" s="136" t="s">
        <v>1982</v>
      </c>
      <c r="J2153" s="136" t="s">
        <v>11905</v>
      </c>
      <c r="L2153" s="136"/>
      <c r="M2153" s="136"/>
      <c r="N2153" s="136"/>
    </row>
    <row r="2154" spans="6:14">
      <c r="F2154" s="136" t="s">
        <v>11906</v>
      </c>
      <c r="G2154" s="136">
        <v>2151</v>
      </c>
      <c r="H2154" s="136" t="s">
        <v>1428</v>
      </c>
      <c r="I2154" s="136" t="s">
        <v>1429</v>
      </c>
      <c r="J2154" s="136" t="s">
        <v>11907</v>
      </c>
      <c r="L2154" s="136"/>
      <c r="M2154" s="136"/>
      <c r="N2154" s="136"/>
    </row>
    <row r="2155" spans="6:14">
      <c r="F2155" s="136" t="s">
        <v>11908</v>
      </c>
      <c r="G2155" s="136">
        <v>2152</v>
      </c>
      <c r="H2155" s="136" t="s">
        <v>5549</v>
      </c>
      <c r="I2155" s="136" t="s">
        <v>5550</v>
      </c>
      <c r="J2155" s="136" t="s">
        <v>11909</v>
      </c>
      <c r="L2155" s="136"/>
      <c r="M2155" s="136"/>
      <c r="N2155" s="136"/>
    </row>
    <row r="2156" spans="6:14">
      <c r="F2156" s="136" t="s">
        <v>11910</v>
      </c>
      <c r="G2156" s="136">
        <v>2153</v>
      </c>
      <c r="H2156" s="136" t="s">
        <v>1295</v>
      </c>
      <c r="I2156" s="136" t="s">
        <v>1296</v>
      </c>
      <c r="J2156" s="136" t="s">
        <v>11911</v>
      </c>
      <c r="L2156" s="136"/>
      <c r="M2156" s="136"/>
      <c r="N2156" s="136"/>
    </row>
    <row r="2157" spans="6:14">
      <c r="F2157" s="136" t="s">
        <v>11912</v>
      </c>
      <c r="G2157" s="136">
        <v>2154</v>
      </c>
      <c r="H2157" s="136" t="s">
        <v>1328</v>
      </c>
      <c r="I2157" s="136" t="s">
        <v>1329</v>
      </c>
      <c r="J2157" s="136" t="s">
        <v>11913</v>
      </c>
      <c r="L2157" s="136"/>
      <c r="M2157" s="136"/>
      <c r="N2157" s="136"/>
    </row>
    <row r="2158" spans="6:14">
      <c r="F2158" s="136" t="s">
        <v>11914</v>
      </c>
      <c r="G2158" s="136">
        <v>2155</v>
      </c>
      <c r="H2158" s="136" t="s">
        <v>548</v>
      </c>
      <c r="I2158" s="136" t="s">
        <v>575</v>
      </c>
      <c r="J2158" s="136" t="s">
        <v>11915</v>
      </c>
      <c r="L2158" s="136"/>
      <c r="M2158" s="136"/>
      <c r="N2158" s="136"/>
    </row>
    <row r="2159" spans="6:14">
      <c r="F2159" s="136" t="s">
        <v>11916</v>
      </c>
      <c r="G2159" s="136">
        <v>2156</v>
      </c>
      <c r="H2159" s="136" t="s">
        <v>11917</v>
      </c>
      <c r="I2159" s="136" t="s">
        <v>11918</v>
      </c>
      <c r="J2159" s="136" t="s">
        <v>11919</v>
      </c>
      <c r="L2159" s="136"/>
      <c r="M2159" s="136"/>
      <c r="N2159" s="136"/>
    </row>
    <row r="2160" spans="6:14">
      <c r="F2160" s="136" t="s">
        <v>11920</v>
      </c>
      <c r="G2160" s="136">
        <v>2157</v>
      </c>
      <c r="H2160" s="136" t="s">
        <v>3298</v>
      </c>
      <c r="I2160" s="136" t="s">
        <v>3299</v>
      </c>
      <c r="J2160" s="136" t="s">
        <v>11921</v>
      </c>
      <c r="L2160" s="136"/>
      <c r="M2160" s="136"/>
      <c r="N2160" s="136"/>
    </row>
    <row r="2161" spans="6:14">
      <c r="F2161" s="136" t="s">
        <v>11922</v>
      </c>
      <c r="G2161" s="136">
        <v>2158</v>
      </c>
      <c r="H2161" s="136" t="s">
        <v>11923</v>
      </c>
      <c r="I2161" s="136" t="s">
        <v>11924</v>
      </c>
      <c r="J2161" s="136" t="s">
        <v>11925</v>
      </c>
      <c r="L2161" s="136"/>
      <c r="M2161" s="136"/>
      <c r="N2161" s="136"/>
    </row>
    <row r="2162" spans="6:14">
      <c r="F2162" s="136" t="s">
        <v>11926</v>
      </c>
      <c r="G2162" s="136">
        <v>2159</v>
      </c>
      <c r="H2162" s="136" t="s">
        <v>1352</v>
      </c>
      <c r="I2162" s="136" t="s">
        <v>1353</v>
      </c>
      <c r="J2162" s="136" t="s">
        <v>11927</v>
      </c>
      <c r="L2162" s="136"/>
      <c r="M2162" s="136"/>
      <c r="N2162" s="136"/>
    </row>
    <row r="2163" spans="6:14">
      <c r="F2163" s="136" t="s">
        <v>11928</v>
      </c>
      <c r="G2163" s="136">
        <v>2160</v>
      </c>
      <c r="H2163" s="136" t="s">
        <v>963</v>
      </c>
      <c r="I2163" s="136" t="s">
        <v>964</v>
      </c>
      <c r="J2163" s="136" t="s">
        <v>11929</v>
      </c>
      <c r="L2163" s="136"/>
      <c r="M2163" s="136"/>
      <c r="N2163" s="136"/>
    </row>
    <row r="2164" spans="6:14">
      <c r="F2164" s="136" t="s">
        <v>11930</v>
      </c>
      <c r="G2164" s="136">
        <v>2161</v>
      </c>
      <c r="H2164" s="136" t="s">
        <v>4712</v>
      </c>
      <c r="I2164" s="136" t="s">
        <v>4713</v>
      </c>
      <c r="J2164" s="136" t="s">
        <v>11931</v>
      </c>
      <c r="L2164" s="136"/>
      <c r="M2164" s="136"/>
      <c r="N2164" s="136"/>
    </row>
    <row r="2165" spans="6:14">
      <c r="F2165" s="136" t="s">
        <v>11932</v>
      </c>
      <c r="G2165" s="136">
        <v>2162</v>
      </c>
      <c r="H2165" s="136" t="s">
        <v>11933</v>
      </c>
      <c r="I2165" s="136" t="s">
        <v>11934</v>
      </c>
      <c r="J2165" s="136" t="s">
        <v>11935</v>
      </c>
      <c r="L2165" s="136"/>
      <c r="M2165" s="136"/>
      <c r="N2165" s="136"/>
    </row>
    <row r="2166" spans="6:14">
      <c r="F2166" s="136" t="s">
        <v>11936</v>
      </c>
      <c r="G2166" s="136">
        <v>2163</v>
      </c>
      <c r="H2166" s="136" t="s">
        <v>119</v>
      </c>
      <c r="I2166" s="136" t="s">
        <v>120</v>
      </c>
      <c r="J2166" s="136" t="s">
        <v>11937</v>
      </c>
      <c r="L2166" s="136"/>
      <c r="M2166" s="136"/>
      <c r="N2166" s="136"/>
    </row>
    <row r="2167" spans="6:14">
      <c r="F2167" s="136" t="s">
        <v>11938</v>
      </c>
      <c r="G2167" s="136">
        <v>2164</v>
      </c>
      <c r="H2167" s="136" t="s">
        <v>384</v>
      </c>
      <c r="I2167" s="136" t="s">
        <v>385</v>
      </c>
      <c r="J2167" s="136" t="s">
        <v>11939</v>
      </c>
      <c r="L2167" s="136"/>
      <c r="M2167" s="136"/>
      <c r="N2167" s="136"/>
    </row>
    <row r="2168" spans="6:14">
      <c r="F2168" s="136" t="s">
        <v>11940</v>
      </c>
      <c r="G2168" s="136">
        <v>2165</v>
      </c>
      <c r="H2168" s="136" t="s">
        <v>4970</v>
      </c>
      <c r="I2168" s="136" t="s">
        <v>4971</v>
      </c>
      <c r="J2168" s="136" t="s">
        <v>11941</v>
      </c>
      <c r="L2168" s="136"/>
      <c r="M2168" s="136"/>
      <c r="N2168" s="136"/>
    </row>
    <row r="2169" spans="6:14">
      <c r="F2169" s="136" t="s">
        <v>11942</v>
      </c>
      <c r="G2169" s="136">
        <v>2166</v>
      </c>
      <c r="H2169" s="136" t="s">
        <v>1416</v>
      </c>
      <c r="I2169" s="136" t="s">
        <v>1417</v>
      </c>
      <c r="J2169" s="136" t="s">
        <v>11943</v>
      </c>
      <c r="L2169" s="136"/>
      <c r="M2169" s="136"/>
      <c r="N2169" s="136"/>
    </row>
    <row r="2170" spans="6:14">
      <c r="F2170" s="136" t="s">
        <v>11944</v>
      </c>
      <c r="G2170" s="136">
        <v>2167</v>
      </c>
      <c r="H2170" s="136" t="s">
        <v>5225</v>
      </c>
      <c r="I2170" s="136" t="s">
        <v>5226</v>
      </c>
      <c r="J2170" s="136" t="s">
        <v>11945</v>
      </c>
      <c r="L2170" s="136"/>
      <c r="M2170" s="136"/>
      <c r="N2170" s="136"/>
    </row>
    <row r="2171" spans="6:14">
      <c r="F2171" s="136" t="s">
        <v>11946</v>
      </c>
      <c r="G2171" s="136">
        <v>2168</v>
      </c>
      <c r="H2171" s="136" t="s">
        <v>5243</v>
      </c>
      <c r="I2171" s="136" t="s">
        <v>5244</v>
      </c>
      <c r="J2171" s="136" t="s">
        <v>11947</v>
      </c>
      <c r="L2171" s="136"/>
      <c r="M2171" s="136"/>
      <c r="N2171" s="136"/>
    </row>
    <row r="2172" spans="6:14">
      <c r="F2172" s="136" t="s">
        <v>11948</v>
      </c>
      <c r="G2172" s="136">
        <v>2169</v>
      </c>
      <c r="H2172" s="136" t="s">
        <v>1386</v>
      </c>
      <c r="I2172" s="136" t="s">
        <v>1387</v>
      </c>
      <c r="J2172" s="136" t="s">
        <v>11949</v>
      </c>
      <c r="L2172" s="136"/>
      <c r="M2172" s="136"/>
      <c r="N2172" s="136"/>
    </row>
    <row r="2173" spans="6:14">
      <c r="F2173" s="136" t="s">
        <v>11950</v>
      </c>
      <c r="G2173" s="136">
        <v>2170</v>
      </c>
      <c r="H2173" s="136" t="s">
        <v>1748</v>
      </c>
      <c r="I2173" s="136" t="s">
        <v>1749</v>
      </c>
      <c r="J2173" s="136" t="s">
        <v>11951</v>
      </c>
      <c r="L2173" s="136"/>
      <c r="M2173" s="136"/>
      <c r="N2173" s="136"/>
    </row>
    <row r="2174" spans="6:14">
      <c r="F2174" s="136" t="s">
        <v>11952</v>
      </c>
      <c r="G2174" s="136">
        <v>2171</v>
      </c>
      <c r="H2174" s="136" t="s">
        <v>3848</v>
      </c>
      <c r="I2174" s="136" t="s">
        <v>3849</v>
      </c>
      <c r="J2174" s="136" t="s">
        <v>11953</v>
      </c>
      <c r="L2174" s="136"/>
      <c r="M2174" s="136"/>
      <c r="N2174" s="136"/>
    </row>
    <row r="2175" spans="6:14">
      <c r="F2175" s="136" t="s">
        <v>11954</v>
      </c>
      <c r="G2175" s="136">
        <v>2172</v>
      </c>
      <c r="H2175" s="136" t="s">
        <v>11955</v>
      </c>
      <c r="I2175" s="136" t="s">
        <v>11956</v>
      </c>
      <c r="J2175" s="136" t="s">
        <v>11957</v>
      </c>
      <c r="L2175" s="136"/>
      <c r="M2175" s="136"/>
      <c r="N2175" s="136"/>
    </row>
    <row r="2176" spans="6:14">
      <c r="F2176" s="136" t="s">
        <v>11958</v>
      </c>
      <c r="G2176" s="136">
        <v>2173</v>
      </c>
      <c r="H2176" s="136" t="s">
        <v>5668</v>
      </c>
      <c r="I2176" s="136" t="s">
        <v>5669</v>
      </c>
      <c r="J2176" s="136" t="s">
        <v>11959</v>
      </c>
      <c r="L2176" s="136"/>
      <c r="M2176" s="136"/>
      <c r="N2176" s="136"/>
    </row>
    <row r="2177" spans="6:14">
      <c r="F2177" s="136" t="s">
        <v>11960</v>
      </c>
      <c r="G2177" s="136">
        <v>2174</v>
      </c>
      <c r="H2177" s="136" t="s">
        <v>4513</v>
      </c>
      <c r="I2177" s="136" t="s">
        <v>4514</v>
      </c>
      <c r="J2177" s="136" t="s">
        <v>11961</v>
      </c>
      <c r="L2177" s="136"/>
      <c r="M2177" s="136"/>
      <c r="N2177" s="136"/>
    </row>
    <row r="2178" spans="6:14">
      <c r="F2178" s="136" t="s">
        <v>11962</v>
      </c>
      <c r="G2178" s="136">
        <v>2175</v>
      </c>
      <c r="H2178" s="136" t="s">
        <v>11963</v>
      </c>
      <c r="I2178" s="136" t="s">
        <v>11964</v>
      </c>
      <c r="J2178" s="136" t="s">
        <v>11965</v>
      </c>
      <c r="L2178" s="136"/>
      <c r="M2178" s="136"/>
      <c r="N2178" s="136"/>
    </row>
    <row r="2179" spans="6:14">
      <c r="F2179" s="136" t="s">
        <v>11966</v>
      </c>
      <c r="G2179" s="136">
        <v>2176</v>
      </c>
      <c r="H2179" s="136" t="s">
        <v>548</v>
      </c>
      <c r="I2179" s="136" t="s">
        <v>576</v>
      </c>
      <c r="J2179" s="136" t="s">
        <v>11967</v>
      </c>
      <c r="L2179" s="136"/>
      <c r="M2179" s="136"/>
      <c r="N2179" s="136"/>
    </row>
    <row r="2180" spans="6:14">
      <c r="F2180" s="136" t="s">
        <v>11968</v>
      </c>
      <c r="G2180" s="136">
        <v>2177</v>
      </c>
      <c r="H2180" s="136" t="s">
        <v>2375</v>
      </c>
      <c r="I2180" s="136" t="s">
        <v>2377</v>
      </c>
      <c r="J2180" s="136" t="s">
        <v>11969</v>
      </c>
      <c r="L2180" s="136"/>
      <c r="M2180" s="136"/>
      <c r="N2180" s="136"/>
    </row>
    <row r="2181" spans="6:14">
      <c r="F2181" s="136" t="s">
        <v>11970</v>
      </c>
      <c r="G2181" s="136">
        <v>2178</v>
      </c>
      <c r="H2181" s="136" t="s">
        <v>5584</v>
      </c>
      <c r="I2181" s="136" t="s">
        <v>5585</v>
      </c>
      <c r="J2181" s="136" t="s">
        <v>11971</v>
      </c>
      <c r="L2181" s="136"/>
      <c r="M2181" s="136"/>
      <c r="N2181" s="136"/>
    </row>
    <row r="2182" spans="6:14">
      <c r="F2182" s="136" t="s">
        <v>11972</v>
      </c>
      <c r="G2182" s="136">
        <v>2179</v>
      </c>
      <c r="H2182" s="136" t="s">
        <v>2818</v>
      </c>
      <c r="I2182" s="136" t="s">
        <v>2830</v>
      </c>
      <c r="J2182" s="136" t="s">
        <v>11973</v>
      </c>
      <c r="L2182" s="136"/>
      <c r="M2182" s="136"/>
      <c r="N2182" s="136"/>
    </row>
    <row r="2183" spans="6:14">
      <c r="F2183" s="136" t="s">
        <v>11974</v>
      </c>
      <c r="G2183" s="136">
        <v>2180</v>
      </c>
      <c r="H2183" s="136" t="s">
        <v>11975</v>
      </c>
      <c r="I2183" s="136" t="s">
        <v>11976</v>
      </c>
      <c r="J2183" s="136" t="s">
        <v>11977</v>
      </c>
      <c r="L2183" s="136"/>
      <c r="M2183" s="136"/>
      <c r="N2183" s="136"/>
    </row>
    <row r="2184" spans="6:14">
      <c r="F2184" s="136" t="s">
        <v>11978</v>
      </c>
      <c r="G2184" s="136">
        <v>2181</v>
      </c>
      <c r="H2184" s="136" t="s">
        <v>3563</v>
      </c>
      <c r="I2184" s="136" t="s">
        <v>3564</v>
      </c>
      <c r="J2184" s="136" t="s">
        <v>11979</v>
      </c>
      <c r="L2184" s="136"/>
      <c r="M2184" s="136"/>
      <c r="N2184" s="136"/>
    </row>
    <row r="2185" spans="6:14">
      <c r="F2185" s="136" t="s">
        <v>11980</v>
      </c>
      <c r="G2185" s="136">
        <v>2182</v>
      </c>
      <c r="H2185" s="136" t="s">
        <v>5719</v>
      </c>
      <c r="I2185" s="136" t="s">
        <v>5720</v>
      </c>
      <c r="J2185" s="136" t="s">
        <v>11981</v>
      </c>
      <c r="L2185" s="136"/>
      <c r="M2185" s="136"/>
      <c r="N2185" s="136"/>
    </row>
    <row r="2186" spans="6:14">
      <c r="F2186" s="136" t="s">
        <v>11982</v>
      </c>
      <c r="G2186" s="136">
        <v>2183</v>
      </c>
      <c r="H2186" s="136" t="s">
        <v>1424</v>
      </c>
      <c r="I2186" s="136" t="s">
        <v>1425</v>
      </c>
      <c r="J2186" s="136" t="s">
        <v>11983</v>
      </c>
      <c r="L2186" s="136"/>
      <c r="M2186" s="136"/>
      <c r="N2186" s="136"/>
    </row>
    <row r="2187" spans="6:14">
      <c r="F2187" s="136" t="s">
        <v>11984</v>
      </c>
      <c r="G2187" s="136">
        <v>2184</v>
      </c>
      <c r="H2187" s="136" t="s">
        <v>3830</v>
      </c>
      <c r="I2187" s="136" t="s">
        <v>3831</v>
      </c>
      <c r="J2187" s="136" t="s">
        <v>11985</v>
      </c>
      <c r="L2187" s="136"/>
      <c r="M2187" s="136"/>
      <c r="N2187" s="136"/>
    </row>
    <row r="2188" spans="6:14">
      <c r="F2188" s="136" t="s">
        <v>11986</v>
      </c>
      <c r="G2188" s="136">
        <v>2185</v>
      </c>
      <c r="H2188" s="136" t="s">
        <v>1972</v>
      </c>
      <c r="I2188" s="136" t="s">
        <v>540</v>
      </c>
      <c r="J2188" s="136" t="s">
        <v>11987</v>
      </c>
      <c r="L2188" s="136"/>
      <c r="M2188" s="136"/>
      <c r="N2188" s="136"/>
    </row>
    <row r="2189" spans="6:14">
      <c r="F2189" s="136" t="s">
        <v>11988</v>
      </c>
      <c r="G2189" s="136">
        <v>2186</v>
      </c>
      <c r="H2189" s="136" t="s">
        <v>4188</v>
      </c>
      <c r="I2189" s="136" t="s">
        <v>4189</v>
      </c>
      <c r="J2189" s="136" t="s">
        <v>11989</v>
      </c>
      <c r="L2189" s="136"/>
      <c r="M2189" s="136"/>
      <c r="N2189" s="136"/>
    </row>
    <row r="2190" spans="6:14">
      <c r="F2190" s="136" t="s">
        <v>11990</v>
      </c>
      <c r="G2190" s="136">
        <v>2187</v>
      </c>
      <c r="H2190" s="136" t="s">
        <v>2375</v>
      </c>
      <c r="I2190" s="136" t="s">
        <v>2378</v>
      </c>
      <c r="J2190" s="136" t="s">
        <v>11991</v>
      </c>
      <c r="L2190" s="136"/>
      <c r="M2190" s="136"/>
      <c r="N2190" s="136"/>
    </row>
    <row r="2191" spans="6:14">
      <c r="F2191" s="136" t="s">
        <v>11992</v>
      </c>
      <c r="G2191" s="136">
        <v>2188</v>
      </c>
      <c r="H2191" s="136" t="s">
        <v>520</v>
      </c>
      <c r="I2191" s="136" t="s">
        <v>521</v>
      </c>
      <c r="J2191" s="136" t="s">
        <v>11993</v>
      </c>
      <c r="L2191" s="136"/>
      <c r="M2191" s="136"/>
      <c r="N2191" s="136"/>
    </row>
    <row r="2192" spans="6:14">
      <c r="F2192" s="136" t="s">
        <v>11994</v>
      </c>
      <c r="G2192" s="136">
        <v>2189</v>
      </c>
      <c r="H2192" s="136" t="s">
        <v>548</v>
      </c>
      <c r="I2192" s="136" t="s">
        <v>577</v>
      </c>
      <c r="J2192" s="136" t="s">
        <v>11995</v>
      </c>
      <c r="L2192" s="136"/>
      <c r="M2192" s="136"/>
      <c r="N2192" s="136"/>
    </row>
    <row r="2193" spans="6:14">
      <c r="F2193" s="136" t="s">
        <v>11996</v>
      </c>
      <c r="G2193" s="136">
        <v>2190</v>
      </c>
      <c r="H2193" s="136" t="s">
        <v>1396</v>
      </c>
      <c r="I2193" s="136" t="s">
        <v>577</v>
      </c>
      <c r="J2193" s="136" t="s">
        <v>11997</v>
      </c>
      <c r="L2193" s="136"/>
      <c r="M2193" s="136"/>
      <c r="N2193" s="136"/>
    </row>
    <row r="2194" spans="6:14">
      <c r="F2194" s="136" t="s">
        <v>11998</v>
      </c>
      <c r="G2194" s="136">
        <v>2191</v>
      </c>
      <c r="H2194" s="136" t="s">
        <v>5846</v>
      </c>
      <c r="I2194" s="136" t="s">
        <v>5847</v>
      </c>
      <c r="J2194" s="136" t="s">
        <v>11999</v>
      </c>
      <c r="L2194" s="136"/>
      <c r="M2194" s="136"/>
      <c r="N2194" s="136"/>
    </row>
    <row r="2195" spans="6:14">
      <c r="F2195" s="136" t="s">
        <v>12000</v>
      </c>
      <c r="G2195" s="136">
        <v>2192</v>
      </c>
      <c r="H2195" s="136" t="s">
        <v>1405</v>
      </c>
      <c r="I2195" s="136" t="s">
        <v>1406</v>
      </c>
      <c r="J2195" s="136" t="s">
        <v>12001</v>
      </c>
      <c r="L2195" s="136"/>
      <c r="M2195" s="136"/>
      <c r="N2195" s="136"/>
    </row>
    <row r="2196" spans="6:14">
      <c r="F2196" s="136" t="s">
        <v>12002</v>
      </c>
      <c r="G2196" s="136">
        <v>2193</v>
      </c>
      <c r="H2196" s="136" t="s">
        <v>1418</v>
      </c>
      <c r="I2196" s="136" t="s">
        <v>1419</v>
      </c>
      <c r="J2196" s="136" t="s">
        <v>12003</v>
      </c>
      <c r="L2196" s="136"/>
      <c r="M2196" s="136"/>
      <c r="N2196" s="136"/>
    </row>
    <row r="2197" spans="6:14">
      <c r="F2197" s="136" t="s">
        <v>12004</v>
      </c>
      <c r="G2197" s="136">
        <v>2194</v>
      </c>
      <c r="H2197" s="136" t="s">
        <v>544</v>
      </c>
      <c r="I2197" s="136" t="s">
        <v>545</v>
      </c>
      <c r="J2197" s="136" t="s">
        <v>12005</v>
      </c>
      <c r="L2197" s="136"/>
      <c r="M2197" s="136"/>
      <c r="N2197" s="136"/>
    </row>
    <row r="2198" spans="6:14">
      <c r="F2198" s="136" t="s">
        <v>12006</v>
      </c>
      <c r="G2198" s="136">
        <v>2195</v>
      </c>
      <c r="H2198" s="136" t="s">
        <v>548</v>
      </c>
      <c r="I2198" s="136" t="s">
        <v>578</v>
      </c>
      <c r="J2198" s="136" t="s">
        <v>12007</v>
      </c>
      <c r="L2198" s="136"/>
      <c r="M2198" s="136"/>
      <c r="N2198" s="136"/>
    </row>
    <row r="2199" spans="6:14">
      <c r="F2199" s="136" t="s">
        <v>12008</v>
      </c>
      <c r="G2199" s="136">
        <v>2196</v>
      </c>
      <c r="H2199" s="136" t="s">
        <v>4467</v>
      </c>
      <c r="I2199" s="136" t="s">
        <v>4468</v>
      </c>
      <c r="J2199" s="136" t="s">
        <v>12009</v>
      </c>
      <c r="L2199" s="136"/>
      <c r="M2199" s="136"/>
      <c r="N2199" s="136"/>
    </row>
    <row r="2200" spans="6:14">
      <c r="F2200" s="136" t="s">
        <v>12010</v>
      </c>
      <c r="G2200" s="136">
        <v>2197</v>
      </c>
      <c r="H2200" s="136" t="s">
        <v>548</v>
      </c>
      <c r="I2200" s="136" t="s">
        <v>579</v>
      </c>
      <c r="J2200" s="136" t="s">
        <v>12011</v>
      </c>
      <c r="L2200" s="136"/>
      <c r="M2200" s="136"/>
      <c r="N2200" s="136"/>
    </row>
    <row r="2201" spans="6:14">
      <c r="F2201" s="136" t="s">
        <v>12012</v>
      </c>
      <c r="G2201" s="136">
        <v>2198</v>
      </c>
      <c r="H2201" s="136" t="s">
        <v>548</v>
      </c>
      <c r="I2201" s="136" t="s">
        <v>580</v>
      </c>
      <c r="J2201" s="136" t="s">
        <v>12013</v>
      </c>
      <c r="L2201" s="136"/>
      <c r="M2201" s="136"/>
      <c r="N2201" s="136"/>
    </row>
    <row r="2202" spans="6:14">
      <c r="F2202" s="136" t="s">
        <v>12014</v>
      </c>
      <c r="G2202" s="136">
        <v>2199</v>
      </c>
      <c r="H2202" s="136" t="s">
        <v>2818</v>
      </c>
      <c r="I2202" s="136" t="s">
        <v>2831</v>
      </c>
      <c r="J2202" s="136" t="s">
        <v>12015</v>
      </c>
      <c r="L2202" s="136"/>
      <c r="M2202" s="136"/>
      <c r="N2202" s="136"/>
    </row>
    <row r="2203" spans="6:14">
      <c r="F2203" s="136" t="s">
        <v>12016</v>
      </c>
      <c r="G2203" s="136">
        <v>2200</v>
      </c>
      <c r="H2203" s="136" t="s">
        <v>321</v>
      </c>
      <c r="I2203" s="136" t="s">
        <v>321</v>
      </c>
      <c r="J2203" s="136" t="s">
        <v>12017</v>
      </c>
      <c r="L2203" s="136"/>
      <c r="M2203" s="136"/>
      <c r="N2203" s="136"/>
    </row>
    <row r="2204" spans="6:14">
      <c r="F2204" s="136" t="s">
        <v>12018</v>
      </c>
      <c r="G2204" s="136">
        <v>2201</v>
      </c>
      <c r="H2204" s="136" t="s">
        <v>4202</v>
      </c>
      <c r="I2204" s="136" t="s">
        <v>540</v>
      </c>
      <c r="J2204" s="136" t="s">
        <v>12019</v>
      </c>
      <c r="L2204" s="136"/>
      <c r="M2204" s="136"/>
      <c r="N2204" s="136"/>
    </row>
    <row r="2205" spans="6:14">
      <c r="F2205" s="136" t="s">
        <v>12020</v>
      </c>
      <c r="G2205" s="136">
        <v>2202</v>
      </c>
      <c r="H2205" s="136" t="s">
        <v>1535</v>
      </c>
      <c r="I2205" s="136" t="s">
        <v>1536</v>
      </c>
      <c r="J2205" s="136" t="s">
        <v>12021</v>
      </c>
      <c r="L2205" s="136"/>
      <c r="M2205" s="136"/>
      <c r="N2205" s="136"/>
    </row>
    <row r="2206" spans="6:14">
      <c r="F2206" s="136" t="s">
        <v>12022</v>
      </c>
      <c r="G2206" s="136">
        <v>2203</v>
      </c>
      <c r="H2206" s="136" t="s">
        <v>1856</v>
      </c>
      <c r="I2206" s="136" t="s">
        <v>1857</v>
      </c>
      <c r="J2206" s="136" t="s">
        <v>12023</v>
      </c>
      <c r="L2206" s="136"/>
      <c r="M2206" s="136"/>
      <c r="N2206" s="136"/>
    </row>
    <row r="2207" spans="6:14">
      <c r="F2207" s="136" t="s">
        <v>12024</v>
      </c>
      <c r="G2207" s="136">
        <v>2204</v>
      </c>
      <c r="H2207" s="136" t="s">
        <v>12025</v>
      </c>
      <c r="I2207" s="136" t="s">
        <v>12026</v>
      </c>
      <c r="J2207" s="136" t="s">
        <v>12027</v>
      </c>
      <c r="L2207" s="136"/>
      <c r="M2207" s="136"/>
      <c r="N2207" s="136"/>
    </row>
    <row r="2208" spans="6:14">
      <c r="F2208" s="136" t="s">
        <v>12028</v>
      </c>
      <c r="G2208" s="136">
        <v>2205</v>
      </c>
      <c r="H2208" s="136" t="s">
        <v>4237</v>
      </c>
      <c r="I2208" s="136" t="s">
        <v>4238</v>
      </c>
      <c r="J2208" s="136" t="s">
        <v>12029</v>
      </c>
      <c r="L2208" s="136"/>
      <c r="M2208" s="136"/>
      <c r="N2208" s="136"/>
    </row>
    <row r="2209" spans="6:14">
      <c r="F2209" s="136" t="s">
        <v>12030</v>
      </c>
      <c r="G2209" s="136">
        <v>2206</v>
      </c>
      <c r="H2209" s="136" t="s">
        <v>1564</v>
      </c>
      <c r="I2209" s="136" t="s">
        <v>1565</v>
      </c>
      <c r="J2209" s="136" t="s">
        <v>12031</v>
      </c>
      <c r="L2209" s="136"/>
      <c r="M2209" s="136"/>
      <c r="N2209" s="136"/>
    </row>
    <row r="2210" spans="6:14">
      <c r="F2210" s="136" t="s">
        <v>12032</v>
      </c>
      <c r="G2210" s="136">
        <v>2207</v>
      </c>
      <c r="H2210" s="136" t="s">
        <v>12033</v>
      </c>
      <c r="I2210" s="136" t="s">
        <v>12034</v>
      </c>
      <c r="J2210" s="136" t="s">
        <v>12035</v>
      </c>
      <c r="L2210" s="136"/>
      <c r="M2210" s="136"/>
      <c r="N2210" s="136"/>
    </row>
    <row r="2211" spans="6:14">
      <c r="F2211" s="136" t="s">
        <v>12036</v>
      </c>
      <c r="G2211" s="136">
        <v>2208</v>
      </c>
      <c r="H2211" s="136" t="s">
        <v>4892</v>
      </c>
      <c r="I2211" s="136" t="s">
        <v>4893</v>
      </c>
      <c r="J2211" s="136" t="s">
        <v>12037</v>
      </c>
      <c r="L2211" s="136"/>
      <c r="M2211" s="136"/>
      <c r="N2211" s="136"/>
    </row>
    <row r="2212" spans="6:14">
      <c r="F2212" s="136" t="s">
        <v>12038</v>
      </c>
      <c r="G2212" s="136">
        <v>2209</v>
      </c>
      <c r="H2212" s="136" t="s">
        <v>4992</v>
      </c>
      <c r="I2212" s="136" t="s">
        <v>4993</v>
      </c>
      <c r="J2212" s="136" t="s">
        <v>12039</v>
      </c>
      <c r="L2212" s="136"/>
      <c r="M2212" s="136"/>
      <c r="N2212" s="136"/>
    </row>
    <row r="2213" spans="6:14">
      <c r="F2213" s="136" t="s">
        <v>12040</v>
      </c>
      <c r="G2213" s="136">
        <v>2210</v>
      </c>
      <c r="H2213" s="136" t="s">
        <v>548</v>
      </c>
      <c r="I2213" s="136" t="s">
        <v>581</v>
      </c>
      <c r="J2213" s="136" t="s">
        <v>12041</v>
      </c>
      <c r="L2213" s="136"/>
      <c r="M2213" s="136"/>
      <c r="N2213" s="136"/>
    </row>
    <row r="2214" spans="6:14">
      <c r="F2214" s="136" t="s">
        <v>12042</v>
      </c>
      <c r="G2214" s="136">
        <v>2211</v>
      </c>
      <c r="H2214" s="136" t="s">
        <v>2549</v>
      </c>
      <c r="I2214" s="136" t="s">
        <v>2550</v>
      </c>
      <c r="J2214" s="136" t="s">
        <v>12043</v>
      </c>
      <c r="L2214" s="136"/>
      <c r="M2214" s="136"/>
      <c r="N2214" s="136"/>
    </row>
    <row r="2215" spans="6:14">
      <c r="F2215" s="136" t="s">
        <v>12044</v>
      </c>
      <c r="G2215" s="136">
        <v>2212</v>
      </c>
      <c r="H2215" s="136" t="s">
        <v>2882</v>
      </c>
      <c r="I2215" s="136" t="s">
        <v>2883</v>
      </c>
      <c r="J2215" s="136" t="s">
        <v>12045</v>
      </c>
      <c r="L2215" s="136"/>
      <c r="M2215" s="136"/>
      <c r="N2215" s="136"/>
    </row>
    <row r="2216" spans="6:14">
      <c r="F2216" s="136" t="s">
        <v>12046</v>
      </c>
      <c r="G2216" s="136">
        <v>2213</v>
      </c>
      <c r="H2216" s="136" t="s">
        <v>2738</v>
      </c>
      <c r="I2216" s="136" t="s">
        <v>2739</v>
      </c>
      <c r="J2216" s="136" t="s">
        <v>12047</v>
      </c>
      <c r="L2216" s="136"/>
      <c r="M2216" s="136"/>
      <c r="N2216" s="136"/>
    </row>
    <row r="2217" spans="6:14">
      <c r="F2217" s="136" t="s">
        <v>12048</v>
      </c>
      <c r="G2217" s="136">
        <v>2214</v>
      </c>
      <c r="H2217" s="136" t="s">
        <v>3717</v>
      </c>
      <c r="I2217" s="136" t="s">
        <v>3717</v>
      </c>
      <c r="J2217" s="136" t="s">
        <v>12049</v>
      </c>
      <c r="L2217" s="136"/>
      <c r="M2217" s="136"/>
      <c r="N2217" s="136"/>
    </row>
    <row r="2218" spans="6:14">
      <c r="F2218" s="136" t="s">
        <v>12050</v>
      </c>
      <c r="G2218" s="136">
        <v>2215</v>
      </c>
      <c r="H2218" s="136" t="s">
        <v>4691</v>
      </c>
      <c r="I2218" s="136" t="s">
        <v>4692</v>
      </c>
      <c r="J2218" s="136" t="s">
        <v>12051</v>
      </c>
      <c r="L2218" s="136"/>
      <c r="M2218" s="136"/>
      <c r="N2218" s="136"/>
    </row>
    <row r="2219" spans="6:14">
      <c r="F2219" s="136" t="s">
        <v>12052</v>
      </c>
      <c r="G2219" s="136">
        <v>2216</v>
      </c>
      <c r="H2219" s="136" t="s">
        <v>1394</v>
      </c>
      <c r="I2219" s="136" t="s">
        <v>1395</v>
      </c>
      <c r="J2219" s="136" t="s">
        <v>12053</v>
      </c>
      <c r="L2219" s="136"/>
      <c r="M2219" s="136"/>
      <c r="N2219" s="136"/>
    </row>
    <row r="2220" spans="6:14">
      <c r="F2220" s="136" t="s">
        <v>12054</v>
      </c>
      <c r="G2220" s="136">
        <v>2217</v>
      </c>
      <c r="H2220" s="136" t="s">
        <v>4449</v>
      </c>
      <c r="I2220" s="136" t="s">
        <v>4450</v>
      </c>
      <c r="J2220" s="136" t="s">
        <v>12055</v>
      </c>
      <c r="L2220" s="136"/>
      <c r="M2220" s="136"/>
      <c r="N2220" s="136"/>
    </row>
    <row r="2221" spans="6:14">
      <c r="F2221" s="136" t="s">
        <v>12056</v>
      </c>
      <c r="G2221" s="136">
        <v>2218</v>
      </c>
      <c r="H2221" s="136" t="s">
        <v>6106</v>
      </c>
      <c r="I2221" s="136" t="s">
        <v>6107</v>
      </c>
      <c r="J2221" s="136" t="s">
        <v>12057</v>
      </c>
      <c r="L2221" s="136"/>
      <c r="M2221" s="136"/>
      <c r="N2221" s="136"/>
    </row>
    <row r="2222" spans="6:14">
      <c r="F2222" s="136" t="s">
        <v>12058</v>
      </c>
      <c r="G2222" s="136">
        <v>2219</v>
      </c>
      <c r="H2222" s="136" t="s">
        <v>1195</v>
      </c>
      <c r="I2222" s="136" t="s">
        <v>1196</v>
      </c>
      <c r="J2222" s="136" t="s">
        <v>12059</v>
      </c>
      <c r="L2222" s="136"/>
      <c r="M2222" s="136"/>
      <c r="N2222" s="136"/>
    </row>
    <row r="2223" spans="6:14">
      <c r="F2223" s="136" t="s">
        <v>12060</v>
      </c>
      <c r="G2223" s="136">
        <v>2220</v>
      </c>
      <c r="H2223" s="136" t="s">
        <v>738</v>
      </c>
      <c r="I2223" s="136" t="s">
        <v>743</v>
      </c>
      <c r="J2223" s="136" t="s">
        <v>12061</v>
      </c>
      <c r="L2223" s="136"/>
      <c r="M2223" s="136"/>
      <c r="N2223" s="136"/>
    </row>
    <row r="2224" spans="6:14">
      <c r="F2224" s="136" t="s">
        <v>12062</v>
      </c>
      <c r="G2224" s="136">
        <v>2221</v>
      </c>
      <c r="H2224" s="136" t="s">
        <v>548</v>
      </c>
      <c r="I2224" s="136" t="s">
        <v>582</v>
      </c>
      <c r="J2224" s="136" t="s">
        <v>12063</v>
      </c>
      <c r="L2224" s="136"/>
      <c r="M2224" s="136"/>
      <c r="N2224" s="136"/>
    </row>
    <row r="2225" spans="6:14">
      <c r="F2225" s="136" t="s">
        <v>12064</v>
      </c>
      <c r="G2225" s="136">
        <v>2222</v>
      </c>
      <c r="H2225" s="136" t="s">
        <v>5698</v>
      </c>
      <c r="I2225" s="136" t="s">
        <v>5699</v>
      </c>
      <c r="J2225" s="136" t="s">
        <v>12065</v>
      </c>
      <c r="L2225" s="136"/>
      <c r="M2225" s="136"/>
      <c r="N2225" s="136"/>
    </row>
    <row r="2226" spans="6:14">
      <c r="F2226" s="136" t="s">
        <v>12066</v>
      </c>
      <c r="G2226" s="136">
        <v>2223</v>
      </c>
      <c r="H2226" s="136" t="s">
        <v>1238</v>
      </c>
      <c r="I2226" s="136" t="s">
        <v>1239</v>
      </c>
      <c r="J2226" s="136" t="s">
        <v>12067</v>
      </c>
      <c r="L2226" s="136"/>
      <c r="M2226" s="136"/>
      <c r="N2226" s="136"/>
    </row>
    <row r="2227" spans="6:14">
      <c r="F2227" s="136" t="s">
        <v>12068</v>
      </c>
      <c r="G2227" s="136">
        <v>2224</v>
      </c>
      <c r="H2227" s="136" t="s">
        <v>1770</v>
      </c>
      <c r="I2227" s="136" t="s">
        <v>1395</v>
      </c>
      <c r="J2227" s="136" t="s">
        <v>12069</v>
      </c>
      <c r="L2227" s="136"/>
      <c r="M2227" s="136"/>
      <c r="N2227" s="136"/>
    </row>
    <row r="2228" spans="6:14">
      <c r="F2228" s="136" t="s">
        <v>12070</v>
      </c>
      <c r="G2228" s="136">
        <v>2225</v>
      </c>
      <c r="H2228" s="136" t="s">
        <v>269</v>
      </c>
      <c r="I2228" s="136" t="s">
        <v>270</v>
      </c>
      <c r="J2228" s="136" t="s">
        <v>12071</v>
      </c>
      <c r="L2228" s="136"/>
      <c r="M2228" s="136"/>
      <c r="N2228" s="136"/>
    </row>
    <row r="2229" spans="6:14">
      <c r="F2229" s="136" t="s">
        <v>12072</v>
      </c>
      <c r="G2229" s="136">
        <v>2226</v>
      </c>
      <c r="H2229" s="136" t="s">
        <v>3195</v>
      </c>
      <c r="I2229" s="136" t="s">
        <v>3196</v>
      </c>
      <c r="J2229" s="136" t="s">
        <v>12073</v>
      </c>
      <c r="L2229" s="136"/>
      <c r="M2229" s="136"/>
      <c r="N2229" s="136"/>
    </row>
    <row r="2230" spans="6:14">
      <c r="F2230" s="136" t="s">
        <v>12074</v>
      </c>
      <c r="G2230" s="136">
        <v>2227</v>
      </c>
      <c r="H2230" s="136" t="s">
        <v>1470</v>
      </c>
      <c r="I2230" s="136" t="s">
        <v>1471</v>
      </c>
      <c r="J2230" s="136" t="s">
        <v>12075</v>
      </c>
      <c r="L2230" s="136"/>
      <c r="M2230" s="136"/>
      <c r="N2230" s="136"/>
    </row>
    <row r="2231" spans="6:14">
      <c r="F2231" s="136" t="s">
        <v>12076</v>
      </c>
      <c r="G2231" s="136">
        <v>2228</v>
      </c>
      <c r="H2231" s="136" t="s">
        <v>2341</v>
      </c>
      <c r="I2231" s="136" t="s">
        <v>2342</v>
      </c>
      <c r="J2231" s="136" t="s">
        <v>12077</v>
      </c>
      <c r="L2231" s="136"/>
      <c r="M2231" s="136"/>
      <c r="N2231" s="136"/>
    </row>
    <row r="2232" spans="6:14">
      <c r="F2232" s="136" t="s">
        <v>12078</v>
      </c>
      <c r="G2232" s="136">
        <v>2229</v>
      </c>
      <c r="H2232" s="136" t="s">
        <v>2314</v>
      </c>
      <c r="I2232" s="136" t="s">
        <v>768</v>
      </c>
      <c r="J2232" s="136" t="s">
        <v>12079</v>
      </c>
      <c r="L2232" s="136"/>
      <c r="M2232" s="136"/>
      <c r="N2232" s="136"/>
    </row>
    <row r="2233" spans="6:14">
      <c r="F2233" s="136" t="s">
        <v>12080</v>
      </c>
      <c r="G2233" s="136">
        <v>2230</v>
      </c>
      <c r="H2233" s="136" t="s">
        <v>683</v>
      </c>
      <c r="I2233" s="136" t="s">
        <v>684</v>
      </c>
      <c r="J2233" s="136" t="s">
        <v>12081</v>
      </c>
      <c r="L2233" s="136"/>
      <c r="M2233" s="136"/>
      <c r="N2233" s="136"/>
    </row>
    <row r="2234" spans="6:14">
      <c r="F2234" s="136" t="s">
        <v>12082</v>
      </c>
      <c r="G2234" s="136">
        <v>2231</v>
      </c>
      <c r="H2234" s="136" t="s">
        <v>12083</v>
      </c>
      <c r="I2234" s="136" t="s">
        <v>12084</v>
      </c>
      <c r="J2234" s="136" t="s">
        <v>12085</v>
      </c>
      <c r="L2234" s="136"/>
      <c r="M2234" s="136"/>
      <c r="N2234" s="136"/>
    </row>
    <row r="2235" spans="6:14">
      <c r="F2235" s="136" t="s">
        <v>12086</v>
      </c>
      <c r="G2235" s="136">
        <v>2232</v>
      </c>
      <c r="H2235" s="136" t="s">
        <v>12087</v>
      </c>
      <c r="I2235" s="136" t="s">
        <v>12088</v>
      </c>
      <c r="J2235" s="136" t="s">
        <v>12089</v>
      </c>
      <c r="L2235" s="136"/>
      <c r="M2235" s="136"/>
      <c r="N2235" s="136"/>
    </row>
    <row r="2236" spans="6:14">
      <c r="F2236" s="136" t="s">
        <v>12090</v>
      </c>
      <c r="G2236" s="136">
        <v>2233</v>
      </c>
      <c r="H2236" s="136" t="s">
        <v>4949</v>
      </c>
      <c r="I2236" s="136" t="s">
        <v>4952</v>
      </c>
      <c r="J2236" s="136" t="s">
        <v>12091</v>
      </c>
      <c r="L2236" s="136"/>
      <c r="M2236" s="136"/>
      <c r="N2236" s="136"/>
    </row>
    <row r="2237" spans="6:14">
      <c r="F2237" s="136" t="s">
        <v>12092</v>
      </c>
      <c r="G2237" s="136">
        <v>2234</v>
      </c>
      <c r="H2237" s="136" t="s">
        <v>12093</v>
      </c>
      <c r="I2237" s="136" t="s">
        <v>12094</v>
      </c>
      <c r="J2237" s="136" t="s">
        <v>12095</v>
      </c>
      <c r="L2237" s="136"/>
      <c r="M2237" s="136"/>
      <c r="N2237" s="136"/>
    </row>
    <row r="2238" spans="6:14">
      <c r="F2238" s="136" t="s">
        <v>12096</v>
      </c>
      <c r="G2238" s="136">
        <v>2235</v>
      </c>
      <c r="H2238" s="136" t="s">
        <v>1880</v>
      </c>
      <c r="I2238" s="136" t="s">
        <v>1881</v>
      </c>
      <c r="J2238" s="136" t="s">
        <v>12097</v>
      </c>
      <c r="L2238" s="136"/>
      <c r="M2238" s="136"/>
      <c r="N2238" s="136"/>
    </row>
    <row r="2239" spans="6:14">
      <c r="F2239" s="136" t="s">
        <v>12098</v>
      </c>
      <c r="G2239" s="136">
        <v>2236</v>
      </c>
      <c r="H2239" s="136" t="s">
        <v>548</v>
      </c>
      <c r="I2239" s="136" t="s">
        <v>583</v>
      </c>
      <c r="J2239" s="136" t="s">
        <v>12099</v>
      </c>
      <c r="L2239" s="136"/>
      <c r="M2239" s="136"/>
      <c r="N2239" s="136"/>
    </row>
    <row r="2240" spans="6:14">
      <c r="F2240" s="136" t="s">
        <v>12100</v>
      </c>
      <c r="G2240" s="136">
        <v>2237</v>
      </c>
      <c r="H2240" s="136" t="s">
        <v>5192</v>
      </c>
      <c r="I2240" s="136" t="s">
        <v>2745</v>
      </c>
      <c r="J2240" s="136" t="s">
        <v>12101</v>
      </c>
      <c r="L2240" s="136"/>
      <c r="M2240" s="136"/>
      <c r="N2240" s="136"/>
    </row>
    <row r="2241" spans="6:14">
      <c r="F2241" s="136" t="s">
        <v>12102</v>
      </c>
      <c r="G2241" s="136">
        <v>2238</v>
      </c>
      <c r="H2241" s="136" t="s">
        <v>2744</v>
      </c>
      <c r="I2241" s="136" t="s">
        <v>2748</v>
      </c>
      <c r="J2241" s="136" t="s">
        <v>12103</v>
      </c>
      <c r="L2241" s="136"/>
      <c r="M2241" s="136"/>
      <c r="N2241" s="136"/>
    </row>
    <row r="2242" spans="6:14">
      <c r="F2242" s="136" t="s">
        <v>12104</v>
      </c>
      <c r="G2242" s="136">
        <v>2239</v>
      </c>
      <c r="H2242" s="136" t="s">
        <v>2744</v>
      </c>
      <c r="I2242" s="136" t="s">
        <v>2749</v>
      </c>
      <c r="J2242" s="136" t="s">
        <v>12105</v>
      </c>
      <c r="L2242" s="136"/>
      <c r="M2242" s="136"/>
      <c r="N2242" s="136"/>
    </row>
    <row r="2243" spans="6:14">
      <c r="F2243" s="136" t="s">
        <v>12106</v>
      </c>
      <c r="G2243" s="136">
        <v>2240</v>
      </c>
      <c r="H2243" s="136" t="s">
        <v>12107</v>
      </c>
      <c r="I2243" s="136" t="s">
        <v>12108</v>
      </c>
      <c r="J2243" s="136" t="s">
        <v>12109</v>
      </c>
      <c r="L2243" s="136"/>
      <c r="M2243" s="136"/>
      <c r="N2243" s="136"/>
    </row>
    <row r="2244" spans="6:14">
      <c r="F2244" s="136" t="s">
        <v>12110</v>
      </c>
      <c r="G2244" s="136">
        <v>2241</v>
      </c>
      <c r="H2244" s="136" t="s">
        <v>2744</v>
      </c>
      <c r="I2244" s="136" t="s">
        <v>2750</v>
      </c>
      <c r="J2244" s="136" t="s">
        <v>12111</v>
      </c>
      <c r="L2244" s="136"/>
      <c r="M2244" s="136"/>
      <c r="N2244" s="136"/>
    </row>
    <row r="2245" spans="6:14">
      <c r="F2245" s="136" t="s">
        <v>12112</v>
      </c>
      <c r="G2245" s="136">
        <v>2242</v>
      </c>
      <c r="H2245" s="136" t="s">
        <v>2311</v>
      </c>
      <c r="I2245" s="136" t="s">
        <v>2312</v>
      </c>
      <c r="J2245" s="136" t="s">
        <v>12113</v>
      </c>
      <c r="L2245" s="136"/>
      <c r="M2245" s="136"/>
      <c r="N2245" s="136"/>
    </row>
    <row r="2246" spans="6:14">
      <c r="F2246" s="136" t="s">
        <v>12114</v>
      </c>
      <c r="G2246" s="136">
        <v>2243</v>
      </c>
      <c r="H2246" s="136" t="s">
        <v>2949</v>
      </c>
      <c r="I2246" s="136" t="s">
        <v>2950</v>
      </c>
      <c r="J2246" s="136" t="s">
        <v>12115</v>
      </c>
      <c r="L2246" s="136"/>
      <c r="M2246" s="136"/>
      <c r="N2246" s="136"/>
    </row>
    <row r="2247" spans="6:14">
      <c r="F2247" s="136" t="s">
        <v>12116</v>
      </c>
      <c r="G2247" s="136">
        <v>2244</v>
      </c>
      <c r="H2247" s="136" t="s">
        <v>2744</v>
      </c>
      <c r="I2247" s="136" t="s">
        <v>2751</v>
      </c>
      <c r="J2247" s="136" t="s">
        <v>12117</v>
      </c>
      <c r="L2247" s="136"/>
      <c r="M2247" s="136"/>
      <c r="N2247" s="136"/>
    </row>
    <row r="2248" spans="6:14">
      <c r="F2248" s="136" t="s">
        <v>12118</v>
      </c>
      <c r="G2248" s="136">
        <v>2245</v>
      </c>
      <c r="H2248" s="136" t="s">
        <v>548</v>
      </c>
      <c r="I2248" s="136" t="s">
        <v>584</v>
      </c>
      <c r="J2248" s="136" t="s">
        <v>12119</v>
      </c>
      <c r="L2248" s="136"/>
      <c r="M2248" s="136"/>
      <c r="N2248" s="136"/>
    </row>
    <row r="2249" spans="6:14">
      <c r="F2249" s="136" t="s">
        <v>12120</v>
      </c>
      <c r="G2249" s="136">
        <v>2246</v>
      </c>
      <c r="H2249" s="136" t="s">
        <v>2375</v>
      </c>
      <c r="I2249" s="136" t="s">
        <v>2379</v>
      </c>
      <c r="J2249" s="136" t="s">
        <v>12121</v>
      </c>
      <c r="L2249" s="136"/>
      <c r="M2249" s="136"/>
      <c r="N2249" s="136"/>
    </row>
    <row r="2250" spans="6:14">
      <c r="F2250" s="136" t="s">
        <v>12122</v>
      </c>
      <c r="G2250" s="136">
        <v>2247</v>
      </c>
      <c r="H2250" s="136" t="s">
        <v>2375</v>
      </c>
      <c r="I2250" s="136" t="s">
        <v>2380</v>
      </c>
      <c r="J2250" s="136" t="s">
        <v>12123</v>
      </c>
      <c r="L2250" s="136"/>
      <c r="M2250" s="136"/>
      <c r="N2250" s="136"/>
    </row>
    <row r="2251" spans="6:14">
      <c r="F2251" s="136" t="s">
        <v>12124</v>
      </c>
      <c r="G2251" s="136">
        <v>2248</v>
      </c>
      <c r="H2251" s="136" t="s">
        <v>2678</v>
      </c>
      <c r="I2251" s="136" t="s">
        <v>2679</v>
      </c>
      <c r="J2251" s="136" t="s">
        <v>12125</v>
      </c>
      <c r="L2251" s="136"/>
      <c r="M2251" s="136"/>
      <c r="N2251" s="136"/>
    </row>
    <row r="2252" spans="6:14">
      <c r="F2252" s="136" t="s">
        <v>12126</v>
      </c>
      <c r="G2252" s="136">
        <v>2249</v>
      </c>
      <c r="H2252" s="136" t="s">
        <v>6168</v>
      </c>
      <c r="I2252" s="136" t="s">
        <v>6169</v>
      </c>
      <c r="J2252" s="136" t="s">
        <v>12127</v>
      </c>
      <c r="L2252" s="136"/>
      <c r="M2252" s="136"/>
      <c r="N2252" s="136"/>
    </row>
    <row r="2253" spans="6:14">
      <c r="F2253" s="136" t="s">
        <v>12128</v>
      </c>
      <c r="G2253" s="136">
        <v>2250</v>
      </c>
      <c r="H2253" s="136" t="s">
        <v>12129</v>
      </c>
      <c r="I2253" s="136" t="s">
        <v>12130</v>
      </c>
      <c r="J2253" s="136" t="s">
        <v>12131</v>
      </c>
      <c r="L2253" s="136"/>
      <c r="M2253" s="136"/>
      <c r="N2253" s="136"/>
    </row>
    <row r="2254" spans="6:14">
      <c r="F2254" s="136" t="s">
        <v>12132</v>
      </c>
      <c r="G2254" s="136">
        <v>2251</v>
      </c>
      <c r="H2254" s="136" t="s">
        <v>1381</v>
      </c>
      <c r="I2254" s="136" t="s">
        <v>1382</v>
      </c>
      <c r="J2254" s="136" t="s">
        <v>12133</v>
      </c>
      <c r="L2254" s="136"/>
      <c r="M2254" s="136"/>
      <c r="N2254" s="136"/>
    </row>
    <row r="2255" spans="6:14">
      <c r="F2255" s="136" t="s">
        <v>12134</v>
      </c>
      <c r="G2255" s="136">
        <v>2252</v>
      </c>
      <c r="H2255" s="136" t="s">
        <v>4858</v>
      </c>
      <c r="I2255" s="136" t="s">
        <v>4859</v>
      </c>
      <c r="J2255" s="136" t="s">
        <v>12135</v>
      </c>
      <c r="L2255" s="136"/>
      <c r="M2255" s="136"/>
      <c r="N2255" s="136"/>
    </row>
    <row r="2256" spans="6:14">
      <c r="F2256" s="136" t="s">
        <v>12136</v>
      </c>
      <c r="G2256" s="136">
        <v>2253</v>
      </c>
      <c r="H2256" s="136" t="s">
        <v>4760</v>
      </c>
      <c r="I2256" s="136" t="s">
        <v>4761</v>
      </c>
      <c r="J2256" s="136" t="s">
        <v>12137</v>
      </c>
      <c r="L2256" s="136"/>
      <c r="M2256" s="136"/>
      <c r="N2256" s="136"/>
    </row>
    <row r="2257" spans="6:14">
      <c r="F2257" s="136" t="s">
        <v>12138</v>
      </c>
      <c r="G2257" s="136">
        <v>2254</v>
      </c>
      <c r="H2257" s="136" t="s">
        <v>3067</v>
      </c>
      <c r="I2257" s="136" t="s">
        <v>3068</v>
      </c>
      <c r="J2257" s="136" t="s">
        <v>12139</v>
      </c>
      <c r="L2257" s="136"/>
      <c r="M2257" s="136"/>
      <c r="N2257" s="136"/>
    </row>
    <row r="2258" spans="6:14">
      <c r="F2258" s="136" t="s">
        <v>12140</v>
      </c>
      <c r="G2258" s="136">
        <v>2255</v>
      </c>
      <c r="H2258" s="136" t="s">
        <v>5256</v>
      </c>
      <c r="I2258" s="136" t="s">
        <v>5257</v>
      </c>
      <c r="J2258" s="136" t="s">
        <v>12141</v>
      </c>
      <c r="L2258" s="136"/>
      <c r="M2258" s="136"/>
      <c r="N2258" s="136"/>
    </row>
    <row r="2259" spans="6:14">
      <c r="F2259" s="136" t="s">
        <v>12142</v>
      </c>
      <c r="G2259" s="136">
        <v>2256</v>
      </c>
      <c r="H2259" s="136" t="s">
        <v>3638</v>
      </c>
      <c r="I2259" s="136" t="s">
        <v>3639</v>
      </c>
      <c r="J2259" s="136" t="s">
        <v>12143</v>
      </c>
      <c r="L2259" s="136"/>
      <c r="M2259" s="136"/>
      <c r="N2259" s="136"/>
    </row>
    <row r="2260" spans="6:14">
      <c r="F2260" s="136" t="s">
        <v>12144</v>
      </c>
      <c r="G2260" s="136">
        <v>2257</v>
      </c>
      <c r="H2260" s="136" t="s">
        <v>6198</v>
      </c>
      <c r="I2260" s="136" t="s">
        <v>24592</v>
      </c>
      <c r="J2260" s="136" t="s">
        <v>12145</v>
      </c>
      <c r="L2260" s="136"/>
      <c r="M2260" s="136"/>
      <c r="N2260" s="136"/>
    </row>
    <row r="2261" spans="6:14">
      <c r="F2261" s="136" t="s">
        <v>12146</v>
      </c>
      <c r="G2261" s="136">
        <v>2258</v>
      </c>
      <c r="H2261" s="136" t="s">
        <v>12147</v>
      </c>
      <c r="I2261" s="136" t="s">
        <v>12148</v>
      </c>
      <c r="J2261" s="136" t="s">
        <v>12149</v>
      </c>
      <c r="L2261" s="136"/>
      <c r="M2261" s="136"/>
      <c r="N2261" s="136"/>
    </row>
    <row r="2262" spans="6:14">
      <c r="F2262" s="136" t="s">
        <v>12150</v>
      </c>
      <c r="G2262" s="136">
        <v>2259</v>
      </c>
      <c r="H2262" s="136" t="s">
        <v>1409</v>
      </c>
      <c r="I2262" s="136" t="s">
        <v>1410</v>
      </c>
      <c r="J2262" s="136" t="s">
        <v>12151</v>
      </c>
      <c r="L2262" s="136"/>
      <c r="M2262" s="136"/>
      <c r="N2262" s="136"/>
    </row>
    <row r="2263" spans="6:14">
      <c r="F2263" s="136" t="s">
        <v>12152</v>
      </c>
      <c r="G2263" s="136">
        <v>2260</v>
      </c>
      <c r="H2263" s="136" t="s">
        <v>3331</v>
      </c>
      <c r="I2263" s="136" t="s">
        <v>3332</v>
      </c>
      <c r="J2263" s="136" t="s">
        <v>12153</v>
      </c>
      <c r="L2263" s="136"/>
      <c r="M2263" s="136"/>
      <c r="N2263" s="136"/>
    </row>
    <row r="2264" spans="6:14">
      <c r="F2264" s="136" t="s">
        <v>12154</v>
      </c>
      <c r="G2264" s="136">
        <v>2261</v>
      </c>
      <c r="H2264" s="136" t="s">
        <v>2406</v>
      </c>
      <c r="I2264" s="136" t="s">
        <v>2407</v>
      </c>
      <c r="J2264" s="136" t="s">
        <v>12155</v>
      </c>
      <c r="L2264" s="136"/>
      <c r="M2264" s="136"/>
      <c r="N2264" s="136"/>
    </row>
    <row r="2265" spans="6:14">
      <c r="F2265" s="136" t="s">
        <v>12156</v>
      </c>
      <c r="G2265" s="136">
        <v>2262</v>
      </c>
      <c r="H2265" s="136" t="s">
        <v>5138</v>
      </c>
      <c r="I2265" s="136" t="s">
        <v>5139</v>
      </c>
      <c r="J2265" s="136" t="s">
        <v>12157</v>
      </c>
      <c r="L2265" s="136"/>
      <c r="M2265" s="136"/>
      <c r="N2265" s="136"/>
    </row>
    <row r="2266" spans="6:14">
      <c r="F2266" s="136" t="s">
        <v>12158</v>
      </c>
      <c r="G2266" s="136">
        <v>2263</v>
      </c>
      <c r="H2266" s="136" t="s">
        <v>12159</v>
      </c>
      <c r="I2266" s="136" t="s">
        <v>12160</v>
      </c>
      <c r="J2266" s="136" t="s">
        <v>12161</v>
      </c>
      <c r="L2266" s="136"/>
      <c r="M2266" s="136"/>
      <c r="N2266" s="136"/>
    </row>
    <row r="2267" spans="6:14">
      <c r="F2267" s="136" t="s">
        <v>12162</v>
      </c>
      <c r="G2267" s="136">
        <v>2264</v>
      </c>
      <c r="H2267" s="136" t="s">
        <v>3369</v>
      </c>
      <c r="I2267" s="136" t="s">
        <v>3370</v>
      </c>
      <c r="J2267" s="136" t="s">
        <v>12163</v>
      </c>
      <c r="L2267" s="136"/>
      <c r="M2267" s="136"/>
      <c r="N2267" s="136"/>
    </row>
    <row r="2268" spans="6:14">
      <c r="F2268" s="136" t="s">
        <v>12164</v>
      </c>
      <c r="G2268" s="136">
        <v>2265</v>
      </c>
      <c r="H2268" s="136" t="s">
        <v>12165</v>
      </c>
      <c r="I2268" s="136" t="s">
        <v>12165</v>
      </c>
      <c r="J2268" s="136" t="s">
        <v>12166</v>
      </c>
      <c r="L2268" s="136"/>
      <c r="M2268" s="136"/>
      <c r="N2268" s="136"/>
    </row>
    <row r="2269" spans="6:14">
      <c r="F2269" s="136" t="s">
        <v>12167</v>
      </c>
      <c r="G2269" s="136">
        <v>2266</v>
      </c>
      <c r="H2269" s="136" t="s">
        <v>1487</v>
      </c>
      <c r="I2269" s="136" t="s">
        <v>1488</v>
      </c>
      <c r="J2269" s="136" t="s">
        <v>12168</v>
      </c>
      <c r="L2269" s="136"/>
      <c r="M2269" s="136"/>
      <c r="N2269" s="136"/>
    </row>
    <row r="2270" spans="6:14">
      <c r="F2270" s="136" t="s">
        <v>12169</v>
      </c>
      <c r="G2270" s="136">
        <v>2267</v>
      </c>
      <c r="H2270" s="136" t="s">
        <v>5551</v>
      </c>
      <c r="I2270" s="136" t="s">
        <v>5552</v>
      </c>
      <c r="J2270" s="136" t="s">
        <v>12170</v>
      </c>
      <c r="L2270" s="136"/>
      <c r="M2270" s="136"/>
      <c r="N2270" s="136"/>
    </row>
    <row r="2271" spans="6:14">
      <c r="F2271" s="136" t="s">
        <v>12171</v>
      </c>
      <c r="G2271" s="136">
        <v>2268</v>
      </c>
      <c r="H2271" s="136" t="s">
        <v>12172</v>
      </c>
      <c r="I2271" s="136" t="s">
        <v>12173</v>
      </c>
      <c r="J2271" s="136" t="s">
        <v>12174</v>
      </c>
      <c r="L2271" s="136"/>
      <c r="M2271" s="136"/>
      <c r="N2271" s="136"/>
    </row>
    <row r="2272" spans="6:14">
      <c r="F2272" s="136" t="s">
        <v>12175</v>
      </c>
      <c r="G2272" s="136">
        <v>2269</v>
      </c>
      <c r="H2272" s="136" t="s">
        <v>1392</v>
      </c>
      <c r="I2272" s="136" t="s">
        <v>1393</v>
      </c>
      <c r="J2272" s="136" t="s">
        <v>12176</v>
      </c>
      <c r="L2272" s="136"/>
      <c r="M2272" s="136"/>
      <c r="N2272" s="136"/>
    </row>
    <row r="2273" spans="6:14">
      <c r="F2273" s="136" t="s">
        <v>12177</v>
      </c>
      <c r="G2273" s="136">
        <v>2270</v>
      </c>
      <c r="H2273" s="136" t="s">
        <v>12178</v>
      </c>
      <c r="I2273" s="136" t="s">
        <v>12179</v>
      </c>
      <c r="J2273" s="136" t="s">
        <v>12180</v>
      </c>
      <c r="L2273" s="136"/>
      <c r="M2273" s="136"/>
      <c r="N2273" s="136"/>
    </row>
    <row r="2274" spans="6:14">
      <c r="F2274" s="136" t="s">
        <v>12181</v>
      </c>
      <c r="G2274" s="136">
        <v>2271</v>
      </c>
      <c r="H2274" s="136" t="s">
        <v>66</v>
      </c>
      <c r="I2274" s="136" t="s">
        <v>67</v>
      </c>
      <c r="J2274" s="136" t="s">
        <v>12182</v>
      </c>
      <c r="L2274" s="136"/>
      <c r="M2274" s="136"/>
      <c r="N2274" s="136"/>
    </row>
    <row r="2275" spans="6:14">
      <c r="F2275" s="136" t="s">
        <v>12183</v>
      </c>
      <c r="G2275" s="136">
        <v>2272</v>
      </c>
      <c r="H2275" s="136" t="s">
        <v>783</v>
      </c>
      <c r="I2275" s="136" t="s">
        <v>784</v>
      </c>
      <c r="J2275" s="136" t="s">
        <v>12184</v>
      </c>
      <c r="L2275" s="136"/>
      <c r="M2275" s="136"/>
      <c r="N2275" s="136"/>
    </row>
    <row r="2276" spans="6:14">
      <c r="F2276" s="136" t="s">
        <v>12185</v>
      </c>
      <c r="G2276" s="136">
        <v>2273</v>
      </c>
      <c r="H2276" s="136" t="s">
        <v>1764</v>
      </c>
      <c r="I2276" s="136" t="s">
        <v>1765</v>
      </c>
      <c r="J2276" s="136" t="s">
        <v>12186</v>
      </c>
      <c r="L2276" s="136"/>
      <c r="M2276" s="136"/>
      <c r="N2276" s="136"/>
    </row>
    <row r="2277" spans="6:14">
      <c r="F2277" s="136" t="s">
        <v>12187</v>
      </c>
      <c r="G2277" s="136">
        <v>2274</v>
      </c>
      <c r="H2277" s="136" t="s">
        <v>4533</v>
      </c>
      <c r="I2277" s="136" t="s">
        <v>4534</v>
      </c>
      <c r="J2277" s="136" t="s">
        <v>12188</v>
      </c>
      <c r="L2277" s="136"/>
      <c r="M2277" s="136"/>
      <c r="N2277" s="136"/>
    </row>
    <row r="2278" spans="6:14">
      <c r="F2278" s="136" t="s">
        <v>12189</v>
      </c>
      <c r="G2278" s="136">
        <v>2275</v>
      </c>
      <c r="H2278" s="136" t="s">
        <v>6164</v>
      </c>
      <c r="I2278" s="136" t="s">
        <v>6165</v>
      </c>
      <c r="J2278" s="136" t="s">
        <v>12190</v>
      </c>
      <c r="L2278" s="136"/>
      <c r="M2278" s="136"/>
      <c r="N2278" s="136"/>
    </row>
    <row r="2279" spans="6:14">
      <c r="F2279" s="136" t="s">
        <v>12191</v>
      </c>
      <c r="G2279" s="136">
        <v>2276</v>
      </c>
      <c r="H2279" s="136" t="s">
        <v>147</v>
      </c>
      <c r="I2279" s="136" t="s">
        <v>148</v>
      </c>
      <c r="J2279" s="136" t="s">
        <v>12192</v>
      </c>
      <c r="L2279" s="136"/>
      <c r="M2279" s="136"/>
      <c r="N2279" s="136"/>
    </row>
    <row r="2280" spans="6:14">
      <c r="F2280" s="136" t="s">
        <v>12193</v>
      </c>
      <c r="G2280" s="136">
        <v>2277</v>
      </c>
      <c r="H2280" s="136" t="s">
        <v>5826</v>
      </c>
      <c r="I2280" s="136" t="s">
        <v>5827</v>
      </c>
      <c r="J2280" s="136" t="s">
        <v>12194</v>
      </c>
      <c r="L2280" s="136"/>
      <c r="M2280" s="136"/>
      <c r="N2280" s="136"/>
    </row>
    <row r="2281" spans="6:14">
      <c r="F2281" s="136" t="s">
        <v>12195</v>
      </c>
      <c r="G2281" s="136">
        <v>2278</v>
      </c>
      <c r="H2281" s="136" t="s">
        <v>3993</v>
      </c>
      <c r="I2281" s="136" t="s">
        <v>3993</v>
      </c>
      <c r="J2281" s="136" t="s">
        <v>12196</v>
      </c>
      <c r="L2281" s="136"/>
      <c r="M2281" s="136"/>
      <c r="N2281" s="136"/>
    </row>
    <row r="2282" spans="6:14">
      <c r="F2282" s="136" t="s">
        <v>12197</v>
      </c>
      <c r="G2282" s="136">
        <v>2279</v>
      </c>
      <c r="H2282" s="136" t="s">
        <v>2882</v>
      </c>
      <c r="I2282" s="136" t="s">
        <v>2884</v>
      </c>
      <c r="J2282" s="136" t="s">
        <v>12198</v>
      </c>
      <c r="L2282" s="136"/>
      <c r="M2282" s="136"/>
      <c r="N2282" s="136"/>
    </row>
    <row r="2283" spans="6:14">
      <c r="F2283" s="136" t="s">
        <v>12199</v>
      </c>
      <c r="G2283" s="136">
        <v>2280</v>
      </c>
      <c r="H2283" s="136" t="s">
        <v>6041</v>
      </c>
      <c r="I2283" s="136" t="s">
        <v>6042</v>
      </c>
      <c r="J2283" s="136" t="s">
        <v>12200</v>
      </c>
      <c r="L2283" s="136"/>
      <c r="M2283" s="136"/>
      <c r="N2283" s="136"/>
    </row>
    <row r="2284" spans="6:14">
      <c r="F2284" s="136" t="s">
        <v>12201</v>
      </c>
      <c r="G2284" s="136">
        <v>2281</v>
      </c>
      <c r="H2284" s="136" t="s">
        <v>4753</v>
      </c>
      <c r="I2284" s="136" t="s">
        <v>4753</v>
      </c>
      <c r="J2284" s="136" t="s">
        <v>12202</v>
      </c>
      <c r="L2284" s="136"/>
      <c r="M2284" s="136"/>
      <c r="N2284" s="136"/>
    </row>
    <row r="2285" spans="6:14">
      <c r="F2285" s="136" t="s">
        <v>12203</v>
      </c>
      <c r="G2285" s="136">
        <v>2282</v>
      </c>
      <c r="H2285" s="136" t="s">
        <v>1411</v>
      </c>
      <c r="I2285" s="136" t="s">
        <v>1412</v>
      </c>
      <c r="J2285" s="136" t="s">
        <v>12204</v>
      </c>
      <c r="L2285" s="136"/>
      <c r="M2285" s="136"/>
      <c r="N2285" s="136"/>
    </row>
    <row r="2286" spans="6:14">
      <c r="F2286" s="136" t="s">
        <v>12205</v>
      </c>
      <c r="G2286" s="136">
        <v>2283</v>
      </c>
      <c r="H2286" s="136" t="s">
        <v>12206</v>
      </c>
      <c r="I2286" s="136" t="s">
        <v>12207</v>
      </c>
      <c r="J2286" s="136" t="s">
        <v>12208</v>
      </c>
      <c r="L2286" s="136"/>
      <c r="M2286" s="136"/>
      <c r="N2286" s="136"/>
    </row>
    <row r="2287" spans="6:14">
      <c r="F2287" s="136" t="s">
        <v>12209</v>
      </c>
      <c r="G2287" s="136">
        <v>2284</v>
      </c>
      <c r="H2287" s="136" t="s">
        <v>12210</v>
      </c>
      <c r="I2287" s="136" t="s">
        <v>12211</v>
      </c>
      <c r="J2287" s="136" t="s">
        <v>12212</v>
      </c>
      <c r="L2287" s="136"/>
      <c r="M2287" s="136"/>
      <c r="N2287" s="136"/>
    </row>
    <row r="2288" spans="6:14">
      <c r="F2288" s="136" t="s">
        <v>12213</v>
      </c>
      <c r="G2288" s="136">
        <v>2285</v>
      </c>
      <c r="H2288" s="136" t="s">
        <v>12214</v>
      </c>
      <c r="I2288" s="136" t="s">
        <v>12215</v>
      </c>
      <c r="J2288" s="136" t="s">
        <v>12216</v>
      </c>
      <c r="L2288" s="136"/>
      <c r="M2288" s="136"/>
      <c r="N2288" s="136"/>
    </row>
    <row r="2289" spans="6:14">
      <c r="F2289" s="136" t="s">
        <v>12217</v>
      </c>
      <c r="G2289" s="136">
        <v>2286</v>
      </c>
      <c r="H2289" s="136" t="s">
        <v>2628</v>
      </c>
      <c r="I2289" s="136" t="s">
        <v>2629</v>
      </c>
      <c r="J2289" s="136" t="s">
        <v>12218</v>
      </c>
      <c r="L2289" s="136"/>
      <c r="M2289" s="136"/>
      <c r="N2289" s="136"/>
    </row>
    <row r="2290" spans="6:14">
      <c r="F2290" s="136" t="s">
        <v>12219</v>
      </c>
      <c r="G2290" s="136">
        <v>2287</v>
      </c>
      <c r="H2290" s="136" t="s">
        <v>4364</v>
      </c>
      <c r="I2290" s="136" t="s">
        <v>4365</v>
      </c>
      <c r="J2290" s="136" t="s">
        <v>12220</v>
      </c>
      <c r="L2290" s="136"/>
      <c r="M2290" s="136"/>
      <c r="N2290" s="136"/>
    </row>
    <row r="2291" spans="6:14">
      <c r="F2291" s="136" t="s">
        <v>12221</v>
      </c>
      <c r="G2291" s="136">
        <v>2288</v>
      </c>
      <c r="H2291" s="136" t="s">
        <v>12222</v>
      </c>
      <c r="I2291" s="136" t="s">
        <v>12223</v>
      </c>
      <c r="J2291" s="136" t="s">
        <v>12224</v>
      </c>
      <c r="L2291" s="136"/>
      <c r="M2291" s="136"/>
      <c r="N2291" s="136"/>
    </row>
    <row r="2292" spans="6:14">
      <c r="F2292" s="136" t="s">
        <v>12225</v>
      </c>
      <c r="G2292" s="136">
        <v>2289</v>
      </c>
      <c r="H2292" s="136" t="s">
        <v>5824</v>
      </c>
      <c r="I2292" s="136" t="s">
        <v>5825</v>
      </c>
      <c r="J2292" s="136" t="s">
        <v>12226</v>
      </c>
      <c r="L2292" s="136"/>
      <c r="M2292" s="136"/>
      <c r="N2292" s="136"/>
    </row>
    <row r="2293" spans="6:14">
      <c r="F2293" s="136" t="s">
        <v>12227</v>
      </c>
      <c r="G2293" s="136">
        <v>2290</v>
      </c>
      <c r="H2293" s="136" t="s">
        <v>1367</v>
      </c>
      <c r="I2293" s="136" t="s">
        <v>1368</v>
      </c>
      <c r="J2293" s="136" t="s">
        <v>12228</v>
      </c>
      <c r="L2293" s="136"/>
      <c r="M2293" s="136"/>
      <c r="N2293" s="136"/>
    </row>
    <row r="2294" spans="6:14">
      <c r="F2294" s="136" t="s">
        <v>12229</v>
      </c>
      <c r="G2294" s="136">
        <v>2291</v>
      </c>
      <c r="H2294" s="136" t="s">
        <v>4577</v>
      </c>
      <c r="I2294" s="136" t="s">
        <v>4578</v>
      </c>
      <c r="J2294" s="136" t="s">
        <v>12230</v>
      </c>
      <c r="L2294" s="136"/>
      <c r="M2294" s="136"/>
      <c r="N2294" s="136"/>
    </row>
    <row r="2295" spans="6:14">
      <c r="F2295" s="136" t="s">
        <v>12231</v>
      </c>
      <c r="G2295" s="136">
        <v>2292</v>
      </c>
      <c r="H2295" s="136" t="s">
        <v>12232</v>
      </c>
      <c r="I2295" s="136" t="s">
        <v>12233</v>
      </c>
      <c r="J2295" s="136" t="s">
        <v>12234</v>
      </c>
      <c r="L2295" s="136"/>
      <c r="M2295" s="136"/>
      <c r="N2295" s="136"/>
    </row>
    <row r="2296" spans="6:14">
      <c r="F2296" s="136" t="s">
        <v>12235</v>
      </c>
      <c r="G2296" s="136">
        <v>2293</v>
      </c>
      <c r="H2296" s="136" t="s">
        <v>12236</v>
      </c>
      <c r="I2296" s="136" t="s">
        <v>12237</v>
      </c>
      <c r="J2296" s="136" t="s">
        <v>12238</v>
      </c>
      <c r="L2296" s="136"/>
      <c r="M2296" s="136"/>
      <c r="N2296" s="136"/>
    </row>
    <row r="2297" spans="6:14">
      <c r="F2297" s="136" t="s">
        <v>12239</v>
      </c>
      <c r="G2297" s="136">
        <v>2294</v>
      </c>
      <c r="H2297" s="136" t="s">
        <v>12240</v>
      </c>
      <c r="I2297" s="136" t="s">
        <v>12241</v>
      </c>
      <c r="J2297" s="136" t="s">
        <v>12242</v>
      </c>
      <c r="L2297" s="136"/>
      <c r="M2297" s="136"/>
      <c r="N2297" s="136"/>
    </row>
    <row r="2298" spans="6:14">
      <c r="F2298" s="136" t="s">
        <v>12243</v>
      </c>
      <c r="G2298" s="136">
        <v>2295</v>
      </c>
      <c r="H2298" s="136" t="s">
        <v>12244</v>
      </c>
      <c r="I2298" s="136" t="s">
        <v>12245</v>
      </c>
      <c r="J2298" s="136" t="s">
        <v>12246</v>
      </c>
      <c r="L2298" s="136"/>
      <c r="M2298" s="136"/>
      <c r="N2298" s="136"/>
    </row>
    <row r="2299" spans="6:14">
      <c r="F2299" s="136" t="s">
        <v>12247</v>
      </c>
      <c r="G2299" s="136">
        <v>2296</v>
      </c>
      <c r="H2299" s="136" t="s">
        <v>12248</v>
      </c>
      <c r="I2299" s="136" t="s">
        <v>12249</v>
      </c>
      <c r="J2299" s="136" t="s">
        <v>12250</v>
      </c>
      <c r="L2299" s="136"/>
      <c r="M2299" s="136"/>
      <c r="N2299" s="136"/>
    </row>
    <row r="2300" spans="6:14">
      <c r="F2300" s="136" t="s">
        <v>12251</v>
      </c>
      <c r="G2300" s="136">
        <v>2297</v>
      </c>
      <c r="H2300" s="136" t="s">
        <v>4678</v>
      </c>
      <c r="I2300" s="136" t="s">
        <v>4679</v>
      </c>
      <c r="J2300" s="136" t="s">
        <v>12252</v>
      </c>
      <c r="L2300" s="136"/>
      <c r="M2300" s="136"/>
      <c r="N2300" s="136"/>
    </row>
    <row r="2301" spans="6:14">
      <c r="F2301" s="136" t="s">
        <v>12253</v>
      </c>
      <c r="G2301" s="136">
        <v>2298</v>
      </c>
      <c r="H2301" s="136" t="s">
        <v>4310</v>
      </c>
      <c r="I2301" s="136" t="s">
        <v>4312</v>
      </c>
      <c r="J2301" s="136" t="s">
        <v>12254</v>
      </c>
      <c r="L2301" s="136"/>
      <c r="M2301" s="136"/>
      <c r="N2301" s="136"/>
    </row>
    <row r="2302" spans="6:14">
      <c r="F2302" s="136" t="s">
        <v>12255</v>
      </c>
      <c r="G2302" s="136">
        <v>2299</v>
      </c>
      <c r="H2302" s="136" t="s">
        <v>3308</v>
      </c>
      <c r="I2302" s="136" t="s">
        <v>3309</v>
      </c>
      <c r="J2302" s="136" t="s">
        <v>12256</v>
      </c>
      <c r="L2302" s="136"/>
      <c r="M2302" s="136"/>
      <c r="N2302" s="136"/>
    </row>
    <row r="2303" spans="6:14">
      <c r="F2303" s="136" t="s">
        <v>12257</v>
      </c>
      <c r="G2303" s="136">
        <v>2300</v>
      </c>
      <c r="H2303" s="136" t="s">
        <v>6039</v>
      </c>
      <c r="I2303" s="136" t="s">
        <v>6040</v>
      </c>
      <c r="J2303" s="136" t="s">
        <v>12258</v>
      </c>
      <c r="L2303" s="136"/>
      <c r="M2303" s="136"/>
      <c r="N2303" s="136"/>
    </row>
    <row r="2304" spans="6:14">
      <c r="F2304" s="136" t="s">
        <v>12259</v>
      </c>
      <c r="G2304" s="136">
        <v>2301</v>
      </c>
      <c r="H2304" s="136" t="s">
        <v>791</v>
      </c>
      <c r="I2304" s="136" t="s">
        <v>792</v>
      </c>
      <c r="J2304" s="136" t="s">
        <v>12260</v>
      </c>
      <c r="L2304" s="136"/>
      <c r="M2304" s="136"/>
      <c r="N2304" s="136"/>
    </row>
    <row r="2305" spans="6:14">
      <c r="F2305" s="136" t="s">
        <v>12261</v>
      </c>
      <c r="G2305" s="136">
        <v>2302</v>
      </c>
      <c r="H2305" s="136" t="s">
        <v>677</v>
      </c>
      <c r="I2305" s="136" t="s">
        <v>678</v>
      </c>
      <c r="J2305" s="136" t="s">
        <v>12262</v>
      </c>
      <c r="L2305" s="136"/>
      <c r="M2305" s="136"/>
      <c r="N2305" s="136"/>
    </row>
    <row r="2306" spans="6:14">
      <c r="F2306" s="136" t="s">
        <v>12263</v>
      </c>
      <c r="G2306" s="136">
        <v>2303</v>
      </c>
      <c r="H2306" s="136" t="s">
        <v>136</v>
      </c>
      <c r="I2306" s="136" t="s">
        <v>137</v>
      </c>
      <c r="J2306" s="136" t="s">
        <v>12264</v>
      </c>
      <c r="L2306" s="136"/>
      <c r="M2306" s="136"/>
      <c r="N2306" s="136"/>
    </row>
    <row r="2307" spans="6:14">
      <c r="F2307" s="136" t="s">
        <v>12265</v>
      </c>
      <c r="G2307" s="136">
        <v>2304</v>
      </c>
      <c r="H2307" s="136" t="s">
        <v>12266</v>
      </c>
      <c r="I2307" s="136" t="s">
        <v>12267</v>
      </c>
      <c r="J2307" s="136" t="s">
        <v>12268</v>
      </c>
      <c r="L2307" s="136"/>
      <c r="M2307" s="136"/>
      <c r="N2307" s="136"/>
    </row>
    <row r="2308" spans="6:14">
      <c r="F2308" s="136" t="s">
        <v>12269</v>
      </c>
      <c r="G2308" s="136">
        <v>2305</v>
      </c>
      <c r="H2308" s="136" t="s">
        <v>2046</v>
      </c>
      <c r="I2308" s="136" t="s">
        <v>2047</v>
      </c>
      <c r="J2308" s="136" t="s">
        <v>12270</v>
      </c>
      <c r="L2308" s="136"/>
      <c r="M2308" s="136"/>
      <c r="N2308" s="136"/>
    </row>
    <row r="2309" spans="6:14">
      <c r="F2309" s="136" t="s">
        <v>12271</v>
      </c>
      <c r="G2309" s="136">
        <v>2306</v>
      </c>
      <c r="H2309" s="136" t="s">
        <v>6053</v>
      </c>
      <c r="I2309" s="136" t="s">
        <v>6054</v>
      </c>
      <c r="J2309" s="136" t="s">
        <v>12272</v>
      </c>
      <c r="L2309" s="136"/>
      <c r="M2309" s="136"/>
      <c r="N2309" s="136"/>
    </row>
    <row r="2310" spans="6:14">
      <c r="F2310" s="136" t="s">
        <v>12273</v>
      </c>
      <c r="G2310" s="136">
        <v>2307</v>
      </c>
      <c r="H2310" s="136" t="s">
        <v>1730</v>
      </c>
      <c r="I2310" s="136" t="s">
        <v>1730</v>
      </c>
      <c r="J2310" s="136" t="s">
        <v>12274</v>
      </c>
      <c r="L2310" s="136"/>
      <c r="M2310" s="136"/>
      <c r="N2310" s="136"/>
    </row>
    <row r="2311" spans="6:14">
      <c r="F2311" s="136" t="s">
        <v>12275</v>
      </c>
      <c r="G2311" s="136">
        <v>2308</v>
      </c>
      <c r="H2311" s="136" t="s">
        <v>2630</v>
      </c>
      <c r="I2311" s="136" t="s">
        <v>2631</v>
      </c>
      <c r="J2311" s="136" t="s">
        <v>12276</v>
      </c>
      <c r="L2311" s="136"/>
      <c r="M2311" s="136"/>
      <c r="N2311" s="136"/>
    </row>
    <row r="2312" spans="6:14">
      <c r="F2312" s="136" t="s">
        <v>12277</v>
      </c>
      <c r="G2312" s="136">
        <v>2309</v>
      </c>
      <c r="H2312" s="136" t="s">
        <v>5122</v>
      </c>
      <c r="I2312" s="136" t="s">
        <v>5123</v>
      </c>
      <c r="J2312" s="136" t="s">
        <v>12278</v>
      </c>
      <c r="L2312" s="136"/>
      <c r="M2312" s="136"/>
      <c r="N2312" s="136"/>
    </row>
    <row r="2313" spans="6:14">
      <c r="F2313" s="136" t="s">
        <v>12279</v>
      </c>
      <c r="G2313" s="136">
        <v>2310</v>
      </c>
      <c r="H2313" s="136" t="s">
        <v>5447</v>
      </c>
      <c r="I2313" s="136" t="s">
        <v>5448</v>
      </c>
      <c r="J2313" s="136" t="s">
        <v>12280</v>
      </c>
      <c r="L2313" s="136"/>
      <c r="M2313" s="136"/>
      <c r="N2313" s="136"/>
    </row>
    <row r="2314" spans="6:14">
      <c r="F2314" s="136" t="s">
        <v>12281</v>
      </c>
      <c r="G2314" s="136">
        <v>2311</v>
      </c>
      <c r="H2314" s="136" t="s">
        <v>1127</v>
      </c>
      <c r="I2314" s="136" t="s">
        <v>1128</v>
      </c>
      <c r="J2314" s="136" t="s">
        <v>12282</v>
      </c>
      <c r="L2314" s="136"/>
      <c r="M2314" s="136"/>
      <c r="N2314" s="136"/>
    </row>
    <row r="2315" spans="6:14">
      <c r="F2315" s="136" t="s">
        <v>12283</v>
      </c>
      <c r="G2315" s="136">
        <v>2312</v>
      </c>
      <c r="H2315" s="136" t="s">
        <v>12284</v>
      </c>
      <c r="I2315" s="136" t="s">
        <v>12285</v>
      </c>
      <c r="J2315" s="136" t="s">
        <v>12286</v>
      </c>
      <c r="L2315" s="136"/>
      <c r="M2315" s="136"/>
      <c r="N2315" s="136"/>
    </row>
    <row r="2316" spans="6:14">
      <c r="F2316" s="136" t="s">
        <v>12287</v>
      </c>
      <c r="G2316" s="136">
        <v>2313</v>
      </c>
      <c r="H2316" s="136" t="s">
        <v>5763</v>
      </c>
      <c r="I2316" s="136" t="s">
        <v>5764</v>
      </c>
      <c r="J2316" s="136" t="s">
        <v>12288</v>
      </c>
      <c r="L2316" s="136"/>
      <c r="M2316" s="136"/>
      <c r="N2316" s="136"/>
    </row>
    <row r="2317" spans="6:14">
      <c r="F2317" s="136" t="s">
        <v>12289</v>
      </c>
      <c r="G2317" s="136">
        <v>2314</v>
      </c>
      <c r="H2317" s="136" t="s">
        <v>12290</v>
      </c>
      <c r="I2317" s="136" t="s">
        <v>12291</v>
      </c>
      <c r="J2317" s="136" t="s">
        <v>12292</v>
      </c>
      <c r="L2317" s="136"/>
      <c r="M2317" s="136"/>
      <c r="N2317" s="136"/>
    </row>
    <row r="2318" spans="6:14">
      <c r="F2318" s="136" t="s">
        <v>12293</v>
      </c>
      <c r="G2318" s="136">
        <v>2315</v>
      </c>
      <c r="H2318" s="136" t="s">
        <v>4840</v>
      </c>
      <c r="I2318" s="136" t="s">
        <v>4841</v>
      </c>
      <c r="J2318" s="136" t="s">
        <v>12294</v>
      </c>
      <c r="L2318" s="136"/>
      <c r="M2318" s="136"/>
      <c r="N2318" s="136"/>
    </row>
    <row r="2319" spans="6:14">
      <c r="F2319" s="136" t="s">
        <v>12295</v>
      </c>
      <c r="G2319" s="136">
        <v>2316</v>
      </c>
      <c r="H2319" s="136" t="s">
        <v>548</v>
      </c>
      <c r="I2319" s="136" t="s">
        <v>585</v>
      </c>
      <c r="J2319" s="136" t="s">
        <v>12296</v>
      </c>
      <c r="L2319" s="136"/>
      <c r="M2319" s="136"/>
      <c r="N2319" s="136"/>
    </row>
    <row r="2320" spans="6:14">
      <c r="F2320" s="136" t="s">
        <v>12297</v>
      </c>
      <c r="G2320" s="136">
        <v>2317</v>
      </c>
      <c r="H2320" s="136" t="s">
        <v>2744</v>
      </c>
      <c r="I2320" s="136" t="s">
        <v>2752</v>
      </c>
      <c r="J2320" s="136" t="s">
        <v>12298</v>
      </c>
      <c r="L2320" s="136"/>
      <c r="M2320" s="136"/>
      <c r="N2320" s="136"/>
    </row>
    <row r="2321" spans="6:14">
      <c r="F2321" s="136" t="s">
        <v>12299</v>
      </c>
      <c r="G2321" s="136">
        <v>2318</v>
      </c>
      <c r="H2321" s="136" t="s">
        <v>826</v>
      </c>
      <c r="I2321" s="136" t="s">
        <v>827</v>
      </c>
      <c r="J2321" s="136" t="s">
        <v>12300</v>
      </c>
      <c r="L2321" s="136"/>
      <c r="M2321" s="136"/>
      <c r="N2321" s="136"/>
    </row>
    <row r="2322" spans="6:14">
      <c r="F2322" s="136" t="s">
        <v>12301</v>
      </c>
      <c r="G2322" s="136">
        <v>2319</v>
      </c>
      <c r="H2322" s="136" t="s">
        <v>5850</v>
      </c>
      <c r="I2322" s="136" t="s">
        <v>5851</v>
      </c>
      <c r="J2322" s="136" t="s">
        <v>12302</v>
      </c>
      <c r="L2322" s="136"/>
      <c r="M2322" s="136"/>
      <c r="N2322" s="136"/>
    </row>
    <row r="2323" spans="6:14">
      <c r="F2323" s="136" t="s">
        <v>12303</v>
      </c>
      <c r="G2323" s="136">
        <v>2320</v>
      </c>
      <c r="H2323" s="136" t="s">
        <v>5235</v>
      </c>
      <c r="I2323" s="136" t="s">
        <v>5236</v>
      </c>
      <c r="J2323" s="136" t="s">
        <v>12304</v>
      </c>
      <c r="L2323" s="136"/>
      <c r="M2323" s="136"/>
      <c r="N2323" s="136"/>
    </row>
    <row r="2324" spans="6:14">
      <c r="F2324" s="136" t="s">
        <v>12305</v>
      </c>
      <c r="G2324" s="136">
        <v>2321</v>
      </c>
      <c r="H2324" s="136" t="s">
        <v>12306</v>
      </c>
      <c r="I2324" s="136" t="s">
        <v>12307</v>
      </c>
      <c r="J2324" s="136" t="s">
        <v>12308</v>
      </c>
      <c r="L2324" s="136"/>
      <c r="M2324" s="136"/>
      <c r="N2324" s="136"/>
    </row>
    <row r="2325" spans="6:14">
      <c r="F2325" s="136" t="s">
        <v>12309</v>
      </c>
      <c r="G2325" s="136">
        <v>2322</v>
      </c>
      <c r="H2325" s="136" t="s">
        <v>12310</v>
      </c>
      <c r="I2325" s="136" t="s">
        <v>12311</v>
      </c>
      <c r="J2325" s="136" t="s">
        <v>12312</v>
      </c>
      <c r="L2325" s="136"/>
      <c r="M2325" s="136"/>
      <c r="N2325" s="136"/>
    </row>
    <row r="2326" spans="6:14">
      <c r="F2326" s="136" t="s">
        <v>12313</v>
      </c>
      <c r="G2326" s="136">
        <v>2323</v>
      </c>
      <c r="H2326" s="136" t="s">
        <v>1115</v>
      </c>
      <c r="I2326" s="136" t="s">
        <v>1116</v>
      </c>
      <c r="J2326" s="136" t="s">
        <v>12314</v>
      </c>
      <c r="L2326" s="136"/>
      <c r="M2326" s="136"/>
      <c r="N2326" s="136"/>
    </row>
    <row r="2327" spans="6:14">
      <c r="F2327" s="136" t="s">
        <v>12315</v>
      </c>
      <c r="G2327" s="136">
        <v>2324</v>
      </c>
      <c r="H2327" s="136" t="s">
        <v>3753</v>
      </c>
      <c r="I2327" s="136" t="s">
        <v>3754</v>
      </c>
      <c r="J2327" s="136" t="s">
        <v>12316</v>
      </c>
      <c r="L2327" s="136"/>
      <c r="M2327" s="136"/>
      <c r="N2327" s="136"/>
    </row>
    <row r="2328" spans="6:14">
      <c r="F2328" s="136" t="s">
        <v>12317</v>
      </c>
      <c r="G2328" s="136">
        <v>2325</v>
      </c>
      <c r="H2328" s="136" t="s">
        <v>5690</v>
      </c>
      <c r="I2328" s="136" t="s">
        <v>5691</v>
      </c>
      <c r="J2328" s="136" t="s">
        <v>12318</v>
      </c>
      <c r="L2328" s="136"/>
      <c r="M2328" s="136"/>
      <c r="N2328" s="136"/>
    </row>
    <row r="2329" spans="6:14">
      <c r="F2329" s="136" t="s">
        <v>12319</v>
      </c>
      <c r="G2329" s="136">
        <v>2326</v>
      </c>
      <c r="H2329" s="136" t="s">
        <v>2897</v>
      </c>
      <c r="I2329" s="136" t="s">
        <v>2898</v>
      </c>
      <c r="J2329" s="136" t="s">
        <v>12320</v>
      </c>
      <c r="L2329" s="136"/>
      <c r="M2329" s="136"/>
      <c r="N2329" s="136"/>
    </row>
    <row r="2330" spans="6:14">
      <c r="F2330" s="136" t="s">
        <v>12321</v>
      </c>
      <c r="G2330" s="136">
        <v>2327</v>
      </c>
      <c r="H2330" s="136" t="s">
        <v>3723</v>
      </c>
      <c r="I2330" s="136" t="s">
        <v>3724</v>
      </c>
      <c r="J2330" s="136" t="s">
        <v>12322</v>
      </c>
      <c r="L2330" s="136"/>
      <c r="M2330" s="136"/>
      <c r="N2330" s="136"/>
    </row>
    <row r="2331" spans="6:14">
      <c r="F2331" s="136" t="s">
        <v>12323</v>
      </c>
      <c r="G2331" s="136">
        <v>2328</v>
      </c>
      <c r="H2331" s="136" t="s">
        <v>2744</v>
      </c>
      <c r="I2331" s="136" t="s">
        <v>2753</v>
      </c>
      <c r="J2331" s="136" t="s">
        <v>12324</v>
      </c>
      <c r="L2331" s="136"/>
      <c r="M2331" s="136"/>
      <c r="N2331" s="136"/>
    </row>
    <row r="2332" spans="6:14">
      <c r="F2332" s="136" t="s">
        <v>12325</v>
      </c>
      <c r="G2332" s="136">
        <v>2329</v>
      </c>
      <c r="H2332" s="136" t="s">
        <v>2744</v>
      </c>
      <c r="I2332" s="136" t="s">
        <v>2754</v>
      </c>
      <c r="J2332" s="136" t="s">
        <v>12326</v>
      </c>
      <c r="L2332" s="136"/>
      <c r="M2332" s="136"/>
      <c r="N2332" s="136"/>
    </row>
    <row r="2333" spans="6:14">
      <c r="F2333" s="136" t="s">
        <v>12327</v>
      </c>
      <c r="G2333" s="136">
        <v>2330</v>
      </c>
      <c r="H2333" s="136" t="s">
        <v>4926</v>
      </c>
      <c r="I2333" s="136" t="s">
        <v>4927</v>
      </c>
      <c r="J2333" s="136" t="s">
        <v>12328</v>
      </c>
      <c r="L2333" s="136"/>
      <c r="M2333" s="136"/>
      <c r="N2333" s="136"/>
    </row>
    <row r="2334" spans="6:14">
      <c r="F2334" s="136" t="s">
        <v>12329</v>
      </c>
      <c r="G2334" s="136">
        <v>2331</v>
      </c>
      <c r="H2334" s="136" t="s">
        <v>4304</v>
      </c>
      <c r="I2334" s="136" t="s">
        <v>4305</v>
      </c>
      <c r="J2334" s="136" t="s">
        <v>12330</v>
      </c>
      <c r="L2334" s="136"/>
      <c r="M2334" s="136"/>
      <c r="N2334" s="136"/>
    </row>
    <row r="2335" spans="6:14">
      <c r="F2335" s="136" t="s">
        <v>12331</v>
      </c>
      <c r="G2335" s="136">
        <v>2332</v>
      </c>
      <c r="H2335" s="136" t="s">
        <v>2498</v>
      </c>
      <c r="I2335" s="136" t="s">
        <v>2499</v>
      </c>
      <c r="J2335" s="136" t="s">
        <v>12332</v>
      </c>
      <c r="L2335" s="136"/>
      <c r="M2335" s="136"/>
      <c r="N2335" s="136"/>
    </row>
    <row r="2336" spans="6:14">
      <c r="F2336" s="136" t="s">
        <v>12333</v>
      </c>
      <c r="G2336" s="136">
        <v>2333</v>
      </c>
      <c r="H2336" s="136" t="s">
        <v>3025</v>
      </c>
      <c r="I2336" s="136" t="s">
        <v>3026</v>
      </c>
      <c r="J2336" s="136" t="s">
        <v>12334</v>
      </c>
      <c r="L2336" s="136"/>
      <c r="M2336" s="136"/>
      <c r="N2336" s="136"/>
    </row>
    <row r="2337" spans="6:14">
      <c r="F2337" s="136" t="s">
        <v>12335</v>
      </c>
      <c r="G2337" s="136">
        <v>2334</v>
      </c>
      <c r="H2337" s="136" t="s">
        <v>2211</v>
      </c>
      <c r="I2337" s="136" t="s">
        <v>2212</v>
      </c>
      <c r="J2337" s="136" t="s">
        <v>12336</v>
      </c>
      <c r="L2337" s="136"/>
      <c r="M2337" s="136"/>
      <c r="N2337" s="136"/>
    </row>
    <row r="2338" spans="6:14">
      <c r="F2338" s="136" t="s">
        <v>12337</v>
      </c>
      <c r="G2338" s="136">
        <v>2335</v>
      </c>
      <c r="H2338" s="136" t="s">
        <v>789</v>
      </c>
      <c r="I2338" s="136" t="s">
        <v>790</v>
      </c>
      <c r="J2338" s="136" t="s">
        <v>12338</v>
      </c>
      <c r="L2338" s="136"/>
      <c r="M2338" s="136"/>
      <c r="N2338" s="136"/>
    </row>
    <row r="2339" spans="6:14">
      <c r="F2339" s="136" t="s">
        <v>12339</v>
      </c>
      <c r="G2339" s="136">
        <v>2336</v>
      </c>
      <c r="H2339" s="136" t="s">
        <v>1685</v>
      </c>
      <c r="I2339" s="136" t="s">
        <v>1686</v>
      </c>
      <c r="J2339" s="136" t="s">
        <v>12340</v>
      </c>
      <c r="L2339" s="136"/>
      <c r="M2339" s="136"/>
      <c r="N2339" s="136"/>
    </row>
    <row r="2340" spans="6:14">
      <c r="F2340" s="136" t="s">
        <v>12341</v>
      </c>
      <c r="G2340" s="136">
        <v>2337</v>
      </c>
      <c r="H2340" s="136" t="s">
        <v>12342</v>
      </c>
      <c r="I2340" s="136" t="s">
        <v>12343</v>
      </c>
      <c r="J2340" s="136" t="s">
        <v>12344</v>
      </c>
      <c r="L2340" s="136"/>
      <c r="M2340" s="136"/>
      <c r="N2340" s="136"/>
    </row>
    <row r="2341" spans="6:14">
      <c r="F2341" s="136" t="s">
        <v>12345</v>
      </c>
      <c r="G2341" s="136">
        <v>2338</v>
      </c>
      <c r="H2341" s="136" t="s">
        <v>2429</v>
      </c>
      <c r="I2341" s="136" t="s">
        <v>2430</v>
      </c>
      <c r="J2341" s="136" t="s">
        <v>12346</v>
      </c>
      <c r="L2341" s="136"/>
      <c r="M2341" s="136"/>
      <c r="N2341" s="136"/>
    </row>
    <row r="2342" spans="6:14">
      <c r="F2342" s="136" t="s">
        <v>12347</v>
      </c>
      <c r="G2342" s="136">
        <v>2339</v>
      </c>
      <c r="H2342" s="136" t="s">
        <v>12348</v>
      </c>
      <c r="I2342" s="136" t="s">
        <v>12349</v>
      </c>
      <c r="J2342" s="136" t="s">
        <v>12350</v>
      </c>
      <c r="L2342" s="136"/>
      <c r="M2342" s="136"/>
      <c r="N2342" s="136"/>
    </row>
    <row r="2343" spans="6:14">
      <c r="F2343" s="136" t="s">
        <v>12351</v>
      </c>
      <c r="G2343" s="136">
        <v>2340</v>
      </c>
      <c r="H2343" s="136" t="s">
        <v>12352</v>
      </c>
      <c r="I2343" s="136" t="s">
        <v>12353</v>
      </c>
      <c r="J2343" s="136" t="s">
        <v>12354</v>
      </c>
      <c r="L2343" s="136"/>
      <c r="M2343" s="136"/>
      <c r="N2343" s="136"/>
    </row>
    <row r="2344" spans="6:14">
      <c r="F2344" s="136" t="s">
        <v>12355</v>
      </c>
      <c r="G2344" s="136">
        <v>2341</v>
      </c>
      <c r="H2344" s="136" t="s">
        <v>12356</v>
      </c>
      <c r="I2344" s="136" t="s">
        <v>12357</v>
      </c>
      <c r="J2344" s="136" t="s">
        <v>12358</v>
      </c>
      <c r="L2344" s="136"/>
      <c r="M2344" s="136"/>
      <c r="N2344" s="136"/>
    </row>
    <row r="2345" spans="6:14">
      <c r="F2345" s="136" t="s">
        <v>12359</v>
      </c>
      <c r="G2345" s="136">
        <v>2342</v>
      </c>
      <c r="H2345" s="136" t="s">
        <v>12360</v>
      </c>
      <c r="I2345" s="136" t="s">
        <v>12361</v>
      </c>
      <c r="J2345" s="136" t="s">
        <v>12362</v>
      </c>
      <c r="L2345" s="136"/>
      <c r="M2345" s="136"/>
      <c r="N2345" s="136"/>
    </row>
    <row r="2346" spans="6:14">
      <c r="F2346" s="136" t="s">
        <v>12363</v>
      </c>
      <c r="G2346" s="136">
        <v>2343</v>
      </c>
      <c r="H2346" s="136" t="s">
        <v>12364</v>
      </c>
      <c r="I2346" s="136" t="s">
        <v>12365</v>
      </c>
      <c r="J2346" s="136" t="s">
        <v>12366</v>
      </c>
      <c r="L2346" s="136"/>
      <c r="M2346" s="136"/>
      <c r="N2346" s="136"/>
    </row>
    <row r="2347" spans="6:14">
      <c r="F2347" s="136" t="s">
        <v>12367</v>
      </c>
      <c r="G2347" s="136">
        <v>2344</v>
      </c>
      <c r="H2347" s="136" t="s">
        <v>12368</v>
      </c>
      <c r="I2347" s="136" t="s">
        <v>12368</v>
      </c>
      <c r="J2347" s="136" t="s">
        <v>12369</v>
      </c>
      <c r="L2347" s="136"/>
      <c r="M2347" s="136"/>
      <c r="N2347" s="136"/>
    </row>
    <row r="2348" spans="6:14">
      <c r="F2348" s="136" t="s">
        <v>12370</v>
      </c>
      <c r="G2348" s="136">
        <v>2345</v>
      </c>
      <c r="H2348" s="136" t="s">
        <v>1206</v>
      </c>
      <c r="I2348" s="136" t="s">
        <v>1207</v>
      </c>
      <c r="J2348" s="136" t="s">
        <v>12371</v>
      </c>
      <c r="L2348" s="136"/>
      <c r="M2348" s="136"/>
      <c r="N2348" s="136"/>
    </row>
    <row r="2349" spans="6:14">
      <c r="F2349" s="136" t="s">
        <v>12372</v>
      </c>
      <c r="G2349" s="136">
        <v>2346</v>
      </c>
      <c r="H2349" s="136" t="s">
        <v>1312</v>
      </c>
      <c r="I2349" s="136" t="s">
        <v>1313</v>
      </c>
      <c r="J2349" s="136" t="s">
        <v>12373</v>
      </c>
      <c r="L2349" s="136"/>
      <c r="M2349" s="136"/>
      <c r="N2349" s="136"/>
    </row>
    <row r="2350" spans="6:14">
      <c r="F2350" s="136" t="s">
        <v>12374</v>
      </c>
      <c r="G2350" s="136">
        <v>2347</v>
      </c>
      <c r="H2350" s="136" t="s">
        <v>12375</v>
      </c>
      <c r="I2350" s="136" t="s">
        <v>12376</v>
      </c>
      <c r="J2350" s="136" t="s">
        <v>12377</v>
      </c>
      <c r="L2350" s="136"/>
      <c r="M2350" s="136"/>
      <c r="N2350" s="136"/>
    </row>
    <row r="2351" spans="6:14">
      <c r="F2351" s="136" t="s">
        <v>12378</v>
      </c>
      <c r="G2351" s="136">
        <v>2348</v>
      </c>
      <c r="H2351" s="136" t="s">
        <v>3333</v>
      </c>
      <c r="I2351" s="136" t="s">
        <v>3334</v>
      </c>
      <c r="J2351" s="136" t="s">
        <v>12379</v>
      </c>
      <c r="L2351" s="136"/>
      <c r="M2351" s="136"/>
      <c r="N2351" s="136"/>
    </row>
    <row r="2352" spans="6:14">
      <c r="F2352" s="136" t="s">
        <v>12380</v>
      </c>
      <c r="G2352" s="136">
        <v>2349</v>
      </c>
      <c r="H2352" s="136" t="s">
        <v>352</v>
      </c>
      <c r="I2352" s="136" t="s">
        <v>353</v>
      </c>
      <c r="J2352" s="136" t="s">
        <v>12381</v>
      </c>
      <c r="L2352" s="136"/>
      <c r="M2352" s="136"/>
      <c r="N2352" s="136"/>
    </row>
    <row r="2353" spans="6:14">
      <c r="F2353" s="136" t="s">
        <v>12382</v>
      </c>
      <c r="G2353" s="136">
        <v>2350</v>
      </c>
      <c r="H2353" s="136" t="s">
        <v>5848</v>
      </c>
      <c r="I2353" s="136" t="s">
        <v>5849</v>
      </c>
      <c r="J2353" s="136" t="s">
        <v>12383</v>
      </c>
      <c r="L2353" s="136"/>
      <c r="M2353" s="136"/>
      <c r="N2353" s="136"/>
    </row>
    <row r="2354" spans="6:14">
      <c r="F2354" s="136" t="s">
        <v>12384</v>
      </c>
      <c r="G2354" s="136">
        <v>2351</v>
      </c>
      <c r="H2354" s="136" t="s">
        <v>12385</v>
      </c>
      <c r="I2354" s="136" t="s">
        <v>12386</v>
      </c>
      <c r="J2354" s="136" t="s">
        <v>12387</v>
      </c>
      <c r="L2354" s="136"/>
      <c r="M2354" s="136"/>
      <c r="N2354" s="136"/>
    </row>
    <row r="2355" spans="6:14">
      <c r="F2355" s="136" t="s">
        <v>12388</v>
      </c>
      <c r="G2355" s="136">
        <v>2352</v>
      </c>
      <c r="H2355" s="136" t="s">
        <v>5753</v>
      </c>
      <c r="I2355" s="136" t="s">
        <v>5754</v>
      </c>
      <c r="J2355" s="136" t="s">
        <v>12389</v>
      </c>
      <c r="L2355" s="136"/>
      <c r="M2355" s="136"/>
      <c r="N2355" s="136"/>
    </row>
    <row r="2356" spans="6:14">
      <c r="F2356" s="136" t="s">
        <v>12390</v>
      </c>
      <c r="G2356" s="136">
        <v>2353</v>
      </c>
      <c r="H2356" s="136" t="s">
        <v>12391</v>
      </c>
      <c r="I2356" s="136" t="s">
        <v>12392</v>
      </c>
      <c r="J2356" s="136" t="s">
        <v>12393</v>
      </c>
      <c r="L2356" s="136"/>
      <c r="M2356" s="136"/>
      <c r="N2356" s="136"/>
    </row>
    <row r="2357" spans="6:14">
      <c r="F2357" s="136" t="s">
        <v>12394</v>
      </c>
      <c r="G2357" s="136">
        <v>2354</v>
      </c>
      <c r="H2357" s="136" t="s">
        <v>2776</v>
      </c>
      <c r="I2357" s="136" t="s">
        <v>2777</v>
      </c>
      <c r="J2357" s="136" t="s">
        <v>12395</v>
      </c>
      <c r="L2357" s="136"/>
      <c r="M2357" s="136"/>
      <c r="N2357" s="136"/>
    </row>
    <row r="2358" spans="6:14">
      <c r="F2358" s="136" t="s">
        <v>12396</v>
      </c>
      <c r="G2358" s="136">
        <v>2355</v>
      </c>
      <c r="H2358" s="136" t="s">
        <v>12397</v>
      </c>
      <c r="I2358" s="136" t="s">
        <v>12398</v>
      </c>
      <c r="J2358" s="136" t="s">
        <v>12399</v>
      </c>
      <c r="L2358" s="136"/>
      <c r="M2358" s="136"/>
      <c r="N2358" s="136"/>
    </row>
    <row r="2359" spans="6:14">
      <c r="F2359" s="136" t="s">
        <v>12400</v>
      </c>
      <c r="G2359" s="136">
        <v>2356</v>
      </c>
      <c r="H2359" s="136" t="s">
        <v>12401</v>
      </c>
      <c r="I2359" s="136" t="s">
        <v>12402</v>
      </c>
      <c r="J2359" s="136" t="s">
        <v>12403</v>
      </c>
      <c r="L2359" s="136"/>
      <c r="M2359" s="136"/>
      <c r="N2359" s="136"/>
    </row>
    <row r="2360" spans="6:14">
      <c r="F2360" s="136" t="s">
        <v>12404</v>
      </c>
      <c r="G2360" s="136">
        <v>2357</v>
      </c>
      <c r="H2360" s="136" t="s">
        <v>1737</v>
      </c>
      <c r="I2360" s="136" t="s">
        <v>1738</v>
      </c>
      <c r="J2360" s="136" t="s">
        <v>12405</v>
      </c>
      <c r="L2360" s="136"/>
      <c r="M2360" s="136"/>
      <c r="N2360" s="136"/>
    </row>
    <row r="2361" spans="6:14">
      <c r="F2361" s="136" t="s">
        <v>12406</v>
      </c>
      <c r="G2361" s="136">
        <v>2358</v>
      </c>
      <c r="H2361" s="136" t="s">
        <v>12407</v>
      </c>
      <c r="I2361" s="136" t="s">
        <v>12408</v>
      </c>
      <c r="J2361" s="136" t="s">
        <v>12409</v>
      </c>
      <c r="L2361" s="136"/>
      <c r="M2361" s="136"/>
      <c r="N2361" s="136"/>
    </row>
    <row r="2362" spans="6:14">
      <c r="F2362" s="136" t="s">
        <v>12410</v>
      </c>
      <c r="G2362" s="136">
        <v>2359</v>
      </c>
      <c r="H2362" s="136" t="s">
        <v>12411</v>
      </c>
      <c r="I2362" s="136" t="s">
        <v>12412</v>
      </c>
      <c r="J2362" s="136" t="s">
        <v>12413</v>
      </c>
      <c r="L2362" s="136"/>
      <c r="M2362" s="136"/>
      <c r="N2362" s="136"/>
    </row>
    <row r="2363" spans="6:14">
      <c r="F2363" s="136" t="s">
        <v>12414</v>
      </c>
      <c r="G2363" s="136">
        <v>2360</v>
      </c>
      <c r="H2363" s="136" t="s">
        <v>12415</v>
      </c>
      <c r="I2363" s="136" t="s">
        <v>12416</v>
      </c>
      <c r="J2363" s="136" t="s">
        <v>12417</v>
      </c>
      <c r="L2363" s="136"/>
      <c r="M2363" s="136"/>
      <c r="N2363" s="136"/>
    </row>
    <row r="2364" spans="6:14">
      <c r="F2364" s="136" t="s">
        <v>12418</v>
      </c>
      <c r="G2364" s="136">
        <v>2361</v>
      </c>
      <c r="H2364" s="136" t="s">
        <v>6013</v>
      </c>
      <c r="I2364" s="136" t="s">
        <v>6014</v>
      </c>
      <c r="J2364" s="136" t="s">
        <v>12419</v>
      </c>
      <c r="L2364" s="136"/>
      <c r="M2364" s="136"/>
      <c r="N2364" s="136"/>
    </row>
    <row r="2365" spans="6:14">
      <c r="F2365" s="136" t="s">
        <v>12420</v>
      </c>
      <c r="G2365" s="136">
        <v>2362</v>
      </c>
      <c r="H2365" s="136" t="s">
        <v>3420</v>
      </c>
      <c r="I2365" s="136" t="s">
        <v>3421</v>
      </c>
      <c r="J2365" s="136" t="s">
        <v>12421</v>
      </c>
      <c r="L2365" s="136"/>
      <c r="M2365" s="136"/>
      <c r="N2365" s="136"/>
    </row>
    <row r="2366" spans="6:14">
      <c r="F2366" s="136" t="s">
        <v>12422</v>
      </c>
      <c r="G2366" s="136">
        <v>2363</v>
      </c>
      <c r="H2366" s="136" t="s">
        <v>211</v>
      </c>
      <c r="I2366" s="136" t="s">
        <v>212</v>
      </c>
      <c r="J2366" s="136" t="s">
        <v>12423</v>
      </c>
      <c r="L2366" s="136"/>
      <c r="M2366" s="136"/>
      <c r="N2366" s="136"/>
    </row>
    <row r="2367" spans="6:14">
      <c r="F2367" s="136" t="s">
        <v>12424</v>
      </c>
      <c r="G2367" s="136">
        <v>2364</v>
      </c>
      <c r="H2367" s="136" t="s">
        <v>12425</v>
      </c>
      <c r="I2367" s="136" t="s">
        <v>12426</v>
      </c>
      <c r="J2367" s="136" t="s">
        <v>12427</v>
      </c>
      <c r="L2367" s="136"/>
      <c r="M2367" s="136"/>
      <c r="N2367" s="136"/>
    </row>
    <row r="2368" spans="6:14">
      <c r="F2368" s="136" t="s">
        <v>12428</v>
      </c>
      <c r="G2368" s="136">
        <v>2365</v>
      </c>
      <c r="H2368" s="136" t="s">
        <v>12429</v>
      </c>
      <c r="I2368" s="136" t="s">
        <v>12430</v>
      </c>
      <c r="J2368" s="136" t="s">
        <v>12431</v>
      </c>
      <c r="L2368" s="136"/>
      <c r="M2368" s="136"/>
      <c r="N2368" s="136"/>
    </row>
    <row r="2369" spans="6:14">
      <c r="F2369" s="136" t="s">
        <v>12432</v>
      </c>
      <c r="G2369" s="136">
        <v>2366</v>
      </c>
      <c r="H2369" s="136" t="s">
        <v>548</v>
      </c>
      <c r="I2369" s="136" t="s">
        <v>586</v>
      </c>
      <c r="J2369" s="136" t="s">
        <v>12433</v>
      </c>
      <c r="L2369" s="136"/>
      <c r="M2369" s="136"/>
      <c r="N2369" s="136"/>
    </row>
    <row r="2370" spans="6:14">
      <c r="F2370" s="136" t="s">
        <v>12434</v>
      </c>
      <c r="G2370" s="136">
        <v>2367</v>
      </c>
      <c r="H2370" s="136" t="s">
        <v>3621</v>
      </c>
      <c r="I2370" s="136" t="s">
        <v>3622</v>
      </c>
      <c r="J2370" s="136" t="s">
        <v>12435</v>
      </c>
      <c r="L2370" s="136"/>
      <c r="M2370" s="136"/>
      <c r="N2370" s="136"/>
    </row>
    <row r="2371" spans="6:14">
      <c r="F2371" s="136" t="s">
        <v>12436</v>
      </c>
      <c r="G2371" s="136">
        <v>2368</v>
      </c>
      <c r="H2371" s="136" t="s">
        <v>12437</v>
      </c>
      <c r="I2371" s="136" t="s">
        <v>12438</v>
      </c>
      <c r="J2371" s="136" t="s">
        <v>12439</v>
      </c>
      <c r="L2371" s="136"/>
      <c r="M2371" s="136"/>
      <c r="N2371" s="136"/>
    </row>
    <row r="2372" spans="6:14">
      <c r="F2372" s="136" t="s">
        <v>12440</v>
      </c>
      <c r="G2372" s="136">
        <v>2369</v>
      </c>
      <c r="H2372" s="136" t="s">
        <v>744</v>
      </c>
      <c r="I2372" s="136" t="s">
        <v>748</v>
      </c>
      <c r="J2372" s="136" t="s">
        <v>12441</v>
      </c>
      <c r="L2372" s="136"/>
      <c r="M2372" s="136"/>
      <c r="N2372" s="136"/>
    </row>
    <row r="2373" spans="6:14">
      <c r="F2373" s="136" t="s">
        <v>12442</v>
      </c>
      <c r="G2373" s="136">
        <v>2370</v>
      </c>
      <c r="H2373" s="136" t="s">
        <v>4420</v>
      </c>
      <c r="I2373" s="136" t="s">
        <v>4421</v>
      </c>
      <c r="J2373" s="136" t="s">
        <v>12443</v>
      </c>
      <c r="L2373" s="136"/>
      <c r="M2373" s="136"/>
      <c r="N2373" s="136"/>
    </row>
    <row r="2374" spans="6:14">
      <c r="F2374" s="136" t="s">
        <v>12444</v>
      </c>
      <c r="G2374" s="136">
        <v>2371</v>
      </c>
      <c r="H2374" s="136" t="s">
        <v>2780</v>
      </c>
      <c r="I2374" s="136" t="s">
        <v>2781</v>
      </c>
      <c r="J2374" s="136" t="s">
        <v>12445</v>
      </c>
      <c r="L2374" s="136"/>
      <c r="M2374" s="136"/>
      <c r="N2374" s="136"/>
    </row>
    <row r="2375" spans="6:14">
      <c r="F2375" s="136" t="s">
        <v>12446</v>
      </c>
      <c r="G2375" s="136">
        <v>2372</v>
      </c>
      <c r="H2375" s="136" t="s">
        <v>5283</v>
      </c>
      <c r="I2375" s="136" t="s">
        <v>5284</v>
      </c>
      <c r="J2375" s="136" t="s">
        <v>12447</v>
      </c>
      <c r="L2375" s="136"/>
      <c r="M2375" s="136"/>
      <c r="N2375" s="136"/>
    </row>
    <row r="2376" spans="6:14">
      <c r="F2376" s="136" t="s">
        <v>12448</v>
      </c>
      <c r="G2376" s="136">
        <v>2373</v>
      </c>
      <c r="H2376" s="136" t="s">
        <v>348</v>
      </c>
      <c r="I2376" s="136" t="s">
        <v>349</v>
      </c>
      <c r="J2376" s="136" t="s">
        <v>12449</v>
      </c>
      <c r="L2376" s="136"/>
      <c r="M2376" s="136"/>
      <c r="N2376" s="136"/>
    </row>
    <row r="2377" spans="6:14">
      <c r="F2377" s="136" t="s">
        <v>12450</v>
      </c>
      <c r="G2377" s="136">
        <v>2374</v>
      </c>
      <c r="H2377" s="136" t="s">
        <v>12451</v>
      </c>
      <c r="I2377" s="136" t="s">
        <v>12452</v>
      </c>
      <c r="J2377" s="136" t="s">
        <v>12453</v>
      </c>
      <c r="L2377" s="136"/>
      <c r="M2377" s="136"/>
      <c r="N2377" s="136"/>
    </row>
    <row r="2378" spans="6:14">
      <c r="F2378" s="136" t="s">
        <v>12454</v>
      </c>
      <c r="G2378" s="136">
        <v>2375</v>
      </c>
      <c r="H2378" s="136" t="s">
        <v>12455</v>
      </c>
      <c r="I2378" s="136" t="s">
        <v>12456</v>
      </c>
      <c r="J2378" s="136" t="s">
        <v>12457</v>
      </c>
      <c r="L2378" s="136"/>
      <c r="M2378" s="136"/>
      <c r="N2378" s="136"/>
    </row>
    <row r="2379" spans="6:14">
      <c r="F2379" s="136" t="s">
        <v>12458</v>
      </c>
      <c r="G2379" s="136">
        <v>2376</v>
      </c>
      <c r="H2379" s="136" t="s">
        <v>2042</v>
      </c>
      <c r="I2379" s="136" t="s">
        <v>2043</v>
      </c>
      <c r="J2379" s="136" t="s">
        <v>12459</v>
      </c>
      <c r="L2379" s="136"/>
      <c r="M2379" s="136"/>
      <c r="N2379" s="136"/>
    </row>
    <row r="2380" spans="6:14">
      <c r="F2380" s="136" t="s">
        <v>12460</v>
      </c>
      <c r="G2380" s="136">
        <v>2377</v>
      </c>
      <c r="H2380" s="136" t="s">
        <v>767</v>
      </c>
      <c r="I2380" s="136" t="s">
        <v>768</v>
      </c>
      <c r="J2380" s="136" t="s">
        <v>12461</v>
      </c>
      <c r="L2380" s="136"/>
      <c r="M2380" s="136"/>
      <c r="N2380" s="136"/>
    </row>
    <row r="2381" spans="6:14">
      <c r="F2381" s="136" t="s">
        <v>12462</v>
      </c>
      <c r="G2381" s="136">
        <v>2378</v>
      </c>
      <c r="H2381" s="136" t="s">
        <v>5089</v>
      </c>
      <c r="I2381" s="136" t="s">
        <v>5090</v>
      </c>
      <c r="J2381" s="136" t="s">
        <v>12463</v>
      </c>
      <c r="L2381" s="136"/>
      <c r="M2381" s="136"/>
      <c r="N2381" s="136"/>
    </row>
    <row r="2382" spans="6:14">
      <c r="F2382" s="136" t="s">
        <v>12464</v>
      </c>
      <c r="G2382" s="136">
        <v>2379</v>
      </c>
      <c r="H2382" s="136" t="s">
        <v>3518</v>
      </c>
      <c r="I2382" s="136" t="s">
        <v>3519</v>
      </c>
      <c r="J2382" s="136" t="s">
        <v>12465</v>
      </c>
      <c r="L2382" s="136"/>
      <c r="M2382" s="136"/>
      <c r="N2382" s="136"/>
    </row>
    <row r="2383" spans="6:14">
      <c r="F2383" s="136" t="s">
        <v>12466</v>
      </c>
      <c r="G2383" s="136">
        <v>2380</v>
      </c>
      <c r="H2383" s="136" t="s">
        <v>12467</v>
      </c>
      <c r="I2383" s="136" t="s">
        <v>12468</v>
      </c>
      <c r="J2383" s="136" t="s">
        <v>12469</v>
      </c>
      <c r="L2383" s="136"/>
      <c r="M2383" s="136"/>
      <c r="N2383" s="136"/>
    </row>
    <row r="2384" spans="6:14">
      <c r="F2384" s="136" t="s">
        <v>12470</v>
      </c>
      <c r="G2384" s="136">
        <v>2381</v>
      </c>
      <c r="H2384" s="136" t="s">
        <v>12471</v>
      </c>
      <c r="I2384" s="136" t="s">
        <v>12472</v>
      </c>
      <c r="J2384" s="136" t="s">
        <v>12473</v>
      </c>
      <c r="L2384" s="136"/>
      <c r="M2384" s="136"/>
      <c r="N2384" s="136"/>
    </row>
    <row r="2385" spans="6:14">
      <c r="F2385" s="136" t="s">
        <v>12474</v>
      </c>
      <c r="G2385" s="136">
        <v>2382</v>
      </c>
      <c r="H2385" s="136" t="s">
        <v>12475</v>
      </c>
      <c r="I2385" s="136" t="s">
        <v>12476</v>
      </c>
      <c r="J2385" s="136" t="s">
        <v>12477</v>
      </c>
      <c r="L2385" s="136"/>
      <c r="M2385" s="136"/>
      <c r="N2385" s="136"/>
    </row>
    <row r="2386" spans="6:14">
      <c r="F2386" s="136" t="s">
        <v>12478</v>
      </c>
      <c r="G2386" s="136">
        <v>2383</v>
      </c>
      <c r="H2386" s="136" t="s">
        <v>12479</v>
      </c>
      <c r="I2386" s="136" t="s">
        <v>12480</v>
      </c>
      <c r="J2386" s="136" t="s">
        <v>12481</v>
      </c>
      <c r="L2386" s="136"/>
      <c r="M2386" s="136"/>
      <c r="N2386" s="136"/>
    </row>
    <row r="2387" spans="6:14">
      <c r="F2387" s="136" t="s">
        <v>12482</v>
      </c>
      <c r="G2387" s="136">
        <v>2384</v>
      </c>
      <c r="H2387" s="136" t="s">
        <v>1377</v>
      </c>
      <c r="I2387" s="136" t="s">
        <v>1378</v>
      </c>
      <c r="J2387" s="136" t="s">
        <v>12483</v>
      </c>
      <c r="L2387" s="136"/>
      <c r="M2387" s="136"/>
      <c r="N2387" s="136"/>
    </row>
    <row r="2388" spans="6:14">
      <c r="F2388" s="136" t="s">
        <v>12484</v>
      </c>
      <c r="G2388" s="136">
        <v>2385</v>
      </c>
      <c r="H2388" s="136" t="s">
        <v>6156</v>
      </c>
      <c r="I2388" s="136" t="s">
        <v>6157</v>
      </c>
      <c r="J2388" s="136" t="s">
        <v>12485</v>
      </c>
      <c r="L2388" s="136"/>
      <c r="M2388" s="136"/>
      <c r="N2388" s="136"/>
    </row>
    <row r="2389" spans="6:14">
      <c r="F2389" s="136" t="s">
        <v>12486</v>
      </c>
      <c r="G2389" s="136">
        <v>2386</v>
      </c>
      <c r="H2389" s="136" t="s">
        <v>3418</v>
      </c>
      <c r="I2389" s="136" t="s">
        <v>3419</v>
      </c>
      <c r="J2389" s="136" t="s">
        <v>12487</v>
      </c>
      <c r="L2389" s="136"/>
      <c r="M2389" s="136"/>
      <c r="N2389" s="136"/>
    </row>
    <row r="2390" spans="6:14">
      <c r="F2390" s="136" t="s">
        <v>12488</v>
      </c>
      <c r="G2390" s="136">
        <v>2387</v>
      </c>
      <c r="H2390" s="136" t="s">
        <v>12489</v>
      </c>
      <c r="I2390" s="136" t="s">
        <v>12490</v>
      </c>
      <c r="J2390" s="136" t="s">
        <v>12491</v>
      </c>
      <c r="L2390" s="136"/>
      <c r="M2390" s="136"/>
      <c r="N2390" s="136"/>
    </row>
    <row r="2391" spans="6:14">
      <c r="F2391" s="136" t="s">
        <v>12492</v>
      </c>
      <c r="G2391" s="136">
        <v>2388</v>
      </c>
      <c r="H2391" s="136" t="s">
        <v>12493</v>
      </c>
      <c r="I2391" s="136" t="s">
        <v>12494</v>
      </c>
      <c r="J2391" s="136" t="s">
        <v>12495</v>
      </c>
      <c r="L2391" s="136"/>
      <c r="M2391" s="136"/>
      <c r="N2391" s="136"/>
    </row>
    <row r="2392" spans="6:14">
      <c r="F2392" s="136" t="s">
        <v>12496</v>
      </c>
      <c r="G2392" s="136">
        <v>2389</v>
      </c>
      <c r="H2392" s="136" t="s">
        <v>1667</v>
      </c>
      <c r="I2392" s="136" t="s">
        <v>1668</v>
      </c>
      <c r="J2392" s="136" t="s">
        <v>12497</v>
      </c>
      <c r="L2392" s="136"/>
      <c r="M2392" s="136"/>
      <c r="N2392" s="136"/>
    </row>
    <row r="2393" spans="6:14">
      <c r="F2393" s="136" t="s">
        <v>12498</v>
      </c>
      <c r="G2393" s="136">
        <v>2390</v>
      </c>
      <c r="H2393" s="136" t="s">
        <v>5245</v>
      </c>
      <c r="I2393" s="136" t="s">
        <v>5246</v>
      </c>
      <c r="J2393" s="136" t="s">
        <v>12499</v>
      </c>
      <c r="L2393" s="136"/>
      <c r="M2393" s="136"/>
      <c r="N2393" s="136"/>
    </row>
    <row r="2394" spans="6:14">
      <c r="F2394" s="136" t="s">
        <v>12500</v>
      </c>
      <c r="G2394" s="136">
        <v>2391</v>
      </c>
      <c r="H2394" s="136" t="s">
        <v>12501</v>
      </c>
      <c r="I2394" s="136" t="s">
        <v>12502</v>
      </c>
      <c r="J2394" s="136" t="s">
        <v>12503</v>
      </c>
      <c r="L2394" s="136"/>
      <c r="M2394" s="136"/>
      <c r="N2394" s="136"/>
    </row>
    <row r="2395" spans="6:14">
      <c r="F2395" s="136" t="s">
        <v>12504</v>
      </c>
      <c r="G2395" s="136">
        <v>2392</v>
      </c>
      <c r="H2395" s="136" t="s">
        <v>12505</v>
      </c>
      <c r="I2395" s="136" t="s">
        <v>12506</v>
      </c>
      <c r="J2395" s="136" t="s">
        <v>12507</v>
      </c>
      <c r="L2395" s="136"/>
      <c r="M2395" s="136"/>
      <c r="N2395" s="136"/>
    </row>
    <row r="2396" spans="6:14">
      <c r="F2396" s="136" t="s">
        <v>12508</v>
      </c>
      <c r="G2396" s="136">
        <v>2393</v>
      </c>
      <c r="H2396" s="136" t="s">
        <v>12509</v>
      </c>
      <c r="I2396" s="136" t="s">
        <v>12510</v>
      </c>
      <c r="J2396" s="136" t="s">
        <v>12511</v>
      </c>
      <c r="L2396" s="136"/>
      <c r="M2396" s="136"/>
      <c r="N2396" s="136"/>
    </row>
    <row r="2397" spans="6:14">
      <c r="F2397" s="136" t="s">
        <v>12512</v>
      </c>
      <c r="G2397" s="136">
        <v>2394</v>
      </c>
      <c r="H2397" s="136" t="s">
        <v>2626</v>
      </c>
      <c r="I2397" s="136" t="s">
        <v>2627</v>
      </c>
      <c r="J2397" s="136" t="s">
        <v>12513</v>
      </c>
      <c r="L2397" s="136"/>
      <c r="M2397" s="136"/>
      <c r="N2397" s="136"/>
    </row>
    <row r="2398" spans="6:14">
      <c r="F2398" s="136" t="s">
        <v>12514</v>
      </c>
      <c r="G2398" s="136">
        <v>2395</v>
      </c>
      <c r="H2398" s="136" t="s">
        <v>4486</v>
      </c>
      <c r="I2398" s="136" t="s">
        <v>4487</v>
      </c>
      <c r="J2398" s="136" t="s">
        <v>12515</v>
      </c>
      <c r="L2398" s="136"/>
      <c r="M2398" s="136"/>
      <c r="N2398" s="136"/>
    </row>
    <row r="2399" spans="6:14">
      <c r="F2399" s="136" t="s">
        <v>12516</v>
      </c>
      <c r="G2399" s="136">
        <v>2396</v>
      </c>
      <c r="H2399" s="136" t="s">
        <v>189</v>
      </c>
      <c r="I2399" s="136" t="s">
        <v>190</v>
      </c>
      <c r="J2399" s="136" t="s">
        <v>12517</v>
      </c>
      <c r="L2399" s="136"/>
      <c r="M2399" s="136"/>
      <c r="N2399" s="136"/>
    </row>
    <row r="2400" spans="6:14">
      <c r="F2400" s="136" t="s">
        <v>12518</v>
      </c>
      <c r="G2400" s="136">
        <v>2397</v>
      </c>
      <c r="H2400" s="136" t="s">
        <v>12519</v>
      </c>
      <c r="I2400" s="136" t="s">
        <v>12520</v>
      </c>
      <c r="J2400" s="136" t="s">
        <v>12521</v>
      </c>
      <c r="L2400" s="136"/>
      <c r="M2400" s="136"/>
      <c r="N2400" s="136"/>
    </row>
    <row r="2401" spans="6:14">
      <c r="F2401" s="136" t="s">
        <v>12522</v>
      </c>
      <c r="G2401" s="136">
        <v>2398</v>
      </c>
      <c r="H2401" s="136" t="s">
        <v>1614</v>
      </c>
      <c r="I2401" s="136" t="s">
        <v>1614</v>
      </c>
      <c r="J2401" s="136" t="s">
        <v>12523</v>
      </c>
      <c r="L2401" s="136"/>
      <c r="M2401" s="136"/>
      <c r="N2401" s="136"/>
    </row>
    <row r="2402" spans="6:14">
      <c r="F2402" s="136" t="s">
        <v>12524</v>
      </c>
      <c r="G2402" s="136">
        <v>2399</v>
      </c>
      <c r="H2402" s="136" t="s">
        <v>12525</v>
      </c>
      <c r="I2402" s="136" t="s">
        <v>12526</v>
      </c>
      <c r="J2402" s="136" t="s">
        <v>12527</v>
      </c>
      <c r="L2402" s="136"/>
      <c r="M2402" s="136"/>
      <c r="N2402" s="136"/>
    </row>
    <row r="2403" spans="6:14">
      <c r="F2403" s="136" t="s">
        <v>12528</v>
      </c>
      <c r="G2403" s="136">
        <v>2400</v>
      </c>
      <c r="H2403" s="136" t="s">
        <v>12529</v>
      </c>
      <c r="I2403" s="136" t="s">
        <v>12530</v>
      </c>
      <c r="J2403" s="136" t="s">
        <v>12531</v>
      </c>
      <c r="L2403" s="136"/>
      <c r="M2403" s="136"/>
      <c r="N2403" s="136"/>
    </row>
    <row r="2404" spans="6:14">
      <c r="F2404" s="136" t="s">
        <v>12532</v>
      </c>
      <c r="G2404" s="136">
        <v>2401</v>
      </c>
      <c r="H2404" s="136" t="s">
        <v>5706</v>
      </c>
      <c r="I2404" s="136" t="s">
        <v>939</v>
      </c>
      <c r="J2404" s="136" t="s">
        <v>12533</v>
      </c>
      <c r="L2404" s="136"/>
      <c r="M2404" s="136"/>
      <c r="N2404" s="136"/>
    </row>
    <row r="2405" spans="6:14">
      <c r="F2405" s="136" t="s">
        <v>12534</v>
      </c>
      <c r="G2405" s="136">
        <v>2402</v>
      </c>
      <c r="H2405" s="136" t="s">
        <v>12535</v>
      </c>
      <c r="I2405" s="136" t="s">
        <v>12536</v>
      </c>
      <c r="J2405" s="136" t="s">
        <v>12537</v>
      </c>
      <c r="L2405" s="136"/>
      <c r="M2405" s="136"/>
      <c r="N2405" s="136"/>
    </row>
    <row r="2406" spans="6:14">
      <c r="F2406" s="136" t="s">
        <v>12538</v>
      </c>
      <c r="G2406" s="136">
        <v>2403</v>
      </c>
      <c r="H2406" s="136" t="s">
        <v>12539</v>
      </c>
      <c r="I2406" s="136" t="s">
        <v>12540</v>
      </c>
      <c r="J2406" s="136" t="s">
        <v>12541</v>
      </c>
      <c r="L2406" s="136"/>
      <c r="M2406" s="136"/>
      <c r="N2406" s="136"/>
    </row>
    <row r="2407" spans="6:14">
      <c r="F2407" s="136" t="s">
        <v>12542</v>
      </c>
      <c r="G2407" s="136">
        <v>2404</v>
      </c>
      <c r="H2407" s="136" t="s">
        <v>12543</v>
      </c>
      <c r="I2407" s="136" t="s">
        <v>12544</v>
      </c>
      <c r="J2407" s="136" t="s">
        <v>12545</v>
      </c>
      <c r="L2407" s="136"/>
      <c r="M2407" s="136"/>
      <c r="N2407" s="136"/>
    </row>
    <row r="2408" spans="6:14">
      <c r="F2408" s="136" t="s">
        <v>12546</v>
      </c>
      <c r="G2408" s="136">
        <v>2405</v>
      </c>
      <c r="H2408" s="136" t="s">
        <v>12547</v>
      </c>
      <c r="I2408" s="136" t="s">
        <v>12548</v>
      </c>
      <c r="J2408" s="136" t="s">
        <v>12549</v>
      </c>
      <c r="L2408" s="136"/>
      <c r="M2408" s="136"/>
      <c r="N2408" s="136"/>
    </row>
    <row r="2409" spans="6:14">
      <c r="F2409" s="136" t="s">
        <v>12550</v>
      </c>
      <c r="G2409" s="136">
        <v>2406</v>
      </c>
      <c r="H2409" s="136" t="s">
        <v>12551</v>
      </c>
      <c r="I2409" s="136" t="s">
        <v>12552</v>
      </c>
      <c r="J2409" s="136" t="s">
        <v>12553</v>
      </c>
      <c r="L2409" s="136"/>
      <c r="M2409" s="136"/>
      <c r="N2409" s="136"/>
    </row>
    <row r="2410" spans="6:14">
      <c r="F2410" s="136" t="s">
        <v>12554</v>
      </c>
      <c r="G2410" s="136">
        <v>2407</v>
      </c>
      <c r="H2410" s="136" t="s">
        <v>12555</v>
      </c>
      <c r="I2410" s="136" t="s">
        <v>12556</v>
      </c>
      <c r="J2410" s="136" t="s">
        <v>12557</v>
      </c>
      <c r="L2410" s="136"/>
      <c r="M2410" s="136"/>
      <c r="N2410" s="136"/>
    </row>
    <row r="2411" spans="6:14">
      <c r="F2411" s="136" t="s">
        <v>12558</v>
      </c>
      <c r="G2411" s="136">
        <v>2408</v>
      </c>
      <c r="H2411" s="136" t="s">
        <v>12559</v>
      </c>
      <c r="I2411" s="136" t="s">
        <v>12560</v>
      </c>
      <c r="J2411" s="136" t="s">
        <v>12561</v>
      </c>
      <c r="L2411" s="136"/>
      <c r="M2411" s="136"/>
      <c r="N2411" s="136"/>
    </row>
    <row r="2412" spans="6:14">
      <c r="F2412" s="136" t="s">
        <v>12562</v>
      </c>
      <c r="G2412" s="136">
        <v>2409</v>
      </c>
      <c r="H2412" s="136" t="s">
        <v>12563</v>
      </c>
      <c r="I2412" s="136" t="s">
        <v>12564</v>
      </c>
      <c r="J2412" s="136" t="s">
        <v>12565</v>
      </c>
      <c r="L2412" s="136"/>
      <c r="M2412" s="136"/>
      <c r="N2412" s="136"/>
    </row>
    <row r="2413" spans="6:14">
      <c r="F2413" s="136" t="s">
        <v>12566</v>
      </c>
      <c r="G2413" s="136">
        <v>2410</v>
      </c>
      <c r="H2413" s="136" t="s">
        <v>3938</v>
      </c>
      <c r="I2413" s="136" t="s">
        <v>3940</v>
      </c>
      <c r="J2413" s="136" t="s">
        <v>12567</v>
      </c>
      <c r="L2413" s="136"/>
      <c r="M2413" s="136"/>
      <c r="N2413" s="136"/>
    </row>
    <row r="2414" spans="6:14">
      <c r="F2414" s="136" t="s">
        <v>12568</v>
      </c>
      <c r="G2414" s="136">
        <v>2411</v>
      </c>
      <c r="H2414" s="136" t="s">
        <v>472</v>
      </c>
      <c r="I2414" s="136" t="s">
        <v>473</v>
      </c>
      <c r="J2414" s="136" t="s">
        <v>12569</v>
      </c>
      <c r="L2414" s="136"/>
      <c r="M2414" s="136"/>
      <c r="N2414" s="136"/>
    </row>
    <row r="2415" spans="6:14">
      <c r="F2415" s="136" t="s">
        <v>12570</v>
      </c>
      <c r="G2415" s="136">
        <v>2412</v>
      </c>
      <c r="H2415" s="136" t="s">
        <v>12571</v>
      </c>
      <c r="I2415" s="136" t="s">
        <v>12572</v>
      </c>
      <c r="J2415" s="136" t="s">
        <v>12573</v>
      </c>
      <c r="L2415" s="136"/>
      <c r="M2415" s="136"/>
      <c r="N2415" s="136"/>
    </row>
    <row r="2416" spans="6:14">
      <c r="F2416" s="136" t="s">
        <v>12574</v>
      </c>
      <c r="G2416" s="136">
        <v>2413</v>
      </c>
      <c r="H2416" s="136" t="s">
        <v>47</v>
      </c>
      <c r="I2416" s="136" t="s">
        <v>48</v>
      </c>
      <c r="J2416" s="136" t="s">
        <v>12575</v>
      </c>
      <c r="L2416" s="136"/>
      <c r="M2416" s="136"/>
      <c r="N2416" s="136"/>
    </row>
    <row r="2417" spans="6:14">
      <c r="F2417" s="136" t="s">
        <v>12576</v>
      </c>
      <c r="G2417" s="136">
        <v>2414</v>
      </c>
      <c r="H2417" s="136" t="s">
        <v>12577</v>
      </c>
      <c r="I2417" s="136" t="s">
        <v>12578</v>
      </c>
      <c r="J2417" s="136" t="s">
        <v>12579</v>
      </c>
      <c r="L2417" s="136"/>
      <c r="M2417" s="136"/>
      <c r="N2417" s="136"/>
    </row>
    <row r="2418" spans="6:14">
      <c r="F2418" s="136" t="s">
        <v>12580</v>
      </c>
      <c r="G2418" s="136">
        <v>2415</v>
      </c>
      <c r="H2418" s="136" t="s">
        <v>12581</v>
      </c>
      <c r="I2418" s="136" t="s">
        <v>12582</v>
      </c>
      <c r="J2418" s="136" t="s">
        <v>12583</v>
      </c>
      <c r="L2418" s="136"/>
      <c r="M2418" s="136"/>
      <c r="N2418" s="136"/>
    </row>
    <row r="2419" spans="6:14">
      <c r="F2419" s="136" t="s">
        <v>12584</v>
      </c>
      <c r="G2419" s="136">
        <v>2416</v>
      </c>
      <c r="H2419" s="136" t="s">
        <v>4774</v>
      </c>
      <c r="I2419" s="136" t="s">
        <v>4775</v>
      </c>
      <c r="J2419" s="136" t="s">
        <v>12585</v>
      </c>
      <c r="L2419" s="136"/>
      <c r="M2419" s="136"/>
      <c r="N2419" s="136"/>
    </row>
    <row r="2420" spans="6:14">
      <c r="F2420" s="136" t="s">
        <v>12586</v>
      </c>
      <c r="G2420" s="136">
        <v>2417</v>
      </c>
      <c r="H2420" s="136" t="s">
        <v>12587</v>
      </c>
      <c r="I2420" s="136" t="s">
        <v>12588</v>
      </c>
      <c r="J2420" s="136" t="s">
        <v>12589</v>
      </c>
      <c r="L2420" s="136"/>
      <c r="M2420" s="136"/>
      <c r="N2420" s="136"/>
    </row>
    <row r="2421" spans="6:14">
      <c r="F2421" s="136" t="s">
        <v>12590</v>
      </c>
      <c r="G2421" s="136">
        <v>2418</v>
      </c>
      <c r="H2421" s="136" t="s">
        <v>1711</v>
      </c>
      <c r="I2421" s="136" t="s">
        <v>1712</v>
      </c>
      <c r="J2421" s="136" t="s">
        <v>12591</v>
      </c>
      <c r="L2421" s="136"/>
      <c r="M2421" s="136"/>
      <c r="N2421" s="136"/>
    </row>
    <row r="2422" spans="6:14">
      <c r="F2422" s="136" t="s">
        <v>12592</v>
      </c>
      <c r="G2422" s="136">
        <v>2419</v>
      </c>
      <c r="H2422" s="136" t="s">
        <v>12593</v>
      </c>
      <c r="I2422" s="136" t="s">
        <v>12594</v>
      </c>
      <c r="J2422" s="136" t="s">
        <v>12595</v>
      </c>
      <c r="L2422" s="136"/>
      <c r="M2422" s="136"/>
      <c r="N2422" s="136"/>
    </row>
    <row r="2423" spans="6:14">
      <c r="F2423" s="136" t="s">
        <v>12596</v>
      </c>
      <c r="G2423" s="136">
        <v>2420</v>
      </c>
      <c r="H2423" s="136" t="s">
        <v>12597</v>
      </c>
      <c r="I2423" s="136" t="s">
        <v>12598</v>
      </c>
      <c r="J2423" s="136" t="s">
        <v>12599</v>
      </c>
      <c r="L2423" s="136"/>
      <c r="M2423" s="136"/>
      <c r="N2423" s="136"/>
    </row>
    <row r="2424" spans="6:14">
      <c r="F2424" s="136" t="s">
        <v>12600</v>
      </c>
      <c r="G2424" s="136">
        <v>2421</v>
      </c>
      <c r="H2424" s="136" t="s">
        <v>5889</v>
      </c>
      <c r="I2424" s="136" t="s">
        <v>5890</v>
      </c>
      <c r="J2424" s="136" t="s">
        <v>12601</v>
      </c>
      <c r="L2424" s="136"/>
      <c r="M2424" s="136"/>
      <c r="N2424" s="136"/>
    </row>
    <row r="2425" spans="6:14">
      <c r="F2425" s="136" t="s">
        <v>12602</v>
      </c>
      <c r="G2425" s="136">
        <v>2422</v>
      </c>
      <c r="H2425" s="136" t="s">
        <v>332</v>
      </c>
      <c r="I2425" s="136" t="s">
        <v>333</v>
      </c>
      <c r="J2425" s="136" t="s">
        <v>12603</v>
      </c>
      <c r="L2425" s="136"/>
      <c r="M2425" s="136"/>
      <c r="N2425" s="136"/>
    </row>
    <row r="2426" spans="6:14">
      <c r="F2426" s="136" t="s">
        <v>12604</v>
      </c>
      <c r="G2426" s="136">
        <v>2423</v>
      </c>
      <c r="H2426" s="136" t="s">
        <v>6082</v>
      </c>
      <c r="I2426" s="136" t="s">
        <v>6083</v>
      </c>
      <c r="J2426" s="136" t="s">
        <v>12605</v>
      </c>
      <c r="L2426" s="136"/>
      <c r="M2426" s="136"/>
      <c r="N2426" s="136"/>
    </row>
    <row r="2427" spans="6:14">
      <c r="F2427" s="136" t="s">
        <v>12606</v>
      </c>
      <c r="G2427" s="136">
        <v>2424</v>
      </c>
      <c r="H2427" s="136" t="s">
        <v>767</v>
      </c>
      <c r="I2427" s="136" t="s">
        <v>769</v>
      </c>
      <c r="J2427" s="136" t="s">
        <v>12607</v>
      </c>
      <c r="L2427" s="136"/>
      <c r="M2427" s="136"/>
      <c r="N2427" s="136"/>
    </row>
    <row r="2428" spans="6:14">
      <c r="F2428" s="136" t="s">
        <v>12608</v>
      </c>
      <c r="G2428" s="136">
        <v>2425</v>
      </c>
      <c r="H2428" s="136" t="s">
        <v>3900</v>
      </c>
      <c r="I2428" s="136" t="s">
        <v>3901</v>
      </c>
      <c r="J2428" s="136" t="s">
        <v>12609</v>
      </c>
      <c r="L2428" s="136"/>
      <c r="M2428" s="136"/>
      <c r="N2428" s="136"/>
    </row>
    <row r="2429" spans="6:14">
      <c r="F2429" s="136" t="s">
        <v>12610</v>
      </c>
      <c r="G2429" s="136">
        <v>2426</v>
      </c>
      <c r="H2429" s="136" t="s">
        <v>12611</v>
      </c>
      <c r="I2429" s="136" t="s">
        <v>12612</v>
      </c>
      <c r="J2429" s="136" t="s">
        <v>12613</v>
      </c>
      <c r="L2429" s="136"/>
      <c r="M2429" s="136"/>
      <c r="N2429" s="136"/>
    </row>
    <row r="2430" spans="6:14">
      <c r="F2430" s="136" t="s">
        <v>12614</v>
      </c>
      <c r="G2430" s="136">
        <v>2427</v>
      </c>
      <c r="H2430" s="136" t="s">
        <v>1356</v>
      </c>
      <c r="I2430" s="136" t="s">
        <v>1357</v>
      </c>
      <c r="J2430" s="136" t="s">
        <v>12615</v>
      </c>
      <c r="L2430" s="136"/>
      <c r="M2430" s="136"/>
      <c r="N2430" s="136"/>
    </row>
    <row r="2431" spans="6:14">
      <c r="F2431" s="136" t="s">
        <v>12616</v>
      </c>
      <c r="G2431" s="136">
        <v>2428</v>
      </c>
      <c r="H2431" s="136" t="s">
        <v>12617</v>
      </c>
      <c r="I2431" s="136" t="s">
        <v>12618</v>
      </c>
      <c r="J2431" s="136" t="s">
        <v>12619</v>
      </c>
      <c r="L2431" s="136"/>
      <c r="M2431" s="136"/>
      <c r="N2431" s="136"/>
    </row>
    <row r="2432" spans="6:14">
      <c r="F2432" s="136" t="s">
        <v>12620</v>
      </c>
      <c r="G2432" s="136">
        <v>2429</v>
      </c>
      <c r="H2432" s="136" t="s">
        <v>12621</v>
      </c>
      <c r="I2432" s="136" t="s">
        <v>12622</v>
      </c>
      <c r="J2432" s="136" t="s">
        <v>12623</v>
      </c>
      <c r="L2432" s="136"/>
      <c r="M2432" s="136"/>
      <c r="N2432" s="136"/>
    </row>
    <row r="2433" spans="6:14">
      <c r="F2433" s="136" t="s">
        <v>12624</v>
      </c>
      <c r="G2433" s="136">
        <v>2430</v>
      </c>
      <c r="H2433" s="136" t="s">
        <v>540</v>
      </c>
      <c r="I2433" s="136" t="s">
        <v>541</v>
      </c>
      <c r="J2433" s="136" t="s">
        <v>12625</v>
      </c>
      <c r="L2433" s="136"/>
      <c r="M2433" s="136"/>
      <c r="N2433" s="136"/>
    </row>
    <row r="2434" spans="6:14">
      <c r="F2434" s="136" t="s">
        <v>12626</v>
      </c>
      <c r="G2434" s="136">
        <v>2431</v>
      </c>
      <c r="H2434" s="136" t="s">
        <v>1797</v>
      </c>
      <c r="I2434" s="136" t="s">
        <v>1798</v>
      </c>
      <c r="J2434" s="136" t="s">
        <v>12627</v>
      </c>
      <c r="L2434" s="136"/>
      <c r="M2434" s="136"/>
      <c r="N2434" s="136"/>
    </row>
    <row r="2435" spans="6:14">
      <c r="F2435" s="136" t="s">
        <v>12628</v>
      </c>
      <c r="G2435" s="136">
        <v>2432</v>
      </c>
      <c r="H2435" s="136" t="s">
        <v>5203</v>
      </c>
      <c r="I2435" s="136" t="s">
        <v>5204</v>
      </c>
      <c r="J2435" s="136" t="s">
        <v>12629</v>
      </c>
      <c r="L2435" s="136"/>
      <c r="M2435" s="136"/>
      <c r="N2435" s="136"/>
    </row>
    <row r="2436" spans="6:14">
      <c r="F2436" s="136" t="s">
        <v>12630</v>
      </c>
      <c r="G2436" s="136">
        <v>2433</v>
      </c>
      <c r="H2436" s="136" t="s">
        <v>12631</v>
      </c>
      <c r="I2436" s="136" t="s">
        <v>12632</v>
      </c>
      <c r="J2436" s="136" t="s">
        <v>12633</v>
      </c>
      <c r="L2436" s="136"/>
      <c r="M2436" s="136"/>
      <c r="N2436" s="136"/>
    </row>
    <row r="2437" spans="6:14">
      <c r="F2437" s="136" t="s">
        <v>12634</v>
      </c>
      <c r="G2437" s="136">
        <v>2434</v>
      </c>
      <c r="H2437" s="136" t="s">
        <v>934</v>
      </c>
      <c r="I2437" s="136" t="s">
        <v>935</v>
      </c>
      <c r="J2437" s="136" t="s">
        <v>12635</v>
      </c>
      <c r="L2437" s="136"/>
      <c r="M2437" s="136"/>
      <c r="N2437" s="136"/>
    </row>
    <row r="2438" spans="6:14">
      <c r="F2438" s="136" t="s">
        <v>12636</v>
      </c>
      <c r="G2438" s="136">
        <v>2435</v>
      </c>
      <c r="H2438" s="136" t="s">
        <v>2391</v>
      </c>
      <c r="I2438" s="136" t="s">
        <v>2392</v>
      </c>
      <c r="J2438" s="136" t="s">
        <v>12637</v>
      </c>
      <c r="L2438" s="136"/>
      <c r="M2438" s="136"/>
      <c r="N2438" s="136"/>
    </row>
    <row r="2439" spans="6:14">
      <c r="F2439" s="136" t="s">
        <v>12638</v>
      </c>
      <c r="G2439" s="136">
        <v>2436</v>
      </c>
      <c r="H2439" s="136" t="s">
        <v>4802</v>
      </c>
      <c r="I2439" s="136" t="s">
        <v>4803</v>
      </c>
      <c r="J2439" s="136" t="s">
        <v>12639</v>
      </c>
      <c r="L2439" s="136"/>
      <c r="M2439" s="136"/>
      <c r="N2439" s="136"/>
    </row>
    <row r="2440" spans="6:14">
      <c r="F2440" s="136" t="s">
        <v>12640</v>
      </c>
      <c r="G2440" s="136">
        <v>2437</v>
      </c>
      <c r="H2440" s="136" t="s">
        <v>1582</v>
      </c>
      <c r="I2440" s="136" t="s">
        <v>1583</v>
      </c>
      <c r="J2440" s="136" t="s">
        <v>12641</v>
      </c>
      <c r="L2440" s="136"/>
      <c r="M2440" s="136"/>
      <c r="N2440" s="136"/>
    </row>
    <row r="2441" spans="6:14">
      <c r="F2441" s="136" t="s">
        <v>12642</v>
      </c>
      <c r="G2441" s="136">
        <v>2438</v>
      </c>
      <c r="H2441" s="136" t="s">
        <v>2905</v>
      </c>
      <c r="I2441" s="136" t="s">
        <v>2906</v>
      </c>
      <c r="J2441" s="136" t="s">
        <v>12643</v>
      </c>
      <c r="L2441" s="136"/>
      <c r="M2441" s="136"/>
      <c r="N2441" s="136"/>
    </row>
    <row r="2442" spans="6:14">
      <c r="F2442" s="136" t="s">
        <v>12644</v>
      </c>
      <c r="G2442" s="136">
        <v>2439</v>
      </c>
      <c r="H2442" s="136" t="s">
        <v>12645</v>
      </c>
      <c r="I2442" s="136" t="s">
        <v>12646</v>
      </c>
      <c r="J2442" s="136" t="s">
        <v>12647</v>
      </c>
      <c r="L2442" s="136"/>
      <c r="M2442" s="136"/>
      <c r="N2442" s="136"/>
    </row>
    <row r="2443" spans="6:14">
      <c r="F2443" s="136" t="s">
        <v>12648</v>
      </c>
      <c r="G2443" s="136">
        <v>2440</v>
      </c>
      <c r="H2443" s="136" t="s">
        <v>12649</v>
      </c>
      <c r="I2443" s="136" t="s">
        <v>12650</v>
      </c>
      <c r="J2443" s="136" t="s">
        <v>12651</v>
      </c>
      <c r="L2443" s="136"/>
      <c r="M2443" s="136"/>
      <c r="N2443" s="136"/>
    </row>
    <row r="2444" spans="6:14">
      <c r="F2444" s="136" t="s">
        <v>12652</v>
      </c>
      <c r="G2444" s="136">
        <v>2441</v>
      </c>
      <c r="H2444" s="136" t="s">
        <v>12653</v>
      </c>
      <c r="I2444" s="136" t="s">
        <v>12654</v>
      </c>
      <c r="J2444" s="136" t="s">
        <v>12655</v>
      </c>
      <c r="L2444" s="136"/>
      <c r="M2444" s="136"/>
      <c r="N2444" s="136"/>
    </row>
    <row r="2445" spans="6:14">
      <c r="F2445" s="136" t="s">
        <v>12656</v>
      </c>
      <c r="G2445" s="136">
        <v>2442</v>
      </c>
      <c r="H2445" s="136" t="s">
        <v>3148</v>
      </c>
      <c r="I2445" s="136" t="s">
        <v>3149</v>
      </c>
      <c r="J2445" s="136" t="s">
        <v>12657</v>
      </c>
      <c r="L2445" s="136"/>
      <c r="M2445" s="136"/>
      <c r="N2445" s="136"/>
    </row>
    <row r="2446" spans="6:14">
      <c r="F2446" s="136" t="s">
        <v>12658</v>
      </c>
      <c r="G2446" s="136">
        <v>2443</v>
      </c>
      <c r="H2446" s="136" t="s">
        <v>12659</v>
      </c>
      <c r="I2446" s="136" t="s">
        <v>12660</v>
      </c>
      <c r="J2446" s="136" t="s">
        <v>12661</v>
      </c>
      <c r="L2446" s="136"/>
      <c r="M2446" s="136"/>
      <c r="N2446" s="136"/>
    </row>
    <row r="2447" spans="6:14">
      <c r="F2447" s="136" t="s">
        <v>12662</v>
      </c>
      <c r="G2447" s="136">
        <v>2444</v>
      </c>
      <c r="H2447" s="136" t="s">
        <v>12663</v>
      </c>
      <c r="I2447" s="136" t="s">
        <v>12664</v>
      </c>
      <c r="J2447" s="136" t="s">
        <v>12665</v>
      </c>
      <c r="L2447" s="136"/>
      <c r="M2447" s="136"/>
      <c r="N2447" s="136"/>
    </row>
    <row r="2448" spans="6:14">
      <c r="F2448" s="136" t="s">
        <v>12666</v>
      </c>
      <c r="G2448" s="136">
        <v>2445</v>
      </c>
      <c r="H2448" s="136" t="s">
        <v>4829</v>
      </c>
      <c r="I2448" s="136" t="s">
        <v>2004</v>
      </c>
      <c r="J2448" s="136" t="s">
        <v>12667</v>
      </c>
      <c r="L2448" s="136"/>
      <c r="M2448" s="136"/>
      <c r="N2448" s="136"/>
    </row>
    <row r="2449" spans="6:14">
      <c r="F2449" s="136" t="s">
        <v>12668</v>
      </c>
      <c r="G2449" s="136">
        <v>2446</v>
      </c>
      <c r="H2449" s="136" t="s">
        <v>2109</v>
      </c>
      <c r="I2449" s="136" t="s">
        <v>2110</v>
      </c>
      <c r="J2449" s="136" t="s">
        <v>12669</v>
      </c>
      <c r="L2449" s="136"/>
      <c r="M2449" s="136"/>
      <c r="N2449" s="136"/>
    </row>
    <row r="2450" spans="6:14">
      <c r="F2450" s="136" t="s">
        <v>12670</v>
      </c>
      <c r="G2450" s="136">
        <v>2447</v>
      </c>
      <c r="H2450" s="136" t="s">
        <v>12671</v>
      </c>
      <c r="I2450" s="136" t="s">
        <v>12672</v>
      </c>
      <c r="J2450" s="136" t="s">
        <v>12673</v>
      </c>
      <c r="L2450" s="136"/>
      <c r="M2450" s="136"/>
      <c r="N2450" s="136"/>
    </row>
    <row r="2451" spans="6:14">
      <c r="F2451" s="136" t="s">
        <v>12674</v>
      </c>
      <c r="G2451" s="136">
        <v>2448</v>
      </c>
      <c r="H2451" s="136" t="s">
        <v>12675</v>
      </c>
      <c r="I2451" s="136" t="s">
        <v>12676</v>
      </c>
      <c r="J2451" s="136" t="s">
        <v>12677</v>
      </c>
      <c r="L2451" s="136"/>
      <c r="M2451" s="136"/>
      <c r="N2451" s="136"/>
    </row>
    <row r="2452" spans="6:14">
      <c r="F2452" s="136" t="s">
        <v>12678</v>
      </c>
      <c r="G2452" s="136">
        <v>2449</v>
      </c>
      <c r="H2452" s="136" t="s">
        <v>12679</v>
      </c>
      <c r="I2452" s="136" t="s">
        <v>12680</v>
      </c>
      <c r="J2452" s="136" t="s">
        <v>12681</v>
      </c>
      <c r="L2452" s="136"/>
      <c r="M2452" s="136"/>
      <c r="N2452" s="136"/>
    </row>
    <row r="2453" spans="6:14">
      <c r="F2453" s="136" t="s">
        <v>12682</v>
      </c>
      <c r="G2453" s="136">
        <v>2450</v>
      </c>
      <c r="H2453" s="136" t="s">
        <v>12683</v>
      </c>
      <c r="I2453" s="136" t="s">
        <v>12684</v>
      </c>
      <c r="J2453" s="136" t="s">
        <v>12685</v>
      </c>
      <c r="L2453" s="136"/>
      <c r="M2453" s="136"/>
      <c r="N2453" s="136"/>
    </row>
    <row r="2454" spans="6:14">
      <c r="F2454" s="136" t="s">
        <v>12686</v>
      </c>
      <c r="G2454" s="136">
        <v>2451</v>
      </c>
      <c r="H2454" s="136" t="s">
        <v>1168</v>
      </c>
      <c r="I2454" s="136" t="s">
        <v>1168</v>
      </c>
      <c r="J2454" s="136" t="s">
        <v>12687</v>
      </c>
      <c r="L2454" s="136"/>
      <c r="M2454" s="136"/>
      <c r="N2454" s="136"/>
    </row>
    <row r="2455" spans="6:14">
      <c r="F2455" s="136" t="s">
        <v>12688</v>
      </c>
      <c r="G2455" s="136">
        <v>2452</v>
      </c>
      <c r="H2455" s="136" t="s">
        <v>5872</v>
      </c>
      <c r="I2455" s="136" t="s">
        <v>5874</v>
      </c>
      <c r="J2455" s="136" t="s">
        <v>12689</v>
      </c>
      <c r="L2455" s="136"/>
      <c r="M2455" s="136"/>
      <c r="N2455" s="136"/>
    </row>
    <row r="2456" spans="6:14">
      <c r="F2456" s="136" t="s">
        <v>12690</v>
      </c>
      <c r="G2456" s="136">
        <v>2453</v>
      </c>
      <c r="H2456" s="136" t="s">
        <v>797</v>
      </c>
      <c r="I2456" s="136" t="s">
        <v>798</v>
      </c>
      <c r="J2456" s="136" t="s">
        <v>12691</v>
      </c>
      <c r="L2456" s="136"/>
      <c r="M2456" s="136"/>
      <c r="N2456" s="136"/>
    </row>
    <row r="2457" spans="6:14">
      <c r="F2457" s="136" t="s">
        <v>12692</v>
      </c>
      <c r="G2457" s="136">
        <v>2454</v>
      </c>
      <c r="H2457" s="136" t="s">
        <v>12693</v>
      </c>
      <c r="I2457" s="136" t="s">
        <v>12694</v>
      </c>
      <c r="J2457" s="136" t="s">
        <v>12695</v>
      </c>
      <c r="L2457" s="136"/>
      <c r="M2457" s="136"/>
      <c r="N2457" s="136"/>
    </row>
    <row r="2458" spans="6:14">
      <c r="F2458" s="136" t="s">
        <v>12696</v>
      </c>
      <c r="G2458" s="136">
        <v>2455</v>
      </c>
      <c r="H2458" s="136" t="s">
        <v>12697</v>
      </c>
      <c r="I2458" s="136" t="s">
        <v>12698</v>
      </c>
      <c r="J2458" s="136" t="s">
        <v>12699</v>
      </c>
      <c r="L2458" s="136"/>
      <c r="M2458" s="136"/>
      <c r="N2458" s="136"/>
    </row>
    <row r="2459" spans="6:14">
      <c r="F2459" s="136" t="s">
        <v>12700</v>
      </c>
      <c r="G2459" s="136">
        <v>2456</v>
      </c>
      <c r="H2459" s="136" t="s">
        <v>12701</v>
      </c>
      <c r="I2459" s="136" t="s">
        <v>12701</v>
      </c>
      <c r="J2459" s="136" t="s">
        <v>12702</v>
      </c>
      <c r="L2459" s="136"/>
      <c r="M2459" s="136"/>
      <c r="N2459" s="136"/>
    </row>
    <row r="2460" spans="6:14">
      <c r="F2460" s="136" t="s">
        <v>12703</v>
      </c>
      <c r="G2460" s="136">
        <v>2457</v>
      </c>
      <c r="H2460" s="136" t="s">
        <v>12704</v>
      </c>
      <c r="I2460" s="136" t="s">
        <v>12705</v>
      </c>
      <c r="J2460" s="136" t="s">
        <v>12706</v>
      </c>
      <c r="L2460" s="136"/>
      <c r="M2460" s="136"/>
      <c r="N2460" s="136"/>
    </row>
    <row r="2461" spans="6:14">
      <c r="F2461" s="136" t="s">
        <v>12707</v>
      </c>
      <c r="G2461" s="136">
        <v>2458</v>
      </c>
      <c r="H2461" s="136" t="s">
        <v>12708</v>
      </c>
      <c r="I2461" s="136" t="s">
        <v>12709</v>
      </c>
      <c r="J2461" s="136" t="s">
        <v>12710</v>
      </c>
      <c r="L2461" s="136"/>
      <c r="M2461" s="136"/>
      <c r="N2461" s="136"/>
    </row>
    <row r="2462" spans="6:14">
      <c r="F2462" s="136" t="s">
        <v>12711</v>
      </c>
      <c r="G2462" s="136">
        <v>2459</v>
      </c>
      <c r="H2462" s="136" t="s">
        <v>12712</v>
      </c>
      <c r="I2462" s="136" t="s">
        <v>12713</v>
      </c>
      <c r="J2462" s="136" t="s">
        <v>12714</v>
      </c>
      <c r="L2462" s="136"/>
      <c r="M2462" s="136"/>
      <c r="N2462" s="136"/>
    </row>
    <row r="2463" spans="6:14">
      <c r="F2463" s="136" t="s">
        <v>12715</v>
      </c>
      <c r="G2463" s="136">
        <v>2460</v>
      </c>
      <c r="H2463" s="136" t="s">
        <v>12716</v>
      </c>
      <c r="I2463" s="136" t="s">
        <v>12717</v>
      </c>
      <c r="J2463" s="136" t="s">
        <v>12718</v>
      </c>
      <c r="L2463" s="136"/>
      <c r="M2463" s="136"/>
      <c r="N2463" s="136"/>
    </row>
    <row r="2464" spans="6:14">
      <c r="F2464" s="136" t="s">
        <v>12719</v>
      </c>
      <c r="G2464" s="136">
        <v>2461</v>
      </c>
      <c r="H2464" s="136" t="s">
        <v>12720</v>
      </c>
      <c r="I2464" s="136" t="s">
        <v>12720</v>
      </c>
      <c r="J2464" s="136" t="s">
        <v>12721</v>
      </c>
      <c r="L2464" s="136"/>
      <c r="M2464" s="136"/>
      <c r="N2464" s="136"/>
    </row>
    <row r="2465" spans="6:14">
      <c r="F2465" s="136" t="s">
        <v>12722</v>
      </c>
      <c r="G2465" s="136">
        <v>2462</v>
      </c>
      <c r="H2465" s="136" t="s">
        <v>5341</v>
      </c>
      <c r="I2465" s="136" t="s">
        <v>5342</v>
      </c>
      <c r="J2465" s="136" t="s">
        <v>12723</v>
      </c>
      <c r="L2465" s="136"/>
      <c r="M2465" s="136"/>
      <c r="N2465" s="136"/>
    </row>
    <row r="2466" spans="6:14">
      <c r="F2466" s="136" t="s">
        <v>12724</v>
      </c>
      <c r="G2466" s="136">
        <v>2463</v>
      </c>
      <c r="H2466" s="136" t="s">
        <v>12725</v>
      </c>
      <c r="I2466" s="136" t="s">
        <v>12726</v>
      </c>
      <c r="J2466" s="136" t="s">
        <v>12727</v>
      </c>
      <c r="L2466" s="136"/>
      <c r="M2466" s="136"/>
      <c r="N2466" s="136"/>
    </row>
    <row r="2467" spans="6:14">
      <c r="F2467" s="136" t="s">
        <v>12728</v>
      </c>
      <c r="G2467" s="136">
        <v>2464</v>
      </c>
      <c r="H2467" s="136" t="s">
        <v>12729</v>
      </c>
      <c r="I2467" s="136" t="s">
        <v>12730</v>
      </c>
      <c r="J2467" s="136" t="s">
        <v>12731</v>
      </c>
      <c r="L2467" s="136"/>
      <c r="M2467" s="136"/>
      <c r="N2467" s="136"/>
    </row>
    <row r="2468" spans="6:14">
      <c r="F2468" s="136" t="s">
        <v>12732</v>
      </c>
      <c r="G2468" s="136">
        <v>2465</v>
      </c>
      <c r="H2468" s="136" t="s">
        <v>12733</v>
      </c>
      <c r="I2468" s="136" t="s">
        <v>12734</v>
      </c>
      <c r="J2468" s="136" t="s">
        <v>12735</v>
      </c>
      <c r="L2468" s="136"/>
      <c r="M2468" s="136"/>
      <c r="N2468" s="136"/>
    </row>
    <row r="2469" spans="6:14">
      <c r="F2469" s="136" t="s">
        <v>12736</v>
      </c>
      <c r="G2469" s="136">
        <v>2466</v>
      </c>
      <c r="H2469" s="136" t="s">
        <v>12737</v>
      </c>
      <c r="I2469" s="136" t="s">
        <v>12738</v>
      </c>
      <c r="J2469" s="136" t="s">
        <v>12739</v>
      </c>
      <c r="L2469" s="136"/>
      <c r="M2469" s="136"/>
      <c r="N2469" s="136"/>
    </row>
    <row r="2470" spans="6:14">
      <c r="F2470" s="136" t="s">
        <v>12740</v>
      </c>
      <c r="G2470" s="136">
        <v>2467</v>
      </c>
      <c r="H2470" s="136" t="s">
        <v>12741</v>
      </c>
      <c r="I2470" s="136" t="s">
        <v>12742</v>
      </c>
      <c r="J2470" s="136" t="s">
        <v>12743</v>
      </c>
      <c r="L2470" s="136"/>
      <c r="M2470" s="136"/>
      <c r="N2470" s="136"/>
    </row>
    <row r="2471" spans="6:14">
      <c r="F2471" s="136" t="s">
        <v>12744</v>
      </c>
      <c r="G2471" s="136">
        <v>2468</v>
      </c>
      <c r="H2471" s="136" t="s">
        <v>12745</v>
      </c>
      <c r="I2471" s="136" t="s">
        <v>12746</v>
      </c>
      <c r="J2471" s="136" t="s">
        <v>12747</v>
      </c>
      <c r="L2471" s="136"/>
      <c r="M2471" s="136"/>
      <c r="N2471" s="136"/>
    </row>
    <row r="2472" spans="6:14">
      <c r="F2472" s="136" t="s">
        <v>12748</v>
      </c>
      <c r="G2472" s="136">
        <v>2469</v>
      </c>
      <c r="H2472" s="136" t="s">
        <v>12749</v>
      </c>
      <c r="I2472" s="136" t="s">
        <v>12750</v>
      </c>
      <c r="J2472" s="136" t="s">
        <v>12751</v>
      </c>
      <c r="L2472" s="136"/>
      <c r="M2472" s="136"/>
      <c r="N2472" s="136"/>
    </row>
    <row r="2473" spans="6:14">
      <c r="F2473" s="136" t="s">
        <v>12752</v>
      </c>
      <c r="G2473" s="136">
        <v>2470</v>
      </c>
      <c r="H2473" s="136" t="s">
        <v>12753</v>
      </c>
      <c r="I2473" s="136" t="s">
        <v>12754</v>
      </c>
      <c r="J2473" s="136" t="s">
        <v>12755</v>
      </c>
      <c r="L2473" s="136"/>
      <c r="M2473" s="136"/>
      <c r="N2473" s="136"/>
    </row>
    <row r="2474" spans="6:14">
      <c r="F2474" s="136" t="s">
        <v>12756</v>
      </c>
      <c r="G2474" s="136">
        <v>2471</v>
      </c>
      <c r="H2474" s="136" t="s">
        <v>12757</v>
      </c>
      <c r="I2474" s="136" t="s">
        <v>12758</v>
      </c>
      <c r="J2474" s="136" t="s">
        <v>12759</v>
      </c>
      <c r="L2474" s="136"/>
      <c r="M2474" s="136"/>
      <c r="N2474" s="136"/>
    </row>
    <row r="2475" spans="6:14">
      <c r="F2475" s="136" t="s">
        <v>12760</v>
      </c>
      <c r="G2475" s="136">
        <v>2472</v>
      </c>
      <c r="H2475" s="136" t="s">
        <v>12761</v>
      </c>
      <c r="I2475" s="136" t="s">
        <v>12762</v>
      </c>
      <c r="J2475" s="136" t="s">
        <v>12763</v>
      </c>
      <c r="L2475" s="136"/>
      <c r="M2475" s="136"/>
      <c r="N2475" s="136"/>
    </row>
    <row r="2476" spans="6:14">
      <c r="F2476" s="136" t="s">
        <v>12764</v>
      </c>
      <c r="G2476" s="136">
        <v>2473</v>
      </c>
      <c r="H2476" s="136" t="s">
        <v>12765</v>
      </c>
      <c r="I2476" s="136" t="s">
        <v>12766</v>
      </c>
      <c r="J2476" s="136" t="s">
        <v>12767</v>
      </c>
      <c r="L2476" s="136"/>
      <c r="M2476" s="136"/>
      <c r="N2476" s="136"/>
    </row>
    <row r="2477" spans="6:14">
      <c r="F2477" s="136" t="s">
        <v>12768</v>
      </c>
      <c r="G2477" s="136">
        <v>2474</v>
      </c>
      <c r="H2477" s="136" t="s">
        <v>12769</v>
      </c>
      <c r="I2477" s="136" t="s">
        <v>12770</v>
      </c>
      <c r="J2477" s="136" t="s">
        <v>12771</v>
      </c>
      <c r="L2477" s="136"/>
      <c r="M2477" s="136"/>
      <c r="N2477" s="136"/>
    </row>
    <row r="2478" spans="6:14">
      <c r="F2478" s="136" t="s">
        <v>12772</v>
      </c>
      <c r="G2478" s="136">
        <v>2475</v>
      </c>
      <c r="H2478" s="136" t="s">
        <v>1266</v>
      </c>
      <c r="I2478" s="136" t="s">
        <v>12773</v>
      </c>
      <c r="J2478" s="136" t="s">
        <v>12774</v>
      </c>
      <c r="L2478" s="136"/>
      <c r="M2478" s="136"/>
      <c r="N2478" s="136"/>
    </row>
    <row r="2479" spans="6:14">
      <c r="F2479" s="136" t="s">
        <v>12775</v>
      </c>
      <c r="G2479" s="136">
        <v>2476</v>
      </c>
      <c r="H2479" s="136" t="s">
        <v>12776</v>
      </c>
      <c r="I2479" s="136" t="s">
        <v>12777</v>
      </c>
      <c r="J2479" s="136" t="s">
        <v>12778</v>
      </c>
      <c r="L2479" s="136"/>
      <c r="M2479" s="136"/>
      <c r="N2479" s="136"/>
    </row>
    <row r="2480" spans="6:14">
      <c r="F2480" s="136" t="s">
        <v>12779</v>
      </c>
      <c r="G2480" s="136">
        <v>2477</v>
      </c>
      <c r="H2480" s="136" t="s">
        <v>6119</v>
      </c>
      <c r="I2480" s="136" t="s">
        <v>6120</v>
      </c>
      <c r="J2480" s="136" t="s">
        <v>12780</v>
      </c>
      <c r="L2480" s="136"/>
      <c r="M2480" s="136"/>
      <c r="N2480" s="136"/>
    </row>
    <row r="2481" spans="6:14">
      <c r="F2481" s="136" t="s">
        <v>12781</v>
      </c>
      <c r="G2481" s="136">
        <v>2478</v>
      </c>
      <c r="H2481" s="136" t="s">
        <v>5925</v>
      </c>
      <c r="I2481" s="136" t="s">
        <v>5926</v>
      </c>
      <c r="J2481" s="136" t="s">
        <v>12782</v>
      </c>
      <c r="L2481" s="136"/>
      <c r="M2481" s="136"/>
      <c r="N2481" s="136"/>
    </row>
    <row r="2482" spans="6:14">
      <c r="F2482" s="136" t="s">
        <v>12783</v>
      </c>
      <c r="G2482" s="136">
        <v>2479</v>
      </c>
      <c r="H2482" s="136" t="s">
        <v>12784</v>
      </c>
      <c r="I2482" s="136" t="s">
        <v>12785</v>
      </c>
      <c r="J2482" s="136" t="s">
        <v>12786</v>
      </c>
      <c r="L2482" s="136"/>
      <c r="M2482" s="136"/>
      <c r="N2482" s="136"/>
    </row>
    <row r="2483" spans="6:14">
      <c r="F2483" s="136" t="s">
        <v>12787</v>
      </c>
      <c r="G2483" s="136">
        <v>2480</v>
      </c>
      <c r="H2483" s="136" t="s">
        <v>5013</v>
      </c>
      <c r="I2483" s="136" t="s">
        <v>1457</v>
      </c>
      <c r="J2483" s="136" t="s">
        <v>12788</v>
      </c>
      <c r="L2483" s="136"/>
      <c r="M2483" s="136"/>
      <c r="N2483" s="136"/>
    </row>
    <row r="2484" spans="6:14">
      <c r="F2484" s="136" t="s">
        <v>12789</v>
      </c>
      <c r="G2484" s="136">
        <v>2481</v>
      </c>
      <c r="H2484" s="136" t="s">
        <v>4135</v>
      </c>
      <c r="I2484" s="136" t="s">
        <v>4136</v>
      </c>
      <c r="J2484" s="136" t="s">
        <v>12790</v>
      </c>
      <c r="L2484" s="136"/>
      <c r="M2484" s="136"/>
      <c r="N2484" s="136"/>
    </row>
    <row r="2485" spans="6:14">
      <c r="F2485" s="136" t="s">
        <v>12791</v>
      </c>
      <c r="G2485" s="136">
        <v>2482</v>
      </c>
      <c r="H2485" s="136" t="s">
        <v>12792</v>
      </c>
      <c r="I2485" s="136" t="s">
        <v>12793</v>
      </c>
      <c r="J2485" s="136" t="s">
        <v>12794</v>
      </c>
      <c r="L2485" s="136"/>
      <c r="M2485" s="136"/>
      <c r="N2485" s="136"/>
    </row>
    <row r="2486" spans="6:14">
      <c r="F2486" s="136" t="s">
        <v>12795</v>
      </c>
      <c r="G2486" s="136">
        <v>2483</v>
      </c>
      <c r="H2486" s="136" t="s">
        <v>548</v>
      </c>
      <c r="I2486" s="136" t="s">
        <v>587</v>
      </c>
      <c r="J2486" s="136" t="s">
        <v>12796</v>
      </c>
      <c r="L2486" s="136"/>
      <c r="M2486" s="136"/>
      <c r="N2486" s="136"/>
    </row>
    <row r="2487" spans="6:14">
      <c r="F2487" s="136" t="s">
        <v>12797</v>
      </c>
      <c r="G2487" s="136">
        <v>2484</v>
      </c>
      <c r="H2487" s="136" t="s">
        <v>5333</v>
      </c>
      <c r="I2487" s="136" t="s">
        <v>5334</v>
      </c>
      <c r="J2487" s="136" t="s">
        <v>12798</v>
      </c>
      <c r="L2487" s="136"/>
      <c r="M2487" s="136"/>
      <c r="N2487" s="136"/>
    </row>
    <row r="2488" spans="6:14">
      <c r="F2488" s="136" t="s">
        <v>12799</v>
      </c>
      <c r="G2488" s="136">
        <v>2485</v>
      </c>
      <c r="H2488" s="136" t="s">
        <v>4490</v>
      </c>
      <c r="I2488" s="136" t="s">
        <v>4491</v>
      </c>
      <c r="J2488" s="136" t="s">
        <v>12800</v>
      </c>
      <c r="L2488" s="136"/>
      <c r="M2488" s="136"/>
      <c r="N2488" s="136"/>
    </row>
    <row r="2489" spans="6:14">
      <c r="F2489" s="136" t="s">
        <v>12801</v>
      </c>
      <c r="G2489" s="136">
        <v>2486</v>
      </c>
      <c r="H2489" s="136" t="s">
        <v>12802</v>
      </c>
      <c r="I2489" s="136" t="s">
        <v>12803</v>
      </c>
      <c r="J2489" s="136" t="s">
        <v>12804</v>
      </c>
      <c r="L2489" s="136"/>
      <c r="M2489" s="136"/>
      <c r="N2489" s="136"/>
    </row>
    <row r="2490" spans="6:14">
      <c r="F2490" s="136" t="s">
        <v>12805</v>
      </c>
      <c r="G2490" s="136">
        <v>2487</v>
      </c>
      <c r="H2490" s="136" t="s">
        <v>3288</v>
      </c>
      <c r="I2490" s="136" t="s">
        <v>3288</v>
      </c>
      <c r="J2490" s="136" t="s">
        <v>12806</v>
      </c>
      <c r="L2490" s="136"/>
      <c r="M2490" s="136"/>
      <c r="N2490" s="136"/>
    </row>
    <row r="2491" spans="6:14">
      <c r="F2491" s="136" t="s">
        <v>12807</v>
      </c>
      <c r="G2491" s="136">
        <v>2488</v>
      </c>
      <c r="H2491" s="136" t="s">
        <v>895</v>
      </c>
      <c r="I2491" s="136" t="s">
        <v>896</v>
      </c>
      <c r="J2491" s="136" t="s">
        <v>12808</v>
      </c>
      <c r="L2491" s="136"/>
      <c r="M2491" s="136"/>
      <c r="N2491" s="136"/>
    </row>
    <row r="2492" spans="6:14">
      <c r="F2492" s="136" t="s">
        <v>12809</v>
      </c>
      <c r="G2492" s="136">
        <v>2489</v>
      </c>
      <c r="H2492" s="136" t="s">
        <v>1211</v>
      </c>
      <c r="I2492" s="136" t="s">
        <v>1212</v>
      </c>
      <c r="J2492" s="136" t="s">
        <v>12810</v>
      </c>
      <c r="L2492" s="136"/>
      <c r="M2492" s="136"/>
      <c r="N2492" s="136"/>
    </row>
    <row r="2493" spans="6:14">
      <c r="F2493" s="136" t="s">
        <v>12811</v>
      </c>
      <c r="G2493" s="136">
        <v>2490</v>
      </c>
      <c r="H2493" s="136" t="s">
        <v>12812</v>
      </c>
      <c r="I2493" s="136" t="s">
        <v>12813</v>
      </c>
      <c r="J2493" s="136" t="s">
        <v>12814</v>
      </c>
      <c r="L2493" s="136"/>
      <c r="M2493" s="136"/>
      <c r="N2493" s="136"/>
    </row>
    <row r="2494" spans="6:14">
      <c r="F2494" s="136" t="s">
        <v>12815</v>
      </c>
      <c r="G2494" s="136">
        <v>2491</v>
      </c>
      <c r="H2494" s="136" t="s">
        <v>4920</v>
      </c>
      <c r="I2494" s="136" t="s">
        <v>4921</v>
      </c>
      <c r="J2494" s="136" t="s">
        <v>12816</v>
      </c>
      <c r="L2494" s="136"/>
      <c r="M2494" s="136"/>
      <c r="N2494" s="136"/>
    </row>
    <row r="2495" spans="6:14">
      <c r="F2495" s="136" t="s">
        <v>12817</v>
      </c>
      <c r="G2495" s="136">
        <v>2492</v>
      </c>
      <c r="H2495" s="136" t="s">
        <v>4896</v>
      </c>
      <c r="I2495" s="136" t="s">
        <v>4897</v>
      </c>
      <c r="J2495" s="136" t="s">
        <v>12818</v>
      </c>
      <c r="L2495" s="136"/>
      <c r="M2495" s="136"/>
      <c r="N2495" s="136"/>
    </row>
    <row r="2496" spans="6:14">
      <c r="F2496" s="136" t="s">
        <v>12819</v>
      </c>
      <c r="G2496" s="136">
        <v>2493</v>
      </c>
      <c r="H2496" s="136" t="s">
        <v>12820</v>
      </c>
      <c r="I2496" s="136" t="s">
        <v>12820</v>
      </c>
      <c r="J2496" s="136" t="s">
        <v>12821</v>
      </c>
      <c r="L2496" s="136"/>
      <c r="M2496" s="136"/>
      <c r="N2496" s="136"/>
    </row>
    <row r="2497" spans="6:14">
      <c r="F2497" s="136" t="s">
        <v>12822</v>
      </c>
      <c r="G2497" s="136">
        <v>2494</v>
      </c>
      <c r="H2497" s="136" t="s">
        <v>1480</v>
      </c>
      <c r="I2497" s="136" t="s">
        <v>1481</v>
      </c>
      <c r="J2497" s="136" t="s">
        <v>12823</v>
      </c>
      <c r="L2497" s="136"/>
      <c r="M2497" s="136"/>
      <c r="N2497" s="136"/>
    </row>
    <row r="2498" spans="6:14">
      <c r="F2498" s="136" t="s">
        <v>12824</v>
      </c>
      <c r="G2498" s="136">
        <v>2495</v>
      </c>
      <c r="H2498" s="136" t="s">
        <v>1434</v>
      </c>
      <c r="I2498" s="136" t="s">
        <v>1435</v>
      </c>
      <c r="J2498" s="136" t="s">
        <v>12825</v>
      </c>
      <c r="L2498" s="136"/>
      <c r="M2498" s="136"/>
      <c r="N2498" s="136"/>
    </row>
    <row r="2499" spans="6:14">
      <c r="F2499" s="136" t="s">
        <v>12826</v>
      </c>
      <c r="G2499" s="136">
        <v>2496</v>
      </c>
      <c r="H2499" s="136" t="s">
        <v>1744</v>
      </c>
      <c r="I2499" s="136" t="s">
        <v>12827</v>
      </c>
      <c r="J2499" s="136" t="s">
        <v>12828</v>
      </c>
      <c r="L2499" s="136"/>
      <c r="M2499" s="136"/>
      <c r="N2499" s="136"/>
    </row>
    <row r="2500" spans="6:14">
      <c r="F2500" s="136" t="s">
        <v>12829</v>
      </c>
      <c r="G2500" s="136">
        <v>2497</v>
      </c>
      <c r="H2500" s="136" t="s">
        <v>534</v>
      </c>
      <c r="I2500" s="136" t="s">
        <v>535</v>
      </c>
      <c r="J2500" s="136" t="s">
        <v>12830</v>
      </c>
      <c r="L2500" s="136"/>
      <c r="M2500" s="136"/>
      <c r="N2500" s="136"/>
    </row>
    <row r="2501" spans="6:14">
      <c r="F2501" s="136" t="s">
        <v>12831</v>
      </c>
      <c r="G2501" s="136">
        <v>2498</v>
      </c>
      <c r="H2501" s="136" t="s">
        <v>948</v>
      </c>
      <c r="I2501" s="136" t="s">
        <v>949</v>
      </c>
      <c r="J2501" s="136" t="s">
        <v>12832</v>
      </c>
      <c r="L2501" s="136"/>
      <c r="M2501" s="136"/>
      <c r="N2501" s="136"/>
    </row>
    <row r="2502" spans="6:14">
      <c r="F2502" s="136" t="s">
        <v>12833</v>
      </c>
      <c r="G2502" s="136">
        <v>2499</v>
      </c>
      <c r="H2502" s="136" t="s">
        <v>488</v>
      </c>
      <c r="I2502" s="136" t="s">
        <v>489</v>
      </c>
      <c r="J2502" s="136" t="s">
        <v>12834</v>
      </c>
      <c r="L2502" s="136"/>
      <c r="M2502" s="136"/>
      <c r="N2502" s="136"/>
    </row>
    <row r="2503" spans="6:14">
      <c r="F2503" s="136" t="s">
        <v>12835</v>
      </c>
      <c r="G2503" s="136">
        <v>2500</v>
      </c>
      <c r="H2503" s="136" t="s">
        <v>4337</v>
      </c>
      <c r="I2503" s="136" t="s">
        <v>4338</v>
      </c>
      <c r="J2503" s="136" t="s">
        <v>12836</v>
      </c>
      <c r="L2503" s="136"/>
      <c r="M2503" s="136"/>
      <c r="N2503" s="136"/>
    </row>
    <row r="2504" spans="6:14">
      <c r="F2504" s="136" t="s">
        <v>12837</v>
      </c>
      <c r="G2504" s="136">
        <v>2501</v>
      </c>
      <c r="H2504" s="136" t="s">
        <v>4137</v>
      </c>
      <c r="I2504" s="136" t="s">
        <v>4138</v>
      </c>
      <c r="J2504" s="136" t="s">
        <v>12838</v>
      </c>
      <c r="L2504" s="136"/>
      <c r="M2504" s="136"/>
      <c r="N2504" s="136"/>
    </row>
    <row r="2505" spans="6:14">
      <c r="F2505" s="136" t="s">
        <v>12839</v>
      </c>
      <c r="G2505" s="136">
        <v>2502</v>
      </c>
      <c r="H2505" s="136" t="s">
        <v>2322</v>
      </c>
      <c r="I2505" s="136" t="s">
        <v>2323</v>
      </c>
      <c r="J2505" s="136" t="s">
        <v>12840</v>
      </c>
      <c r="L2505" s="136"/>
      <c r="M2505" s="136"/>
      <c r="N2505" s="136"/>
    </row>
    <row r="2506" spans="6:14">
      <c r="F2506" s="136" t="s">
        <v>12841</v>
      </c>
      <c r="G2506" s="136">
        <v>2503</v>
      </c>
      <c r="H2506" s="136" t="s">
        <v>2147</v>
      </c>
      <c r="I2506" s="136" t="s">
        <v>489</v>
      </c>
      <c r="J2506" s="136" t="s">
        <v>12842</v>
      </c>
      <c r="L2506" s="136"/>
      <c r="M2506" s="136"/>
      <c r="N2506" s="136"/>
    </row>
    <row r="2507" spans="6:14">
      <c r="F2507" s="136" t="s">
        <v>12843</v>
      </c>
      <c r="G2507" s="136">
        <v>2504</v>
      </c>
      <c r="H2507" s="136" t="s">
        <v>1491</v>
      </c>
      <c r="I2507" s="136" t="s">
        <v>1491</v>
      </c>
      <c r="J2507" s="136" t="s">
        <v>12844</v>
      </c>
      <c r="L2507" s="136"/>
      <c r="M2507" s="136"/>
      <c r="N2507" s="136"/>
    </row>
    <row r="2508" spans="6:14">
      <c r="F2508" s="136" t="s">
        <v>12845</v>
      </c>
      <c r="G2508" s="136">
        <v>2505</v>
      </c>
      <c r="H2508" s="136" t="s">
        <v>12846</v>
      </c>
      <c r="I2508" s="136" t="s">
        <v>12847</v>
      </c>
      <c r="J2508" s="136" t="s">
        <v>12848</v>
      </c>
      <c r="L2508" s="136"/>
      <c r="M2508" s="136"/>
      <c r="N2508" s="136"/>
    </row>
    <row r="2509" spans="6:14">
      <c r="F2509" s="136" t="s">
        <v>12849</v>
      </c>
      <c r="G2509" s="136">
        <v>2506</v>
      </c>
      <c r="H2509" s="136" t="s">
        <v>12850</v>
      </c>
      <c r="I2509" s="136" t="s">
        <v>12851</v>
      </c>
      <c r="J2509" s="136" t="s">
        <v>12852</v>
      </c>
      <c r="L2509" s="136"/>
      <c r="M2509" s="136"/>
      <c r="N2509" s="136"/>
    </row>
    <row r="2510" spans="6:14">
      <c r="F2510" s="136" t="s">
        <v>12853</v>
      </c>
      <c r="G2510" s="136">
        <v>2507</v>
      </c>
      <c r="H2510" s="136" t="s">
        <v>12854</v>
      </c>
      <c r="I2510" s="136" t="s">
        <v>12855</v>
      </c>
      <c r="J2510" s="136" t="s">
        <v>12856</v>
      </c>
      <c r="L2510" s="136"/>
      <c r="M2510" s="136"/>
      <c r="N2510" s="136"/>
    </row>
    <row r="2511" spans="6:14">
      <c r="F2511" s="136" t="s">
        <v>12857</v>
      </c>
      <c r="G2511" s="136">
        <v>2508</v>
      </c>
      <c r="H2511" s="136" t="s">
        <v>12858</v>
      </c>
      <c r="I2511" s="136" t="s">
        <v>12859</v>
      </c>
      <c r="J2511" s="136" t="s">
        <v>12860</v>
      </c>
      <c r="L2511" s="136"/>
      <c r="M2511" s="136"/>
      <c r="N2511" s="136"/>
    </row>
    <row r="2512" spans="6:14">
      <c r="F2512" s="136" t="s">
        <v>12861</v>
      </c>
      <c r="G2512" s="136">
        <v>2509</v>
      </c>
      <c r="H2512" s="136" t="s">
        <v>12862</v>
      </c>
      <c r="I2512" s="136" t="s">
        <v>12863</v>
      </c>
      <c r="J2512" s="136" t="s">
        <v>12864</v>
      </c>
      <c r="L2512" s="136"/>
      <c r="M2512" s="136"/>
      <c r="N2512" s="136"/>
    </row>
    <row r="2513" spans="6:14">
      <c r="F2513" s="136" t="s">
        <v>12865</v>
      </c>
      <c r="G2513" s="136">
        <v>2510</v>
      </c>
      <c r="H2513" s="136" t="s">
        <v>12866</v>
      </c>
      <c r="I2513" s="136" t="s">
        <v>12867</v>
      </c>
      <c r="J2513" s="136" t="s">
        <v>12868</v>
      </c>
      <c r="L2513" s="136"/>
      <c r="M2513" s="136"/>
      <c r="N2513" s="136"/>
    </row>
    <row r="2514" spans="6:14">
      <c r="F2514" s="136" t="s">
        <v>12869</v>
      </c>
      <c r="G2514" s="136">
        <v>2511</v>
      </c>
      <c r="H2514" s="136" t="s">
        <v>4688</v>
      </c>
      <c r="I2514" s="136" t="s">
        <v>4689</v>
      </c>
      <c r="J2514" s="136" t="s">
        <v>12870</v>
      </c>
      <c r="L2514" s="136"/>
      <c r="M2514" s="136"/>
      <c r="N2514" s="136"/>
    </row>
    <row r="2515" spans="6:14">
      <c r="F2515" s="136" t="s">
        <v>12871</v>
      </c>
      <c r="G2515" s="136">
        <v>2512</v>
      </c>
      <c r="H2515" s="136" t="s">
        <v>5168</v>
      </c>
      <c r="I2515" s="136" t="s">
        <v>5169</v>
      </c>
      <c r="J2515" s="136" t="s">
        <v>12872</v>
      </c>
      <c r="L2515" s="136"/>
      <c r="M2515" s="136"/>
      <c r="N2515" s="136"/>
    </row>
    <row r="2516" spans="6:14">
      <c r="F2516" s="136" t="s">
        <v>12873</v>
      </c>
      <c r="G2516" s="136">
        <v>2513</v>
      </c>
      <c r="H2516" s="136" t="s">
        <v>801</v>
      </c>
      <c r="I2516" s="136" t="s">
        <v>802</v>
      </c>
      <c r="J2516" s="136" t="s">
        <v>12874</v>
      </c>
      <c r="L2516" s="136"/>
      <c r="M2516" s="136"/>
      <c r="N2516" s="136"/>
    </row>
    <row r="2517" spans="6:14">
      <c r="F2517" s="136" t="s">
        <v>12875</v>
      </c>
      <c r="G2517" s="136">
        <v>2514</v>
      </c>
      <c r="H2517" s="136" t="s">
        <v>78</v>
      </c>
      <c r="I2517" s="136" t="s">
        <v>79</v>
      </c>
      <c r="J2517" s="136" t="s">
        <v>12876</v>
      </c>
      <c r="L2517" s="136"/>
      <c r="M2517" s="136"/>
      <c r="N2517" s="136"/>
    </row>
    <row r="2518" spans="6:14">
      <c r="F2518" s="136" t="s">
        <v>12877</v>
      </c>
      <c r="G2518" s="136">
        <v>2515</v>
      </c>
      <c r="H2518" s="136" t="s">
        <v>7063</v>
      </c>
      <c r="I2518" s="136" t="s">
        <v>7064</v>
      </c>
      <c r="J2518" s="136" t="s">
        <v>12878</v>
      </c>
      <c r="L2518" s="136"/>
      <c r="M2518" s="136"/>
      <c r="N2518" s="136"/>
    </row>
    <row r="2519" spans="6:14">
      <c r="F2519" s="136" t="s">
        <v>12879</v>
      </c>
      <c r="G2519" s="136">
        <v>2516</v>
      </c>
      <c r="H2519" s="136" t="s">
        <v>3136</v>
      </c>
      <c r="I2519" s="136" t="s">
        <v>3137</v>
      </c>
      <c r="J2519" s="136" t="s">
        <v>12880</v>
      </c>
      <c r="L2519" s="136"/>
      <c r="M2519" s="136"/>
      <c r="N2519" s="136"/>
    </row>
    <row r="2520" spans="6:14">
      <c r="F2520" s="136" t="s">
        <v>12881</v>
      </c>
      <c r="G2520" s="136">
        <v>2517</v>
      </c>
      <c r="H2520" s="136" t="s">
        <v>5747</v>
      </c>
      <c r="I2520" s="136" t="s">
        <v>5748</v>
      </c>
      <c r="J2520" s="136" t="s">
        <v>12882</v>
      </c>
      <c r="L2520" s="136"/>
      <c r="M2520" s="136"/>
      <c r="N2520" s="136"/>
    </row>
    <row r="2521" spans="6:14">
      <c r="F2521" s="136" t="s">
        <v>12883</v>
      </c>
      <c r="G2521" s="136">
        <v>2518</v>
      </c>
      <c r="H2521" s="136" t="s">
        <v>2696</v>
      </c>
      <c r="I2521" s="136" t="s">
        <v>2697</v>
      </c>
      <c r="J2521" s="136" t="s">
        <v>12884</v>
      </c>
      <c r="L2521" s="136"/>
      <c r="M2521" s="136"/>
      <c r="N2521" s="136"/>
    </row>
    <row r="2522" spans="6:14">
      <c r="F2522" s="136" t="s">
        <v>12885</v>
      </c>
      <c r="G2522" s="136">
        <v>2519</v>
      </c>
      <c r="H2522" s="136" t="s">
        <v>12886</v>
      </c>
      <c r="I2522" s="136" t="s">
        <v>12887</v>
      </c>
      <c r="J2522" s="136" t="s">
        <v>12888</v>
      </c>
      <c r="L2522" s="136"/>
      <c r="M2522" s="136"/>
      <c r="N2522" s="136"/>
    </row>
    <row r="2523" spans="6:14">
      <c r="F2523" s="136" t="s">
        <v>12889</v>
      </c>
      <c r="G2523" s="136">
        <v>2520</v>
      </c>
      <c r="H2523" s="136" t="s">
        <v>3642</v>
      </c>
      <c r="I2523" s="136" t="s">
        <v>3643</v>
      </c>
      <c r="J2523" s="136" t="s">
        <v>12890</v>
      </c>
      <c r="L2523" s="136"/>
      <c r="M2523" s="136"/>
      <c r="N2523" s="136"/>
    </row>
    <row r="2524" spans="6:14">
      <c r="F2524" s="136" t="s">
        <v>12891</v>
      </c>
      <c r="G2524" s="136">
        <v>2521</v>
      </c>
      <c r="H2524" s="136" t="s">
        <v>1123</v>
      </c>
      <c r="I2524" s="136" t="s">
        <v>1124</v>
      </c>
      <c r="J2524" s="136" t="s">
        <v>12892</v>
      </c>
      <c r="L2524" s="136"/>
      <c r="M2524" s="136"/>
      <c r="N2524" s="136"/>
    </row>
    <row r="2525" spans="6:14">
      <c r="F2525" s="136" t="s">
        <v>12893</v>
      </c>
      <c r="G2525" s="136">
        <v>2522</v>
      </c>
      <c r="H2525" s="136" t="s">
        <v>2874</v>
      </c>
      <c r="I2525" s="136" t="s">
        <v>2875</v>
      </c>
      <c r="J2525" s="136" t="s">
        <v>12894</v>
      </c>
      <c r="L2525" s="136"/>
      <c r="M2525" s="136"/>
      <c r="N2525" s="136"/>
    </row>
    <row r="2526" spans="6:14">
      <c r="F2526" s="136" t="s">
        <v>12895</v>
      </c>
      <c r="G2526" s="136">
        <v>2523</v>
      </c>
      <c r="H2526" s="136" t="s">
        <v>12896</v>
      </c>
      <c r="I2526" s="136" t="s">
        <v>12897</v>
      </c>
      <c r="J2526" s="136" t="s">
        <v>12898</v>
      </c>
      <c r="L2526" s="136"/>
      <c r="M2526" s="136"/>
      <c r="N2526" s="136"/>
    </row>
    <row r="2527" spans="6:14">
      <c r="F2527" s="136" t="s">
        <v>12899</v>
      </c>
      <c r="G2527" s="136">
        <v>2524</v>
      </c>
      <c r="H2527" s="136" t="s">
        <v>4176</v>
      </c>
      <c r="I2527" s="136" t="s">
        <v>4177</v>
      </c>
      <c r="J2527" s="136" t="s">
        <v>12900</v>
      </c>
      <c r="L2527" s="136"/>
      <c r="M2527" s="136"/>
      <c r="N2527" s="136"/>
    </row>
    <row r="2528" spans="6:14">
      <c r="F2528" s="136" t="s">
        <v>12901</v>
      </c>
      <c r="G2528" s="136">
        <v>2525</v>
      </c>
      <c r="H2528" s="136" t="s">
        <v>5893</v>
      </c>
      <c r="I2528" s="136" t="s">
        <v>5894</v>
      </c>
      <c r="J2528" s="136" t="s">
        <v>12902</v>
      </c>
      <c r="L2528" s="136"/>
      <c r="M2528" s="136"/>
      <c r="N2528" s="136"/>
    </row>
    <row r="2529" spans="6:14">
      <c r="F2529" s="136" t="s">
        <v>12903</v>
      </c>
      <c r="G2529" s="136">
        <v>2526</v>
      </c>
      <c r="H2529" s="136" t="s">
        <v>12904</v>
      </c>
      <c r="I2529" s="136" t="s">
        <v>12904</v>
      </c>
      <c r="J2529" s="136" t="s">
        <v>12905</v>
      </c>
      <c r="L2529" s="136"/>
      <c r="M2529" s="136"/>
      <c r="N2529" s="136"/>
    </row>
    <row r="2530" spans="6:14">
      <c r="F2530" s="136" t="s">
        <v>12906</v>
      </c>
      <c r="G2530" s="136">
        <v>2527</v>
      </c>
      <c r="H2530" s="136" t="s">
        <v>2676</v>
      </c>
      <c r="I2530" s="136" t="s">
        <v>2677</v>
      </c>
      <c r="J2530" s="136" t="s">
        <v>12907</v>
      </c>
      <c r="L2530" s="136"/>
      <c r="M2530" s="136"/>
      <c r="N2530" s="136"/>
    </row>
    <row r="2531" spans="6:14">
      <c r="F2531" s="136" t="s">
        <v>12908</v>
      </c>
      <c r="G2531" s="136">
        <v>2528</v>
      </c>
      <c r="H2531" s="136" t="s">
        <v>12909</v>
      </c>
      <c r="I2531" s="136" t="s">
        <v>12910</v>
      </c>
      <c r="J2531" s="136" t="s">
        <v>12911</v>
      </c>
      <c r="L2531" s="136"/>
      <c r="M2531" s="136"/>
      <c r="N2531" s="136"/>
    </row>
    <row r="2532" spans="6:14">
      <c r="F2532" s="136" t="s">
        <v>12912</v>
      </c>
      <c r="G2532" s="136">
        <v>2529</v>
      </c>
      <c r="H2532" s="136" t="s">
        <v>1045</v>
      </c>
      <c r="I2532" s="136" t="s">
        <v>1046</v>
      </c>
      <c r="J2532" s="136" t="s">
        <v>12913</v>
      </c>
      <c r="L2532" s="136"/>
      <c r="M2532" s="136"/>
      <c r="N2532" s="136"/>
    </row>
    <row r="2533" spans="6:14">
      <c r="F2533" s="136" t="s">
        <v>12914</v>
      </c>
      <c r="G2533" s="136">
        <v>2530</v>
      </c>
      <c r="H2533" s="136" t="s">
        <v>1121</v>
      </c>
      <c r="I2533" s="136" t="s">
        <v>1122</v>
      </c>
      <c r="J2533" s="136" t="s">
        <v>12915</v>
      </c>
      <c r="L2533" s="136"/>
      <c r="M2533" s="136"/>
      <c r="N2533" s="136"/>
    </row>
    <row r="2534" spans="6:14">
      <c r="F2534" s="136" t="s">
        <v>12916</v>
      </c>
      <c r="G2534" s="136">
        <v>2531</v>
      </c>
      <c r="H2534" s="136" t="s">
        <v>4174</v>
      </c>
      <c r="I2534" s="136" t="s">
        <v>4175</v>
      </c>
      <c r="J2534" s="136" t="s">
        <v>12917</v>
      </c>
      <c r="L2534" s="136"/>
      <c r="M2534" s="136"/>
      <c r="N2534" s="136"/>
    </row>
    <row r="2535" spans="6:14">
      <c r="F2535" s="136" t="s">
        <v>12918</v>
      </c>
      <c r="G2535" s="136">
        <v>2532</v>
      </c>
      <c r="H2535" s="136" t="s">
        <v>12919</v>
      </c>
      <c r="I2535" s="136" t="s">
        <v>12920</v>
      </c>
      <c r="J2535" s="136" t="s">
        <v>12921</v>
      </c>
      <c r="L2535" s="136"/>
      <c r="M2535" s="136"/>
      <c r="N2535" s="136"/>
    </row>
    <row r="2536" spans="6:14">
      <c r="F2536" s="136" t="s">
        <v>12922</v>
      </c>
      <c r="G2536" s="136">
        <v>2533</v>
      </c>
      <c r="H2536" s="136" t="s">
        <v>6170</v>
      </c>
      <c r="I2536" s="136" t="s">
        <v>6171</v>
      </c>
      <c r="J2536" s="136" t="s">
        <v>12923</v>
      </c>
      <c r="L2536" s="136"/>
      <c r="M2536" s="136"/>
      <c r="N2536" s="136"/>
    </row>
    <row r="2537" spans="6:14">
      <c r="F2537" s="136" t="s">
        <v>12924</v>
      </c>
      <c r="G2537" s="136">
        <v>2534</v>
      </c>
      <c r="H2537" s="136" t="s">
        <v>12925</v>
      </c>
      <c r="I2537" s="136" t="s">
        <v>12926</v>
      </c>
      <c r="J2537" s="136" t="s">
        <v>12927</v>
      </c>
      <c r="L2537" s="136"/>
      <c r="M2537" s="136"/>
      <c r="N2537" s="136"/>
    </row>
    <row r="2538" spans="6:14">
      <c r="F2538" s="136" t="s">
        <v>12928</v>
      </c>
      <c r="G2538" s="136">
        <v>2535</v>
      </c>
      <c r="H2538" s="136" t="s">
        <v>12929</v>
      </c>
      <c r="I2538" s="136" t="s">
        <v>12930</v>
      </c>
      <c r="J2538" s="136" t="s">
        <v>12931</v>
      </c>
      <c r="L2538" s="136"/>
      <c r="M2538" s="136"/>
      <c r="N2538" s="136"/>
    </row>
    <row r="2539" spans="6:14">
      <c r="F2539" s="136" t="s">
        <v>12932</v>
      </c>
      <c r="G2539" s="136">
        <v>2536</v>
      </c>
      <c r="H2539" s="136" t="s">
        <v>6080</v>
      </c>
      <c r="I2539" s="136" t="s">
        <v>6081</v>
      </c>
      <c r="J2539" s="136" t="s">
        <v>12933</v>
      </c>
      <c r="L2539" s="136"/>
      <c r="M2539" s="136"/>
      <c r="N2539" s="136"/>
    </row>
    <row r="2540" spans="6:14">
      <c r="F2540" s="136" t="s">
        <v>12934</v>
      </c>
      <c r="G2540" s="136">
        <v>2537</v>
      </c>
      <c r="H2540" s="136" t="s">
        <v>12935</v>
      </c>
      <c r="I2540" s="136" t="s">
        <v>12936</v>
      </c>
      <c r="J2540" s="136" t="s">
        <v>12937</v>
      </c>
      <c r="L2540" s="136"/>
      <c r="M2540" s="136"/>
      <c r="N2540" s="136"/>
    </row>
    <row r="2541" spans="6:14">
      <c r="F2541" s="136" t="s">
        <v>12938</v>
      </c>
      <c r="G2541" s="136">
        <v>2538</v>
      </c>
      <c r="H2541" s="136" t="s">
        <v>5637</v>
      </c>
      <c r="I2541" s="136" t="s">
        <v>5638</v>
      </c>
      <c r="J2541" s="136" t="s">
        <v>12939</v>
      </c>
      <c r="L2541" s="136"/>
      <c r="M2541" s="136"/>
      <c r="N2541" s="136"/>
    </row>
    <row r="2542" spans="6:14">
      <c r="F2542" s="136" t="s">
        <v>12940</v>
      </c>
      <c r="G2542" s="136">
        <v>2539</v>
      </c>
      <c r="H2542" s="136" t="s">
        <v>5001</v>
      </c>
      <c r="I2542" s="136" t="s">
        <v>5002</v>
      </c>
      <c r="J2542" s="136" t="s">
        <v>12941</v>
      </c>
      <c r="L2542" s="136"/>
      <c r="M2542" s="136"/>
      <c r="N2542" s="136"/>
    </row>
    <row r="2543" spans="6:14">
      <c r="F2543" s="136" t="s">
        <v>12942</v>
      </c>
      <c r="G2543" s="136">
        <v>2540</v>
      </c>
      <c r="H2543" s="136" t="s">
        <v>5343</v>
      </c>
      <c r="I2543" s="136" t="s">
        <v>5344</v>
      </c>
      <c r="J2543" s="136" t="s">
        <v>12943</v>
      </c>
      <c r="L2543" s="136"/>
      <c r="M2543" s="136"/>
      <c r="N2543" s="136"/>
    </row>
    <row r="2544" spans="6:14">
      <c r="F2544" s="136" t="s">
        <v>12944</v>
      </c>
      <c r="G2544" s="136">
        <v>2541</v>
      </c>
      <c r="H2544" s="136" t="s">
        <v>710</v>
      </c>
      <c r="I2544" s="136" t="s">
        <v>711</v>
      </c>
      <c r="J2544" s="136" t="s">
        <v>12945</v>
      </c>
      <c r="L2544" s="136"/>
      <c r="M2544" s="136"/>
      <c r="N2544" s="136"/>
    </row>
    <row r="2545" spans="6:14">
      <c r="F2545" s="136" t="s">
        <v>12946</v>
      </c>
      <c r="G2545" s="136">
        <v>2542</v>
      </c>
      <c r="H2545" s="136" t="s">
        <v>4770</v>
      </c>
      <c r="I2545" s="136" t="s">
        <v>4771</v>
      </c>
      <c r="J2545" s="136" t="s">
        <v>12947</v>
      </c>
      <c r="L2545" s="136"/>
      <c r="M2545" s="136"/>
      <c r="N2545" s="136"/>
    </row>
    <row r="2546" spans="6:14">
      <c r="F2546" s="136" t="s">
        <v>12948</v>
      </c>
      <c r="G2546" s="136">
        <v>2543</v>
      </c>
      <c r="H2546" s="136" t="s">
        <v>12949</v>
      </c>
      <c r="I2546" s="136" t="s">
        <v>12950</v>
      </c>
      <c r="J2546" s="136" t="s">
        <v>12951</v>
      </c>
      <c r="L2546" s="136"/>
      <c r="M2546" s="136"/>
      <c r="N2546" s="136"/>
    </row>
    <row r="2547" spans="6:14">
      <c r="F2547" s="136" t="s">
        <v>12952</v>
      </c>
      <c r="G2547" s="136">
        <v>2544</v>
      </c>
      <c r="H2547" s="136" t="s">
        <v>12953</v>
      </c>
      <c r="I2547" s="136" t="s">
        <v>12954</v>
      </c>
      <c r="J2547" s="136" t="s">
        <v>12955</v>
      </c>
      <c r="L2547" s="136"/>
      <c r="M2547" s="136"/>
      <c r="N2547" s="136"/>
    </row>
    <row r="2548" spans="6:14">
      <c r="F2548" s="136" t="s">
        <v>12956</v>
      </c>
      <c r="G2548" s="136">
        <v>2545</v>
      </c>
      <c r="H2548" s="136" t="s">
        <v>12957</v>
      </c>
      <c r="I2548" s="136" t="s">
        <v>12958</v>
      </c>
      <c r="J2548" s="136" t="s">
        <v>12959</v>
      </c>
      <c r="L2548" s="136"/>
      <c r="M2548" s="136"/>
      <c r="N2548" s="136"/>
    </row>
    <row r="2549" spans="6:14">
      <c r="F2549" s="136" t="s">
        <v>12960</v>
      </c>
      <c r="G2549" s="136">
        <v>2546</v>
      </c>
      <c r="H2549" s="136" t="s">
        <v>12961</v>
      </c>
      <c r="I2549" s="136" t="s">
        <v>12962</v>
      </c>
      <c r="J2549" s="136" t="s">
        <v>12963</v>
      </c>
      <c r="L2549" s="136"/>
      <c r="M2549" s="136"/>
      <c r="N2549" s="136"/>
    </row>
    <row r="2550" spans="6:14">
      <c r="F2550" s="136" t="s">
        <v>12964</v>
      </c>
      <c r="G2550" s="136">
        <v>2547</v>
      </c>
      <c r="H2550" s="136" t="s">
        <v>1151</v>
      </c>
      <c r="I2550" s="136" t="s">
        <v>1152</v>
      </c>
      <c r="J2550" s="136" t="s">
        <v>12965</v>
      </c>
      <c r="L2550" s="136"/>
      <c r="M2550" s="136"/>
      <c r="N2550" s="136"/>
    </row>
    <row r="2551" spans="6:14">
      <c r="F2551" s="136" t="s">
        <v>12966</v>
      </c>
      <c r="G2551" s="136">
        <v>2548</v>
      </c>
      <c r="H2551" s="136" t="s">
        <v>2301</v>
      </c>
      <c r="I2551" s="136" t="s">
        <v>619</v>
      </c>
      <c r="J2551" s="136" t="s">
        <v>12967</v>
      </c>
      <c r="L2551" s="136"/>
      <c r="M2551" s="136"/>
      <c r="N2551" s="136"/>
    </row>
    <row r="2552" spans="6:14">
      <c r="F2552" s="136" t="s">
        <v>12968</v>
      </c>
      <c r="G2552" s="136">
        <v>2549</v>
      </c>
      <c r="H2552" s="136" t="s">
        <v>12969</v>
      </c>
      <c r="I2552" s="136" t="s">
        <v>12970</v>
      </c>
      <c r="J2552" s="136" t="s">
        <v>12971</v>
      </c>
      <c r="L2552" s="136"/>
      <c r="M2552" s="136"/>
      <c r="N2552" s="136"/>
    </row>
    <row r="2553" spans="6:14">
      <c r="F2553" s="136" t="s">
        <v>12972</v>
      </c>
      <c r="G2553" s="136">
        <v>2550</v>
      </c>
      <c r="H2553" s="136" t="s">
        <v>1497</v>
      </c>
      <c r="I2553" s="136" t="s">
        <v>1497</v>
      </c>
      <c r="J2553" s="136" t="s">
        <v>12973</v>
      </c>
      <c r="L2553" s="136"/>
      <c r="M2553" s="136"/>
      <c r="N2553" s="136"/>
    </row>
    <row r="2554" spans="6:14">
      <c r="F2554" s="136" t="s">
        <v>12974</v>
      </c>
      <c r="G2554" s="136">
        <v>2551</v>
      </c>
      <c r="H2554" s="136" t="s">
        <v>12975</v>
      </c>
      <c r="I2554" s="136" t="s">
        <v>12976</v>
      </c>
      <c r="J2554" s="136" t="s">
        <v>12977</v>
      </c>
      <c r="L2554" s="136"/>
      <c r="M2554" s="136"/>
      <c r="N2554" s="136"/>
    </row>
    <row r="2555" spans="6:14">
      <c r="F2555" s="136" t="s">
        <v>12978</v>
      </c>
      <c r="G2555" s="136">
        <v>2552</v>
      </c>
      <c r="H2555" s="136" t="s">
        <v>4229</v>
      </c>
      <c r="I2555" s="136" t="s">
        <v>4230</v>
      </c>
      <c r="J2555" s="136" t="s">
        <v>12979</v>
      </c>
      <c r="L2555" s="136"/>
      <c r="M2555" s="136"/>
      <c r="N2555" s="136"/>
    </row>
    <row r="2556" spans="6:14">
      <c r="F2556" s="136" t="s">
        <v>12980</v>
      </c>
      <c r="G2556" s="136">
        <v>2553</v>
      </c>
      <c r="H2556" s="136" t="s">
        <v>12981</v>
      </c>
      <c r="I2556" s="136" t="s">
        <v>12981</v>
      </c>
      <c r="J2556" s="136" t="s">
        <v>12982</v>
      </c>
      <c r="L2556" s="136"/>
      <c r="M2556" s="136"/>
      <c r="N2556" s="136"/>
    </row>
    <row r="2557" spans="6:14">
      <c r="F2557" s="136" t="s">
        <v>12983</v>
      </c>
      <c r="G2557" s="136">
        <v>2554</v>
      </c>
      <c r="H2557" s="136" t="s">
        <v>12984</v>
      </c>
      <c r="I2557" s="136" t="s">
        <v>12985</v>
      </c>
      <c r="J2557" s="136" t="s">
        <v>12986</v>
      </c>
      <c r="L2557" s="136"/>
      <c r="M2557" s="136"/>
      <c r="N2557" s="136"/>
    </row>
    <row r="2558" spans="6:14">
      <c r="F2558" s="136" t="s">
        <v>12987</v>
      </c>
      <c r="G2558" s="136">
        <v>2555</v>
      </c>
      <c r="H2558" s="136" t="s">
        <v>12988</v>
      </c>
      <c r="I2558" s="136" t="s">
        <v>12989</v>
      </c>
      <c r="J2558" s="136" t="s">
        <v>12990</v>
      </c>
      <c r="L2558" s="136"/>
      <c r="M2558" s="136"/>
      <c r="N2558" s="136"/>
    </row>
    <row r="2559" spans="6:14">
      <c r="F2559" s="136" t="s">
        <v>12991</v>
      </c>
      <c r="G2559" s="136">
        <v>2556</v>
      </c>
      <c r="H2559" s="136" t="s">
        <v>12992</v>
      </c>
      <c r="I2559" s="136" t="s">
        <v>12993</v>
      </c>
      <c r="J2559" s="136" t="s">
        <v>12994</v>
      </c>
      <c r="L2559" s="136"/>
      <c r="M2559" s="136"/>
      <c r="N2559" s="136"/>
    </row>
    <row r="2560" spans="6:14">
      <c r="F2560" s="136" t="s">
        <v>12995</v>
      </c>
      <c r="G2560" s="136">
        <v>2557</v>
      </c>
      <c r="H2560" s="136" t="s">
        <v>5211</v>
      </c>
      <c r="I2560" s="136" t="s">
        <v>5212</v>
      </c>
      <c r="J2560" s="136" t="s">
        <v>12996</v>
      </c>
      <c r="L2560" s="136"/>
      <c r="M2560" s="136"/>
      <c r="N2560" s="136"/>
    </row>
    <row r="2561" spans="6:14">
      <c r="F2561" s="136" t="s">
        <v>12997</v>
      </c>
      <c r="G2561" s="136">
        <v>2558</v>
      </c>
      <c r="H2561" s="136" t="s">
        <v>12998</v>
      </c>
      <c r="I2561" s="136" t="s">
        <v>12999</v>
      </c>
      <c r="J2561" s="136" t="s">
        <v>13000</v>
      </c>
      <c r="L2561" s="136"/>
      <c r="M2561" s="136"/>
      <c r="N2561" s="136"/>
    </row>
    <row r="2562" spans="6:14">
      <c r="F2562" s="136" t="s">
        <v>13001</v>
      </c>
      <c r="G2562" s="136">
        <v>2559</v>
      </c>
      <c r="H2562" s="136" t="s">
        <v>13002</v>
      </c>
      <c r="I2562" s="136" t="s">
        <v>13003</v>
      </c>
      <c r="J2562" s="136" t="s">
        <v>13004</v>
      </c>
      <c r="L2562" s="136"/>
      <c r="M2562" s="136"/>
      <c r="N2562" s="136"/>
    </row>
    <row r="2563" spans="6:14">
      <c r="F2563" s="136" t="s">
        <v>13005</v>
      </c>
      <c r="G2563" s="136">
        <v>2560</v>
      </c>
      <c r="H2563" s="136" t="s">
        <v>13006</v>
      </c>
      <c r="I2563" s="136" t="s">
        <v>13007</v>
      </c>
      <c r="J2563" s="136" t="s">
        <v>13008</v>
      </c>
      <c r="L2563" s="136"/>
      <c r="M2563" s="136"/>
      <c r="N2563" s="136"/>
    </row>
    <row r="2564" spans="6:14">
      <c r="F2564" s="136" t="s">
        <v>13009</v>
      </c>
      <c r="G2564" s="136">
        <v>2561</v>
      </c>
      <c r="H2564" s="136" t="s">
        <v>5007</v>
      </c>
      <c r="I2564" s="136" t="s">
        <v>5008</v>
      </c>
      <c r="J2564" s="136" t="s">
        <v>13010</v>
      </c>
      <c r="L2564" s="136"/>
      <c r="M2564" s="136"/>
      <c r="N2564" s="136"/>
    </row>
    <row r="2565" spans="6:14">
      <c r="F2565" s="136" t="s">
        <v>13011</v>
      </c>
      <c r="G2565" s="136">
        <v>2562</v>
      </c>
      <c r="H2565" s="136" t="s">
        <v>1049</v>
      </c>
      <c r="I2565" s="136" t="s">
        <v>1050</v>
      </c>
      <c r="J2565" s="136" t="s">
        <v>13012</v>
      </c>
      <c r="L2565" s="136"/>
      <c r="M2565" s="136"/>
      <c r="N2565" s="136"/>
    </row>
    <row r="2566" spans="6:14">
      <c r="F2566" s="136" t="s">
        <v>13013</v>
      </c>
      <c r="G2566" s="136">
        <v>2563</v>
      </c>
      <c r="H2566" s="136" t="s">
        <v>3176</v>
      </c>
      <c r="I2566" s="136" t="s">
        <v>3177</v>
      </c>
      <c r="J2566" s="136" t="s">
        <v>13014</v>
      </c>
      <c r="L2566" s="136"/>
      <c r="M2566" s="136"/>
      <c r="N2566" s="136"/>
    </row>
    <row r="2567" spans="6:14">
      <c r="F2567" s="136" t="s">
        <v>13015</v>
      </c>
      <c r="G2567" s="136">
        <v>2564</v>
      </c>
      <c r="H2567" s="136" t="s">
        <v>518</v>
      </c>
      <c r="I2567" s="136" t="s">
        <v>519</v>
      </c>
      <c r="J2567" s="136" t="s">
        <v>13016</v>
      </c>
      <c r="L2567" s="136"/>
      <c r="M2567" s="136"/>
      <c r="N2567" s="136"/>
    </row>
    <row r="2568" spans="6:14">
      <c r="F2568" s="136" t="s">
        <v>13017</v>
      </c>
      <c r="G2568" s="136">
        <v>2565</v>
      </c>
      <c r="H2568" s="136" t="s">
        <v>13018</v>
      </c>
      <c r="I2568" s="136" t="s">
        <v>13019</v>
      </c>
      <c r="J2568" s="136" t="s">
        <v>13020</v>
      </c>
      <c r="L2568" s="136"/>
      <c r="M2568" s="136"/>
      <c r="N2568" s="136"/>
    </row>
    <row r="2569" spans="6:14">
      <c r="F2569" s="136" t="s">
        <v>13021</v>
      </c>
      <c r="G2569" s="136">
        <v>2566</v>
      </c>
      <c r="H2569" s="136" t="s">
        <v>4768</v>
      </c>
      <c r="I2569" s="136" t="s">
        <v>4769</v>
      </c>
      <c r="J2569" s="136" t="s">
        <v>13022</v>
      </c>
      <c r="L2569" s="136"/>
      <c r="M2569" s="136"/>
      <c r="N2569" s="136"/>
    </row>
    <row r="2570" spans="6:14">
      <c r="F2570" s="136" t="s">
        <v>13023</v>
      </c>
      <c r="G2570" s="136">
        <v>2567</v>
      </c>
      <c r="H2570" s="136" t="s">
        <v>3574</v>
      </c>
      <c r="I2570" s="136" t="s">
        <v>2059</v>
      </c>
      <c r="J2570" s="136" t="s">
        <v>13024</v>
      </c>
      <c r="L2570" s="136"/>
      <c r="M2570" s="136"/>
      <c r="N2570" s="136"/>
    </row>
    <row r="2571" spans="6:14">
      <c r="F2571" s="136" t="s">
        <v>13025</v>
      </c>
      <c r="G2571" s="136">
        <v>2568</v>
      </c>
      <c r="H2571" s="136" t="s">
        <v>904</v>
      </c>
      <c r="I2571" s="136" t="s">
        <v>905</v>
      </c>
      <c r="J2571" s="136" t="s">
        <v>13026</v>
      </c>
      <c r="L2571" s="136"/>
      <c r="M2571" s="136"/>
      <c r="N2571" s="136"/>
    </row>
    <row r="2572" spans="6:14">
      <c r="F2572" s="136" t="s">
        <v>13027</v>
      </c>
      <c r="G2572" s="136">
        <v>2569</v>
      </c>
      <c r="H2572" s="136" t="s">
        <v>13028</v>
      </c>
      <c r="I2572" s="136" t="s">
        <v>13028</v>
      </c>
      <c r="J2572" s="136" t="s">
        <v>13029</v>
      </c>
      <c r="L2572" s="136"/>
      <c r="M2572" s="136"/>
      <c r="N2572" s="136"/>
    </row>
    <row r="2573" spans="6:14">
      <c r="F2573" s="136" t="s">
        <v>13030</v>
      </c>
      <c r="G2573" s="136">
        <v>2570</v>
      </c>
      <c r="H2573" s="136" t="s">
        <v>3683</v>
      </c>
      <c r="I2573" s="136" t="s">
        <v>3684</v>
      </c>
      <c r="J2573" s="136" t="s">
        <v>13031</v>
      </c>
      <c r="L2573" s="136"/>
      <c r="M2573" s="136"/>
      <c r="N2573" s="136"/>
    </row>
    <row r="2574" spans="6:14">
      <c r="F2574" s="136" t="s">
        <v>13032</v>
      </c>
      <c r="G2574" s="136">
        <v>2571</v>
      </c>
      <c r="H2574" s="136" t="s">
        <v>815</v>
      </c>
      <c r="I2574" s="136" t="s">
        <v>816</v>
      </c>
      <c r="J2574" s="136" t="s">
        <v>13033</v>
      </c>
      <c r="L2574" s="136"/>
      <c r="M2574" s="136"/>
      <c r="N2574" s="136"/>
    </row>
    <row r="2575" spans="6:14">
      <c r="F2575" s="136" t="s">
        <v>13034</v>
      </c>
      <c r="G2575" s="136">
        <v>2572</v>
      </c>
      <c r="H2575" s="136" t="s">
        <v>5457</v>
      </c>
      <c r="I2575" s="136" t="s">
        <v>5458</v>
      </c>
      <c r="J2575" s="136" t="s">
        <v>13035</v>
      </c>
      <c r="L2575" s="136"/>
      <c r="M2575" s="136"/>
      <c r="N2575" s="136"/>
    </row>
    <row r="2576" spans="6:14">
      <c r="F2576" s="136" t="s">
        <v>13036</v>
      </c>
      <c r="G2576" s="136">
        <v>2573</v>
      </c>
      <c r="H2576" s="136" t="s">
        <v>4462</v>
      </c>
      <c r="I2576" s="136" t="s">
        <v>4463</v>
      </c>
      <c r="J2576" s="136" t="s">
        <v>13037</v>
      </c>
      <c r="L2576" s="136"/>
      <c r="M2576" s="136"/>
      <c r="N2576" s="136"/>
    </row>
    <row r="2577" spans="6:14">
      <c r="F2577" s="136" t="s">
        <v>13038</v>
      </c>
      <c r="G2577" s="136">
        <v>2574</v>
      </c>
      <c r="H2577" s="136" t="s">
        <v>13039</v>
      </c>
      <c r="I2577" s="136" t="s">
        <v>13040</v>
      </c>
      <c r="J2577" s="136" t="s">
        <v>13041</v>
      </c>
      <c r="L2577" s="136"/>
      <c r="M2577" s="136"/>
      <c r="N2577" s="136"/>
    </row>
    <row r="2578" spans="6:14">
      <c r="F2578" s="136" t="s">
        <v>13042</v>
      </c>
      <c r="G2578" s="136">
        <v>2575</v>
      </c>
      <c r="H2578" s="136" t="s">
        <v>1636</v>
      </c>
      <c r="I2578" s="136" t="s">
        <v>1640</v>
      </c>
      <c r="J2578" s="136" t="s">
        <v>13043</v>
      </c>
      <c r="L2578" s="136"/>
      <c r="M2578" s="136"/>
      <c r="N2578" s="136"/>
    </row>
    <row r="2579" spans="6:14">
      <c r="F2579" s="136" t="s">
        <v>13044</v>
      </c>
      <c r="G2579" s="136">
        <v>2576</v>
      </c>
      <c r="H2579" s="136" t="s">
        <v>1414</v>
      </c>
      <c r="I2579" s="136" t="s">
        <v>1415</v>
      </c>
      <c r="J2579" s="136" t="s">
        <v>13045</v>
      </c>
      <c r="L2579" s="136"/>
      <c r="M2579" s="136"/>
      <c r="N2579" s="136"/>
    </row>
    <row r="2580" spans="6:14">
      <c r="F2580" s="136" t="s">
        <v>13046</v>
      </c>
      <c r="G2580" s="136">
        <v>2577</v>
      </c>
      <c r="H2580" s="136" t="s">
        <v>3490</v>
      </c>
      <c r="I2580" s="136" t="s">
        <v>3491</v>
      </c>
      <c r="J2580" s="136" t="s">
        <v>13047</v>
      </c>
      <c r="L2580" s="136"/>
      <c r="M2580" s="136"/>
      <c r="N2580" s="136"/>
    </row>
    <row r="2581" spans="6:14">
      <c r="F2581" s="136" t="s">
        <v>13048</v>
      </c>
      <c r="G2581" s="136">
        <v>2578</v>
      </c>
      <c r="H2581" s="136" t="s">
        <v>1283</v>
      </c>
      <c r="I2581" s="136" t="s">
        <v>1284</v>
      </c>
      <c r="J2581" s="136" t="s">
        <v>13049</v>
      </c>
      <c r="L2581" s="136"/>
      <c r="M2581" s="136"/>
      <c r="N2581" s="136"/>
    </row>
    <row r="2582" spans="6:14">
      <c r="F2582" s="136" t="s">
        <v>13050</v>
      </c>
      <c r="G2582" s="136">
        <v>2579</v>
      </c>
      <c r="H2582" s="136" t="s">
        <v>13051</v>
      </c>
      <c r="I2582" s="136" t="s">
        <v>13052</v>
      </c>
      <c r="J2582" s="136" t="s">
        <v>13053</v>
      </c>
      <c r="L2582" s="136"/>
      <c r="M2582" s="136"/>
      <c r="N2582" s="136"/>
    </row>
    <row r="2583" spans="6:14">
      <c r="F2583" s="136" t="s">
        <v>13054</v>
      </c>
      <c r="G2583" s="136">
        <v>2580</v>
      </c>
      <c r="H2583" s="136" t="s">
        <v>13055</v>
      </c>
      <c r="I2583" s="136" t="s">
        <v>13056</v>
      </c>
      <c r="J2583" s="136" t="s">
        <v>13057</v>
      </c>
      <c r="L2583" s="136"/>
      <c r="M2583" s="136"/>
      <c r="N2583" s="136"/>
    </row>
    <row r="2584" spans="6:14">
      <c r="F2584" s="136" t="s">
        <v>13058</v>
      </c>
      <c r="G2584" s="136">
        <v>2581</v>
      </c>
      <c r="H2584" s="136" t="s">
        <v>13059</v>
      </c>
      <c r="I2584" s="136" t="s">
        <v>13060</v>
      </c>
      <c r="J2584" s="136" t="s">
        <v>13061</v>
      </c>
      <c r="L2584" s="136"/>
      <c r="M2584" s="136"/>
      <c r="N2584" s="136"/>
    </row>
    <row r="2585" spans="6:14">
      <c r="F2585" s="136" t="s">
        <v>13062</v>
      </c>
      <c r="G2585" s="136">
        <v>2582</v>
      </c>
      <c r="H2585" s="136" t="s">
        <v>4941</v>
      </c>
      <c r="I2585" s="136" t="s">
        <v>4942</v>
      </c>
      <c r="J2585" s="136" t="s">
        <v>13063</v>
      </c>
      <c r="L2585" s="136"/>
      <c r="M2585" s="136"/>
      <c r="N2585" s="136"/>
    </row>
    <row r="2586" spans="6:14">
      <c r="F2586" s="136" t="s">
        <v>13064</v>
      </c>
      <c r="G2586" s="136">
        <v>2583</v>
      </c>
      <c r="H2586" s="136" t="s">
        <v>13065</v>
      </c>
      <c r="I2586" s="136" t="s">
        <v>13066</v>
      </c>
      <c r="J2586" s="136" t="s">
        <v>13067</v>
      </c>
      <c r="L2586" s="136"/>
      <c r="M2586" s="136"/>
      <c r="N2586" s="136"/>
    </row>
    <row r="2587" spans="6:14">
      <c r="F2587" s="136" t="s">
        <v>13068</v>
      </c>
      <c r="G2587" s="136">
        <v>2584</v>
      </c>
      <c r="H2587" s="136" t="s">
        <v>13069</v>
      </c>
      <c r="I2587" s="136" t="s">
        <v>13070</v>
      </c>
      <c r="J2587" s="136" t="s">
        <v>13071</v>
      </c>
      <c r="L2587" s="136"/>
      <c r="M2587" s="136"/>
      <c r="N2587" s="136"/>
    </row>
    <row r="2588" spans="6:14">
      <c r="F2588" s="136" t="s">
        <v>13072</v>
      </c>
      <c r="G2588" s="136">
        <v>2585</v>
      </c>
      <c r="H2588" s="136" t="s">
        <v>4844</v>
      </c>
      <c r="I2588" s="136" t="s">
        <v>4845</v>
      </c>
      <c r="J2588" s="136" t="s">
        <v>13073</v>
      </c>
      <c r="L2588" s="136"/>
      <c r="M2588" s="136"/>
      <c r="N2588" s="136"/>
    </row>
    <row r="2589" spans="6:14">
      <c r="F2589" s="136" t="s">
        <v>13074</v>
      </c>
      <c r="G2589" s="136">
        <v>2586</v>
      </c>
      <c r="H2589" s="136" t="s">
        <v>3273</v>
      </c>
      <c r="I2589" s="136" t="s">
        <v>3274</v>
      </c>
      <c r="J2589" s="136" t="s">
        <v>13075</v>
      </c>
      <c r="L2589" s="136"/>
      <c r="M2589" s="136"/>
      <c r="N2589" s="136"/>
    </row>
    <row r="2590" spans="6:14">
      <c r="F2590" s="136" t="s">
        <v>13076</v>
      </c>
      <c r="G2590" s="136">
        <v>2587</v>
      </c>
      <c r="H2590" s="136" t="s">
        <v>4244</v>
      </c>
      <c r="I2590" s="136" t="s">
        <v>4245</v>
      </c>
      <c r="J2590" s="136" t="s">
        <v>13077</v>
      </c>
      <c r="L2590" s="136"/>
      <c r="M2590" s="136"/>
      <c r="N2590" s="136"/>
    </row>
    <row r="2591" spans="6:14">
      <c r="F2591" s="136" t="s">
        <v>13078</v>
      </c>
      <c r="G2591" s="136">
        <v>2588</v>
      </c>
      <c r="H2591" s="136" t="s">
        <v>4622</v>
      </c>
      <c r="I2591" s="136" t="s">
        <v>4623</v>
      </c>
      <c r="J2591" s="136" t="s">
        <v>13079</v>
      </c>
      <c r="L2591" s="136"/>
      <c r="M2591" s="136"/>
      <c r="N2591" s="136"/>
    </row>
    <row r="2592" spans="6:14">
      <c r="F2592" s="136" t="s">
        <v>13080</v>
      </c>
      <c r="G2592" s="136">
        <v>2589</v>
      </c>
      <c r="H2592" s="136" t="s">
        <v>2966</v>
      </c>
      <c r="I2592" s="136" t="s">
        <v>2967</v>
      </c>
      <c r="J2592" s="136" t="s">
        <v>13081</v>
      </c>
      <c r="L2592" s="136"/>
      <c r="M2592" s="136"/>
      <c r="N2592" s="136"/>
    </row>
    <row r="2593" spans="6:14">
      <c r="F2593" s="136" t="s">
        <v>13082</v>
      </c>
      <c r="G2593" s="136">
        <v>2590</v>
      </c>
      <c r="H2593" s="136" t="s">
        <v>2583</v>
      </c>
      <c r="I2593" s="136" t="s">
        <v>2584</v>
      </c>
      <c r="J2593" s="136" t="s">
        <v>13083</v>
      </c>
      <c r="L2593" s="136"/>
      <c r="M2593" s="136"/>
      <c r="N2593" s="136"/>
    </row>
    <row r="2594" spans="6:14">
      <c r="F2594" s="136" t="s">
        <v>13084</v>
      </c>
      <c r="G2594" s="136">
        <v>2591</v>
      </c>
      <c r="H2594" s="136" t="s">
        <v>1287</v>
      </c>
      <c r="I2594" s="136" t="s">
        <v>1288</v>
      </c>
      <c r="J2594" s="136" t="s">
        <v>13085</v>
      </c>
      <c r="L2594" s="136"/>
      <c r="M2594" s="136"/>
      <c r="N2594" s="136"/>
    </row>
    <row r="2595" spans="6:14">
      <c r="F2595" s="136" t="s">
        <v>13086</v>
      </c>
      <c r="G2595" s="136">
        <v>2592</v>
      </c>
      <c r="H2595" s="136" t="s">
        <v>13087</v>
      </c>
      <c r="I2595" s="136" t="s">
        <v>13088</v>
      </c>
      <c r="J2595" s="136" t="s">
        <v>13089</v>
      </c>
      <c r="L2595" s="136"/>
      <c r="M2595" s="136"/>
      <c r="N2595" s="136"/>
    </row>
    <row r="2596" spans="6:14">
      <c r="F2596" s="136" t="s">
        <v>13090</v>
      </c>
      <c r="G2596" s="136">
        <v>2593</v>
      </c>
      <c r="H2596" s="136" t="s">
        <v>2818</v>
      </c>
      <c r="I2596" s="136" t="s">
        <v>2832</v>
      </c>
      <c r="J2596" s="136" t="s">
        <v>13091</v>
      </c>
      <c r="L2596" s="136"/>
      <c r="M2596" s="136"/>
      <c r="N2596" s="136"/>
    </row>
    <row r="2597" spans="6:14">
      <c r="F2597" s="136" t="s">
        <v>13092</v>
      </c>
      <c r="G2597" s="136">
        <v>2594</v>
      </c>
      <c r="H2597" s="136" t="s">
        <v>13093</v>
      </c>
      <c r="I2597" s="136" t="s">
        <v>13094</v>
      </c>
      <c r="J2597" s="136" t="s">
        <v>13095</v>
      </c>
      <c r="L2597" s="136"/>
      <c r="M2597" s="136"/>
      <c r="N2597" s="136"/>
    </row>
    <row r="2598" spans="6:14">
      <c r="F2598" s="136" t="s">
        <v>13096</v>
      </c>
      <c r="G2598" s="136">
        <v>2595</v>
      </c>
      <c r="H2598" s="136" t="s">
        <v>1489</v>
      </c>
      <c r="I2598" s="136" t="s">
        <v>1490</v>
      </c>
      <c r="J2598" s="136" t="s">
        <v>13097</v>
      </c>
      <c r="L2598" s="136"/>
      <c r="M2598" s="136"/>
      <c r="N2598" s="136"/>
    </row>
    <row r="2599" spans="6:14">
      <c r="F2599" s="136" t="s">
        <v>13098</v>
      </c>
      <c r="G2599" s="136">
        <v>2596</v>
      </c>
      <c r="H2599" s="136" t="s">
        <v>13099</v>
      </c>
      <c r="I2599" s="136" t="s">
        <v>13100</v>
      </c>
      <c r="J2599" s="136" t="s">
        <v>13101</v>
      </c>
      <c r="L2599" s="136"/>
      <c r="M2599" s="136"/>
      <c r="N2599" s="136"/>
    </row>
    <row r="2600" spans="6:14">
      <c r="F2600" s="136" t="s">
        <v>13102</v>
      </c>
      <c r="G2600" s="136">
        <v>2597</v>
      </c>
      <c r="H2600" s="136" t="s">
        <v>13103</v>
      </c>
      <c r="I2600" s="136" t="s">
        <v>13104</v>
      </c>
      <c r="J2600" s="136" t="s">
        <v>13105</v>
      </c>
      <c r="L2600" s="136"/>
      <c r="M2600" s="136"/>
      <c r="N2600" s="136"/>
    </row>
    <row r="2601" spans="6:14">
      <c r="F2601" s="136" t="s">
        <v>13106</v>
      </c>
      <c r="G2601" s="136">
        <v>2598</v>
      </c>
      <c r="H2601" s="136" t="s">
        <v>13107</v>
      </c>
      <c r="I2601" s="136" t="s">
        <v>13108</v>
      </c>
      <c r="J2601" s="136" t="s">
        <v>13109</v>
      </c>
      <c r="L2601" s="136"/>
      <c r="M2601" s="136"/>
      <c r="N2601" s="136"/>
    </row>
    <row r="2602" spans="6:14">
      <c r="F2602" s="136" t="s">
        <v>13110</v>
      </c>
      <c r="G2602" s="136">
        <v>2599</v>
      </c>
      <c r="H2602" s="136" t="s">
        <v>3080</v>
      </c>
      <c r="I2602" s="136" t="s">
        <v>2059</v>
      </c>
      <c r="J2602" s="136" t="s">
        <v>13111</v>
      </c>
      <c r="L2602" s="136"/>
      <c r="M2602" s="136"/>
      <c r="N2602" s="136"/>
    </row>
    <row r="2603" spans="6:14">
      <c r="F2603" s="136" t="s">
        <v>13112</v>
      </c>
      <c r="G2603" s="136">
        <v>2600</v>
      </c>
      <c r="H2603" s="136" t="s">
        <v>13113</v>
      </c>
      <c r="I2603" s="136" t="s">
        <v>13114</v>
      </c>
      <c r="J2603" s="136" t="s">
        <v>13115</v>
      </c>
      <c r="L2603" s="136"/>
      <c r="M2603" s="136"/>
      <c r="N2603" s="136"/>
    </row>
    <row r="2604" spans="6:14">
      <c r="F2604" s="136" t="s">
        <v>13116</v>
      </c>
      <c r="G2604" s="136">
        <v>2601</v>
      </c>
      <c r="H2604" s="136" t="s">
        <v>2479</v>
      </c>
      <c r="I2604" s="136" t="s">
        <v>2479</v>
      </c>
      <c r="J2604" s="136" t="s">
        <v>13117</v>
      </c>
      <c r="L2604" s="136"/>
      <c r="M2604" s="136"/>
      <c r="N2604" s="136"/>
    </row>
    <row r="2605" spans="6:14">
      <c r="F2605" s="136" t="s">
        <v>13118</v>
      </c>
      <c r="G2605" s="136">
        <v>2602</v>
      </c>
      <c r="H2605" s="136" t="s">
        <v>13119</v>
      </c>
      <c r="I2605" s="136" t="s">
        <v>4627</v>
      </c>
      <c r="J2605" s="136" t="s">
        <v>13120</v>
      </c>
      <c r="L2605" s="136"/>
      <c r="M2605" s="136"/>
      <c r="N2605" s="136"/>
    </row>
    <row r="2606" spans="6:14">
      <c r="F2606" s="136" t="s">
        <v>13121</v>
      </c>
      <c r="G2606" s="136">
        <v>2603</v>
      </c>
      <c r="H2606" s="136" t="s">
        <v>2869</v>
      </c>
      <c r="I2606" s="136" t="s">
        <v>2870</v>
      </c>
      <c r="J2606" s="136" t="s">
        <v>13122</v>
      </c>
      <c r="L2606" s="136"/>
      <c r="M2606" s="136"/>
      <c r="N2606" s="136"/>
    </row>
    <row r="2607" spans="6:14">
      <c r="F2607" s="136" t="s">
        <v>13123</v>
      </c>
      <c r="G2607" s="136">
        <v>2604</v>
      </c>
      <c r="H2607" s="136" t="s">
        <v>2784</v>
      </c>
      <c r="I2607" s="136" t="s">
        <v>2785</v>
      </c>
      <c r="J2607" s="136" t="s">
        <v>13124</v>
      </c>
      <c r="L2607" s="136"/>
      <c r="M2607" s="136"/>
      <c r="N2607" s="136"/>
    </row>
    <row r="2608" spans="6:14">
      <c r="F2608" s="136" t="s">
        <v>13125</v>
      </c>
      <c r="G2608" s="136">
        <v>2605</v>
      </c>
      <c r="H2608" s="136" t="s">
        <v>959</v>
      </c>
      <c r="I2608" s="136" t="s">
        <v>960</v>
      </c>
      <c r="J2608" s="136" t="s">
        <v>13126</v>
      </c>
      <c r="L2608" s="136"/>
      <c r="M2608" s="136"/>
      <c r="N2608" s="136"/>
    </row>
    <row r="2609" spans="6:14">
      <c r="F2609" s="136" t="s">
        <v>13127</v>
      </c>
      <c r="G2609" s="136">
        <v>2606</v>
      </c>
      <c r="H2609" s="136" t="s">
        <v>13128</v>
      </c>
      <c r="I2609" s="136" t="s">
        <v>13129</v>
      </c>
      <c r="J2609" s="136" t="s">
        <v>13130</v>
      </c>
      <c r="L2609" s="136"/>
      <c r="M2609" s="136"/>
      <c r="N2609" s="136"/>
    </row>
    <row r="2610" spans="6:14">
      <c r="F2610" s="136" t="s">
        <v>13131</v>
      </c>
      <c r="G2610" s="136">
        <v>2607</v>
      </c>
      <c r="H2610" s="136" t="s">
        <v>13132</v>
      </c>
      <c r="I2610" s="136" t="s">
        <v>13133</v>
      </c>
      <c r="J2610" s="136" t="s">
        <v>13134</v>
      </c>
      <c r="L2610" s="136"/>
      <c r="M2610" s="136"/>
      <c r="N2610" s="136"/>
    </row>
    <row r="2611" spans="6:14">
      <c r="F2611" s="136" t="s">
        <v>13135</v>
      </c>
      <c r="G2611" s="136">
        <v>2608</v>
      </c>
      <c r="H2611" s="136" t="s">
        <v>13136</v>
      </c>
      <c r="I2611" s="136" t="s">
        <v>13137</v>
      </c>
      <c r="J2611" s="136" t="s">
        <v>13138</v>
      </c>
      <c r="L2611" s="136"/>
      <c r="M2611" s="136"/>
      <c r="N2611" s="136"/>
    </row>
    <row r="2612" spans="6:14">
      <c r="F2612" s="136" t="s">
        <v>13139</v>
      </c>
      <c r="G2612" s="136">
        <v>2609</v>
      </c>
      <c r="H2612" s="136" t="s">
        <v>13140</v>
      </c>
      <c r="I2612" s="136" t="s">
        <v>13141</v>
      </c>
      <c r="J2612" s="136" t="s">
        <v>13142</v>
      </c>
      <c r="L2612" s="136"/>
      <c r="M2612" s="136"/>
      <c r="N2612" s="136"/>
    </row>
    <row r="2613" spans="6:14">
      <c r="F2613" s="136" t="s">
        <v>13143</v>
      </c>
      <c r="G2613" s="136">
        <v>2610</v>
      </c>
      <c r="H2613" s="136" t="s">
        <v>13144</v>
      </c>
      <c r="I2613" s="136" t="s">
        <v>13144</v>
      </c>
      <c r="J2613" s="136" t="s">
        <v>13145</v>
      </c>
      <c r="L2613" s="136"/>
      <c r="M2613" s="136"/>
      <c r="N2613" s="136"/>
    </row>
    <row r="2614" spans="6:14">
      <c r="F2614" s="136" t="s">
        <v>13146</v>
      </c>
      <c r="G2614" s="136">
        <v>2611</v>
      </c>
      <c r="H2614" s="136" t="s">
        <v>13147</v>
      </c>
      <c r="I2614" s="136" t="s">
        <v>13148</v>
      </c>
      <c r="J2614" s="136" t="s">
        <v>13149</v>
      </c>
      <c r="L2614" s="136"/>
      <c r="M2614" s="136"/>
      <c r="N2614" s="136"/>
    </row>
    <row r="2615" spans="6:14">
      <c r="F2615" s="136" t="s">
        <v>13150</v>
      </c>
      <c r="G2615" s="136">
        <v>2612</v>
      </c>
      <c r="H2615" s="136" t="s">
        <v>13151</v>
      </c>
      <c r="I2615" s="136" t="s">
        <v>13152</v>
      </c>
      <c r="J2615" s="136" t="s">
        <v>13153</v>
      </c>
      <c r="L2615" s="136"/>
      <c r="M2615" s="136"/>
      <c r="N2615" s="136"/>
    </row>
    <row r="2616" spans="6:14">
      <c r="F2616" s="136" t="s">
        <v>13154</v>
      </c>
      <c r="G2616" s="136">
        <v>2613</v>
      </c>
      <c r="H2616" s="136" t="s">
        <v>13155</v>
      </c>
      <c r="I2616" s="136" t="s">
        <v>3895</v>
      </c>
      <c r="J2616" s="136" t="s">
        <v>13156</v>
      </c>
      <c r="L2616" s="136"/>
      <c r="M2616" s="136"/>
      <c r="N2616" s="136"/>
    </row>
    <row r="2617" spans="6:14">
      <c r="F2617" s="136" t="s">
        <v>13157</v>
      </c>
      <c r="G2617" s="136">
        <v>2614</v>
      </c>
      <c r="H2617" s="136" t="s">
        <v>13158</v>
      </c>
      <c r="I2617" s="136" t="s">
        <v>13159</v>
      </c>
      <c r="J2617" s="136" t="s">
        <v>13160</v>
      </c>
      <c r="L2617" s="136"/>
      <c r="M2617" s="136"/>
      <c r="N2617" s="136"/>
    </row>
    <row r="2618" spans="6:14">
      <c r="F2618" s="136" t="s">
        <v>13161</v>
      </c>
      <c r="G2618" s="136">
        <v>2615</v>
      </c>
      <c r="H2618" s="136" t="s">
        <v>5648</v>
      </c>
      <c r="I2618" s="136" t="s">
        <v>5648</v>
      </c>
      <c r="J2618" s="136" t="s">
        <v>13162</v>
      </c>
      <c r="L2618" s="136"/>
      <c r="M2618" s="136"/>
      <c r="N2618" s="136"/>
    </row>
    <row r="2619" spans="6:14">
      <c r="F2619" s="136" t="s">
        <v>13163</v>
      </c>
      <c r="G2619" s="136">
        <v>2616</v>
      </c>
      <c r="H2619" s="136" t="s">
        <v>13164</v>
      </c>
      <c r="I2619" s="136" t="s">
        <v>13165</v>
      </c>
      <c r="J2619" s="136" t="s">
        <v>13166</v>
      </c>
      <c r="L2619" s="136"/>
      <c r="M2619" s="136"/>
      <c r="N2619" s="136"/>
    </row>
    <row r="2620" spans="6:14">
      <c r="F2620" s="136" t="s">
        <v>13167</v>
      </c>
      <c r="G2620" s="136">
        <v>2617</v>
      </c>
      <c r="H2620" s="136" t="s">
        <v>4744</v>
      </c>
      <c r="I2620" s="136" t="s">
        <v>4745</v>
      </c>
      <c r="J2620" s="136" t="s">
        <v>13168</v>
      </c>
      <c r="L2620" s="136"/>
      <c r="M2620" s="136"/>
      <c r="N2620" s="136"/>
    </row>
    <row r="2621" spans="6:14">
      <c r="F2621" s="136" t="s">
        <v>13169</v>
      </c>
      <c r="G2621" s="136">
        <v>2618</v>
      </c>
      <c r="H2621" s="136" t="s">
        <v>4604</v>
      </c>
      <c r="I2621" s="136" t="s">
        <v>4605</v>
      </c>
      <c r="J2621" s="136" t="s">
        <v>13170</v>
      </c>
      <c r="L2621" s="136"/>
      <c r="M2621" s="136"/>
      <c r="N2621" s="136"/>
    </row>
    <row r="2622" spans="6:14">
      <c r="F2622" s="136" t="s">
        <v>13171</v>
      </c>
      <c r="G2622" s="136">
        <v>2619</v>
      </c>
      <c r="H2622" s="136" t="s">
        <v>3908</v>
      </c>
      <c r="I2622" s="136" t="s">
        <v>3909</v>
      </c>
      <c r="J2622" s="136" t="s">
        <v>13172</v>
      </c>
      <c r="L2622" s="136"/>
      <c r="M2622" s="136"/>
      <c r="N2622" s="136"/>
    </row>
    <row r="2623" spans="6:14">
      <c r="F2623" s="136" t="s">
        <v>13173</v>
      </c>
      <c r="G2623" s="136">
        <v>2620</v>
      </c>
      <c r="H2623" s="136" t="s">
        <v>1723</v>
      </c>
      <c r="I2623" s="136" t="s">
        <v>1724</v>
      </c>
      <c r="J2623" s="136" t="s">
        <v>13174</v>
      </c>
      <c r="L2623" s="136"/>
      <c r="M2623" s="136"/>
      <c r="N2623" s="136"/>
    </row>
    <row r="2624" spans="6:14">
      <c r="F2624" s="136" t="s">
        <v>13175</v>
      </c>
      <c r="G2624" s="136">
        <v>2621</v>
      </c>
      <c r="H2624" s="136" t="s">
        <v>13176</v>
      </c>
      <c r="I2624" s="136" t="s">
        <v>13177</v>
      </c>
      <c r="J2624" s="136" t="s">
        <v>13178</v>
      </c>
      <c r="L2624" s="136"/>
      <c r="M2624" s="136"/>
      <c r="N2624" s="136"/>
    </row>
    <row r="2625" spans="6:14">
      <c r="F2625" s="136" t="s">
        <v>13179</v>
      </c>
      <c r="G2625" s="136">
        <v>2622</v>
      </c>
      <c r="H2625" s="136" t="s">
        <v>13180</v>
      </c>
      <c r="I2625" s="136" t="s">
        <v>13181</v>
      </c>
      <c r="J2625" s="136" t="s">
        <v>13182</v>
      </c>
      <c r="L2625" s="136"/>
      <c r="M2625" s="136"/>
      <c r="N2625" s="136"/>
    </row>
    <row r="2626" spans="6:14">
      <c r="F2626" s="136" t="s">
        <v>13183</v>
      </c>
      <c r="G2626" s="136">
        <v>2623</v>
      </c>
      <c r="H2626" s="136" t="s">
        <v>13184</v>
      </c>
      <c r="I2626" s="136" t="s">
        <v>13185</v>
      </c>
      <c r="J2626" s="136" t="s">
        <v>13186</v>
      </c>
      <c r="L2626" s="136"/>
      <c r="M2626" s="136"/>
      <c r="N2626" s="136"/>
    </row>
    <row r="2627" spans="6:14">
      <c r="F2627" s="136" t="s">
        <v>13187</v>
      </c>
      <c r="G2627" s="136">
        <v>2624</v>
      </c>
      <c r="H2627" s="136" t="s">
        <v>13188</v>
      </c>
      <c r="I2627" s="136" t="s">
        <v>13189</v>
      </c>
      <c r="J2627" s="136" t="s">
        <v>13190</v>
      </c>
      <c r="L2627" s="136"/>
      <c r="M2627" s="136"/>
      <c r="N2627" s="136"/>
    </row>
    <row r="2628" spans="6:14">
      <c r="F2628" s="136" t="s">
        <v>13191</v>
      </c>
      <c r="G2628" s="136">
        <v>2625</v>
      </c>
      <c r="H2628" s="136" t="s">
        <v>13192</v>
      </c>
      <c r="I2628" s="136" t="s">
        <v>13193</v>
      </c>
      <c r="J2628" s="136" t="s">
        <v>13194</v>
      </c>
      <c r="L2628" s="136"/>
      <c r="M2628" s="136"/>
      <c r="N2628" s="136"/>
    </row>
    <row r="2629" spans="6:14">
      <c r="F2629" s="136" t="s">
        <v>13195</v>
      </c>
      <c r="G2629" s="136">
        <v>2626</v>
      </c>
      <c r="H2629" s="136" t="s">
        <v>2351</v>
      </c>
      <c r="I2629" s="136" t="s">
        <v>2351</v>
      </c>
      <c r="J2629" s="136" t="s">
        <v>13196</v>
      </c>
      <c r="L2629" s="136"/>
      <c r="M2629" s="136"/>
      <c r="N2629" s="136"/>
    </row>
    <row r="2630" spans="6:14">
      <c r="F2630" s="136" t="s">
        <v>13197</v>
      </c>
      <c r="G2630" s="136">
        <v>2627</v>
      </c>
      <c r="H2630" s="136" t="s">
        <v>4778</v>
      </c>
      <c r="I2630" s="136" t="s">
        <v>4779</v>
      </c>
      <c r="J2630" s="136" t="s">
        <v>13198</v>
      </c>
      <c r="L2630" s="136"/>
      <c r="M2630" s="136"/>
      <c r="N2630" s="136"/>
    </row>
    <row r="2631" spans="6:14">
      <c r="F2631" s="136" t="s">
        <v>13199</v>
      </c>
      <c r="G2631" s="136">
        <v>2628</v>
      </c>
      <c r="H2631" s="136" t="s">
        <v>13200</v>
      </c>
      <c r="I2631" s="136" t="s">
        <v>13200</v>
      </c>
      <c r="J2631" s="136" t="s">
        <v>13201</v>
      </c>
      <c r="L2631" s="136"/>
      <c r="M2631" s="136"/>
      <c r="N2631" s="136"/>
    </row>
    <row r="2632" spans="6:14">
      <c r="F2632" s="136" t="s">
        <v>13202</v>
      </c>
      <c r="G2632" s="136">
        <v>2629</v>
      </c>
      <c r="H2632" s="136" t="s">
        <v>13203</v>
      </c>
      <c r="I2632" s="136" t="s">
        <v>13203</v>
      </c>
      <c r="J2632" s="136" t="s">
        <v>13204</v>
      </c>
      <c r="L2632" s="136"/>
      <c r="M2632" s="136"/>
      <c r="N2632" s="136"/>
    </row>
    <row r="2633" spans="6:14">
      <c r="F2633" s="136" t="s">
        <v>13205</v>
      </c>
      <c r="G2633" s="136">
        <v>2630</v>
      </c>
      <c r="H2633" s="136" t="s">
        <v>13206</v>
      </c>
      <c r="I2633" s="136" t="s">
        <v>13206</v>
      </c>
      <c r="J2633" s="136" t="s">
        <v>13207</v>
      </c>
      <c r="L2633" s="136"/>
      <c r="M2633" s="136"/>
      <c r="N2633" s="136"/>
    </row>
    <row r="2634" spans="6:14">
      <c r="F2634" s="136" t="s">
        <v>13208</v>
      </c>
      <c r="G2634" s="136">
        <v>2631</v>
      </c>
      <c r="H2634" s="136" t="s">
        <v>9392</v>
      </c>
      <c r="I2634" s="136" t="s">
        <v>13209</v>
      </c>
      <c r="J2634" s="136" t="s">
        <v>13210</v>
      </c>
      <c r="L2634" s="136"/>
      <c r="M2634" s="136"/>
      <c r="N2634" s="136"/>
    </row>
    <row r="2635" spans="6:14">
      <c r="F2635" s="136" t="s">
        <v>13211</v>
      </c>
      <c r="G2635" s="136">
        <v>2632</v>
      </c>
      <c r="H2635" s="136" t="s">
        <v>1952</v>
      </c>
      <c r="I2635" s="136" t="s">
        <v>1953</v>
      </c>
      <c r="J2635" s="136" t="s">
        <v>13212</v>
      </c>
      <c r="L2635" s="136"/>
      <c r="M2635" s="136"/>
      <c r="N2635" s="136"/>
    </row>
    <row r="2636" spans="6:14">
      <c r="F2636" s="136" t="s">
        <v>13213</v>
      </c>
      <c r="G2636" s="136">
        <v>2633</v>
      </c>
      <c r="H2636" s="136" t="s">
        <v>1659</v>
      </c>
      <c r="I2636" s="136" t="s">
        <v>1659</v>
      </c>
      <c r="J2636" s="136" t="s">
        <v>13214</v>
      </c>
      <c r="L2636" s="136"/>
      <c r="M2636" s="136"/>
      <c r="N2636" s="136"/>
    </row>
    <row r="2637" spans="6:14">
      <c r="F2637" s="136" t="s">
        <v>13215</v>
      </c>
      <c r="G2637" s="136">
        <v>2634</v>
      </c>
      <c r="H2637" s="136" t="s">
        <v>13216</v>
      </c>
      <c r="I2637" s="136" t="s">
        <v>13217</v>
      </c>
      <c r="J2637" s="136" t="s">
        <v>13218</v>
      </c>
      <c r="L2637" s="136"/>
      <c r="M2637" s="136"/>
      <c r="N2637" s="136"/>
    </row>
    <row r="2638" spans="6:14">
      <c r="F2638" s="136" t="s">
        <v>13219</v>
      </c>
      <c r="G2638" s="136">
        <v>2635</v>
      </c>
      <c r="H2638" s="136" t="s">
        <v>3541</v>
      </c>
      <c r="I2638" s="136" t="s">
        <v>3541</v>
      </c>
      <c r="J2638" s="136" t="s">
        <v>13220</v>
      </c>
      <c r="L2638" s="136"/>
      <c r="M2638" s="136"/>
      <c r="N2638" s="136"/>
    </row>
    <row r="2639" spans="6:14">
      <c r="F2639" s="136" t="s">
        <v>13221</v>
      </c>
      <c r="G2639" s="136">
        <v>2636</v>
      </c>
      <c r="H2639" s="136" t="s">
        <v>5972</v>
      </c>
      <c r="I2639" s="136" t="s">
        <v>5972</v>
      </c>
      <c r="J2639" s="136" t="s">
        <v>13222</v>
      </c>
      <c r="L2639" s="136"/>
      <c r="M2639" s="136"/>
      <c r="N2639" s="136"/>
    </row>
    <row r="2640" spans="6:14">
      <c r="F2640" s="136" t="s">
        <v>13223</v>
      </c>
      <c r="G2640" s="136">
        <v>2637</v>
      </c>
      <c r="H2640" s="136" t="s">
        <v>3007</v>
      </c>
      <c r="I2640" s="136" t="s">
        <v>655</v>
      </c>
      <c r="J2640" s="136" t="s">
        <v>13224</v>
      </c>
      <c r="L2640" s="136"/>
      <c r="M2640" s="136"/>
      <c r="N2640" s="136"/>
    </row>
    <row r="2641" spans="6:14">
      <c r="F2641" s="136" t="s">
        <v>13225</v>
      </c>
      <c r="G2641" s="136">
        <v>2638</v>
      </c>
      <c r="H2641" s="136" t="s">
        <v>3749</v>
      </c>
      <c r="I2641" s="136" t="s">
        <v>3750</v>
      </c>
      <c r="J2641" s="136" t="s">
        <v>13226</v>
      </c>
      <c r="L2641" s="136"/>
      <c r="M2641" s="136"/>
      <c r="N2641" s="136"/>
    </row>
    <row r="2642" spans="6:14">
      <c r="F2642" s="136" t="s">
        <v>13227</v>
      </c>
      <c r="G2642" s="136">
        <v>2639</v>
      </c>
      <c r="H2642" s="136" t="s">
        <v>13228</v>
      </c>
      <c r="I2642" s="136" t="s">
        <v>13229</v>
      </c>
      <c r="J2642" s="136" t="s">
        <v>13230</v>
      </c>
      <c r="L2642" s="136"/>
      <c r="M2642" s="136"/>
      <c r="N2642" s="136"/>
    </row>
    <row r="2643" spans="6:14">
      <c r="F2643" s="136" t="s">
        <v>13231</v>
      </c>
      <c r="G2643" s="136">
        <v>2640</v>
      </c>
      <c r="H2643" s="136" t="s">
        <v>841</v>
      </c>
      <c r="I2643" s="136" t="s">
        <v>842</v>
      </c>
      <c r="J2643" s="136" t="s">
        <v>13232</v>
      </c>
      <c r="L2643" s="136"/>
      <c r="M2643" s="136"/>
      <c r="N2643" s="136"/>
    </row>
    <row r="2644" spans="6:14">
      <c r="F2644" s="136" t="s">
        <v>13233</v>
      </c>
      <c r="G2644" s="136">
        <v>2641</v>
      </c>
      <c r="H2644" s="136" t="s">
        <v>13234</v>
      </c>
      <c r="I2644" s="136" t="s">
        <v>13235</v>
      </c>
      <c r="J2644" s="136" t="s">
        <v>13236</v>
      </c>
      <c r="L2644" s="136"/>
      <c r="M2644" s="136"/>
      <c r="N2644" s="136"/>
    </row>
    <row r="2645" spans="6:14">
      <c r="F2645" s="136" t="s">
        <v>13237</v>
      </c>
      <c r="G2645" s="136">
        <v>2642</v>
      </c>
      <c r="H2645" s="136" t="s">
        <v>6008</v>
      </c>
      <c r="I2645" s="136" t="s">
        <v>6009</v>
      </c>
      <c r="J2645" s="136" t="s">
        <v>13238</v>
      </c>
      <c r="L2645" s="136"/>
      <c r="M2645" s="136"/>
      <c r="N2645" s="136"/>
    </row>
    <row r="2646" spans="6:14">
      <c r="F2646" s="136" t="s">
        <v>13239</v>
      </c>
      <c r="G2646" s="136">
        <v>2643</v>
      </c>
      <c r="H2646" s="136" t="s">
        <v>13240</v>
      </c>
      <c r="I2646" s="136" t="s">
        <v>13241</v>
      </c>
      <c r="J2646" s="136" t="s">
        <v>13242</v>
      </c>
      <c r="L2646" s="136"/>
      <c r="M2646" s="136"/>
      <c r="N2646" s="136"/>
    </row>
    <row r="2647" spans="6:14">
      <c r="F2647" s="136" t="s">
        <v>13243</v>
      </c>
      <c r="G2647" s="136">
        <v>2644</v>
      </c>
      <c r="H2647" s="136" t="s">
        <v>13244</v>
      </c>
      <c r="I2647" s="136" t="s">
        <v>13244</v>
      </c>
      <c r="J2647" s="136" t="s">
        <v>13245</v>
      </c>
      <c r="L2647" s="136"/>
      <c r="M2647" s="136"/>
      <c r="N2647" s="136"/>
    </row>
    <row r="2648" spans="6:14">
      <c r="F2648" s="136" t="s">
        <v>13246</v>
      </c>
      <c r="G2648" s="136">
        <v>2645</v>
      </c>
      <c r="H2648" s="136" t="s">
        <v>13247</v>
      </c>
      <c r="I2648" s="136" t="s">
        <v>13248</v>
      </c>
      <c r="J2648" s="136" t="s">
        <v>13249</v>
      </c>
      <c r="L2648" s="136"/>
      <c r="M2648" s="136"/>
      <c r="N2648" s="136"/>
    </row>
    <row r="2649" spans="6:14">
      <c r="F2649" s="136" t="s">
        <v>13250</v>
      </c>
      <c r="G2649" s="136">
        <v>2646</v>
      </c>
      <c r="H2649" s="136" t="s">
        <v>13251</v>
      </c>
      <c r="I2649" s="136" t="s">
        <v>13252</v>
      </c>
      <c r="J2649" s="136" t="s">
        <v>13253</v>
      </c>
      <c r="L2649" s="136"/>
      <c r="M2649" s="136"/>
      <c r="N2649" s="136"/>
    </row>
    <row r="2650" spans="6:14">
      <c r="F2650" s="136" t="s">
        <v>13254</v>
      </c>
      <c r="G2650" s="136">
        <v>2647</v>
      </c>
      <c r="H2650" s="136" t="s">
        <v>2547</v>
      </c>
      <c r="I2650" s="136" t="s">
        <v>2548</v>
      </c>
      <c r="J2650" s="136" t="s">
        <v>13255</v>
      </c>
      <c r="L2650" s="136"/>
      <c r="M2650" s="136"/>
      <c r="N2650" s="136"/>
    </row>
    <row r="2651" spans="6:14">
      <c r="F2651" s="136" t="s">
        <v>13256</v>
      </c>
      <c r="G2651" s="136">
        <v>2648</v>
      </c>
      <c r="H2651" s="136" t="s">
        <v>13257</v>
      </c>
      <c r="I2651" s="136" t="s">
        <v>13258</v>
      </c>
      <c r="J2651" s="136" t="s">
        <v>13259</v>
      </c>
      <c r="L2651" s="136"/>
      <c r="M2651" s="136"/>
      <c r="N2651" s="136"/>
    </row>
    <row r="2652" spans="6:14">
      <c r="F2652" s="136" t="s">
        <v>13260</v>
      </c>
      <c r="G2652" s="136">
        <v>2649</v>
      </c>
      <c r="H2652" s="136" t="s">
        <v>2895</v>
      </c>
      <c r="I2652" s="136" t="s">
        <v>2896</v>
      </c>
      <c r="J2652" s="136" t="s">
        <v>13261</v>
      </c>
      <c r="L2652" s="136"/>
      <c r="M2652" s="136"/>
      <c r="N2652" s="136"/>
    </row>
    <row r="2653" spans="6:14">
      <c r="F2653" s="136" t="s">
        <v>13262</v>
      </c>
      <c r="G2653" s="136">
        <v>2650</v>
      </c>
      <c r="H2653" s="136" t="s">
        <v>13263</v>
      </c>
      <c r="I2653" s="136" t="s">
        <v>13264</v>
      </c>
      <c r="J2653" s="136" t="s">
        <v>13265</v>
      </c>
      <c r="L2653" s="136"/>
      <c r="M2653" s="136"/>
      <c r="N2653" s="136"/>
    </row>
    <row r="2654" spans="6:14">
      <c r="F2654" s="136" t="s">
        <v>13266</v>
      </c>
      <c r="G2654" s="136">
        <v>2651</v>
      </c>
      <c r="H2654" s="136" t="s">
        <v>13267</v>
      </c>
      <c r="I2654" s="136" t="s">
        <v>13268</v>
      </c>
      <c r="J2654" s="136" t="s">
        <v>13269</v>
      </c>
      <c r="L2654" s="136"/>
      <c r="M2654" s="136"/>
      <c r="N2654" s="136"/>
    </row>
    <row r="2655" spans="6:14">
      <c r="F2655" s="136" t="s">
        <v>13270</v>
      </c>
      <c r="G2655" s="136">
        <v>2652</v>
      </c>
      <c r="H2655" s="136" t="s">
        <v>5054</v>
      </c>
      <c r="I2655" s="136" t="s">
        <v>5055</v>
      </c>
      <c r="J2655" s="136" t="s">
        <v>13271</v>
      </c>
      <c r="L2655" s="136"/>
      <c r="M2655" s="136"/>
      <c r="N2655" s="136"/>
    </row>
    <row r="2656" spans="6:14">
      <c r="F2656" s="136" t="s">
        <v>13272</v>
      </c>
      <c r="G2656" s="136">
        <v>2653</v>
      </c>
      <c r="H2656" s="136" t="s">
        <v>11318</v>
      </c>
      <c r="I2656" s="136" t="s">
        <v>13273</v>
      </c>
      <c r="J2656" s="136" t="s">
        <v>13274</v>
      </c>
      <c r="L2656" s="136"/>
      <c r="M2656" s="136"/>
      <c r="N2656" s="136"/>
    </row>
    <row r="2657" spans="6:14">
      <c r="F2657" s="136" t="s">
        <v>13275</v>
      </c>
      <c r="G2657" s="136">
        <v>2654</v>
      </c>
      <c r="H2657" s="136" t="s">
        <v>13276</v>
      </c>
      <c r="I2657" s="136" t="s">
        <v>13277</v>
      </c>
      <c r="J2657" s="136" t="s">
        <v>13278</v>
      </c>
      <c r="L2657" s="136"/>
      <c r="M2657" s="136"/>
      <c r="N2657" s="136"/>
    </row>
    <row r="2658" spans="6:14">
      <c r="F2658" s="136" t="s">
        <v>13279</v>
      </c>
      <c r="G2658" s="136">
        <v>2655</v>
      </c>
      <c r="H2658" s="136" t="s">
        <v>13280</v>
      </c>
      <c r="I2658" s="136" t="s">
        <v>13281</v>
      </c>
      <c r="J2658" s="136" t="s">
        <v>13282</v>
      </c>
      <c r="L2658" s="136"/>
      <c r="M2658" s="136"/>
      <c r="N2658" s="136"/>
    </row>
    <row r="2659" spans="6:14">
      <c r="F2659" s="136" t="s">
        <v>13283</v>
      </c>
      <c r="G2659" s="136">
        <v>2656</v>
      </c>
      <c r="H2659" s="136" t="s">
        <v>2614</v>
      </c>
      <c r="I2659" s="136" t="s">
        <v>2615</v>
      </c>
      <c r="J2659" s="136" t="s">
        <v>13284</v>
      </c>
      <c r="L2659" s="136"/>
      <c r="M2659" s="136"/>
      <c r="N2659" s="136"/>
    </row>
    <row r="2660" spans="6:14">
      <c r="F2660" s="136" t="s">
        <v>13285</v>
      </c>
      <c r="G2660" s="136">
        <v>2657</v>
      </c>
      <c r="H2660" s="136" t="s">
        <v>13286</v>
      </c>
      <c r="I2660" s="136" t="s">
        <v>13287</v>
      </c>
      <c r="J2660" s="136" t="s">
        <v>13288</v>
      </c>
      <c r="L2660" s="136"/>
      <c r="M2660" s="136"/>
      <c r="N2660" s="136"/>
    </row>
    <row r="2661" spans="6:14">
      <c r="F2661" s="136" t="s">
        <v>13289</v>
      </c>
      <c r="G2661" s="136">
        <v>2658</v>
      </c>
      <c r="H2661" s="136" t="s">
        <v>13290</v>
      </c>
      <c r="I2661" s="136" t="s">
        <v>13291</v>
      </c>
      <c r="J2661" s="136" t="s">
        <v>13292</v>
      </c>
      <c r="L2661" s="136"/>
      <c r="M2661" s="136"/>
      <c r="N2661" s="136"/>
    </row>
    <row r="2662" spans="6:14">
      <c r="F2662" s="136" t="s">
        <v>13293</v>
      </c>
      <c r="G2662" s="136">
        <v>2659</v>
      </c>
      <c r="H2662" s="136" t="s">
        <v>3852</v>
      </c>
      <c r="I2662" s="136" t="s">
        <v>3853</v>
      </c>
      <c r="J2662" s="136" t="s">
        <v>13294</v>
      </c>
      <c r="L2662" s="136"/>
      <c r="M2662" s="136"/>
      <c r="N2662" s="136"/>
    </row>
    <row r="2663" spans="6:14">
      <c r="F2663" s="136" t="s">
        <v>13295</v>
      </c>
      <c r="G2663" s="136">
        <v>2660</v>
      </c>
      <c r="H2663" s="136" t="s">
        <v>3059</v>
      </c>
      <c r="I2663" s="136" t="s">
        <v>3060</v>
      </c>
      <c r="J2663" s="136" t="s">
        <v>13296</v>
      </c>
      <c r="L2663" s="136"/>
      <c r="M2663" s="136"/>
      <c r="N2663" s="136"/>
    </row>
    <row r="2664" spans="6:14">
      <c r="F2664" s="136" t="s">
        <v>13297</v>
      </c>
      <c r="G2664" s="136">
        <v>2661</v>
      </c>
      <c r="H2664" s="136" t="s">
        <v>4782</v>
      </c>
      <c r="I2664" s="136" t="s">
        <v>4783</v>
      </c>
      <c r="J2664" s="136" t="s">
        <v>13298</v>
      </c>
      <c r="L2664" s="136"/>
      <c r="M2664" s="136"/>
      <c r="N2664" s="136"/>
    </row>
    <row r="2665" spans="6:14">
      <c r="F2665" s="136" t="s">
        <v>13299</v>
      </c>
      <c r="G2665" s="136">
        <v>2662</v>
      </c>
      <c r="H2665" s="136" t="s">
        <v>5473</v>
      </c>
      <c r="I2665" s="136" t="s">
        <v>5474</v>
      </c>
      <c r="J2665" s="136" t="s">
        <v>13300</v>
      </c>
      <c r="L2665" s="136"/>
      <c r="M2665" s="136"/>
      <c r="N2665" s="136"/>
    </row>
    <row r="2666" spans="6:14">
      <c r="F2666" s="136" t="s">
        <v>13301</v>
      </c>
      <c r="G2666" s="136">
        <v>2663</v>
      </c>
      <c r="H2666" s="136" t="s">
        <v>13302</v>
      </c>
      <c r="I2666" s="136" t="s">
        <v>13303</v>
      </c>
      <c r="J2666" s="136" t="s">
        <v>13304</v>
      </c>
      <c r="L2666" s="136"/>
      <c r="M2666" s="136"/>
      <c r="N2666" s="136"/>
    </row>
    <row r="2667" spans="6:14">
      <c r="F2667" s="136" t="s">
        <v>13305</v>
      </c>
      <c r="G2667" s="136">
        <v>2664</v>
      </c>
      <c r="H2667" s="136" t="s">
        <v>3619</v>
      </c>
      <c r="I2667" s="136" t="s">
        <v>3620</v>
      </c>
      <c r="J2667" s="136" t="s">
        <v>13306</v>
      </c>
      <c r="L2667" s="136"/>
      <c r="M2667" s="136"/>
      <c r="N2667" s="136"/>
    </row>
    <row r="2668" spans="6:14">
      <c r="F2668" s="136" t="s">
        <v>13307</v>
      </c>
      <c r="G2668" s="136">
        <v>2665</v>
      </c>
      <c r="H2668" s="136" t="s">
        <v>2600</v>
      </c>
      <c r="I2668" s="136" t="s">
        <v>2601</v>
      </c>
      <c r="J2668" s="136" t="s">
        <v>13308</v>
      </c>
      <c r="L2668" s="136"/>
      <c r="M2668" s="136"/>
      <c r="N2668" s="136"/>
    </row>
    <row r="2669" spans="6:14">
      <c r="F2669" s="136" t="s">
        <v>13309</v>
      </c>
      <c r="G2669" s="136">
        <v>2666</v>
      </c>
      <c r="H2669" s="136" t="s">
        <v>1460</v>
      </c>
      <c r="I2669" s="136" t="s">
        <v>1461</v>
      </c>
      <c r="J2669" s="136" t="s">
        <v>13310</v>
      </c>
      <c r="L2669" s="136"/>
      <c r="M2669" s="136"/>
      <c r="N2669" s="136"/>
    </row>
    <row r="2670" spans="6:14">
      <c r="F2670" s="136" t="s">
        <v>13311</v>
      </c>
      <c r="G2670" s="136">
        <v>2667</v>
      </c>
      <c r="H2670" s="136" t="s">
        <v>3095</v>
      </c>
      <c r="I2670" s="136" t="s">
        <v>3096</v>
      </c>
      <c r="J2670" s="136" t="s">
        <v>13312</v>
      </c>
      <c r="L2670" s="136"/>
      <c r="M2670" s="136"/>
      <c r="N2670" s="136"/>
    </row>
    <row r="2671" spans="6:14">
      <c r="F2671" s="136" t="s">
        <v>13313</v>
      </c>
      <c r="G2671" s="136">
        <v>2668</v>
      </c>
      <c r="H2671" s="136" t="s">
        <v>700</v>
      </c>
      <c r="I2671" s="136" t="s">
        <v>701</v>
      </c>
      <c r="J2671" s="136" t="s">
        <v>13314</v>
      </c>
      <c r="L2671" s="136"/>
      <c r="M2671" s="136"/>
      <c r="N2671" s="136"/>
    </row>
    <row r="2672" spans="6:14">
      <c r="F2672" s="136" t="s">
        <v>13315</v>
      </c>
      <c r="G2672" s="136">
        <v>2669</v>
      </c>
      <c r="H2672" s="136" t="s">
        <v>13316</v>
      </c>
      <c r="I2672" s="136" t="s">
        <v>13317</v>
      </c>
      <c r="J2672" s="136" t="s">
        <v>13318</v>
      </c>
      <c r="L2672" s="136"/>
      <c r="M2672" s="136"/>
      <c r="N2672" s="136"/>
    </row>
    <row r="2673" spans="6:14">
      <c r="F2673" s="136" t="s">
        <v>13319</v>
      </c>
      <c r="G2673" s="136">
        <v>2670</v>
      </c>
      <c r="H2673" s="136" t="s">
        <v>1299</v>
      </c>
      <c r="I2673" s="136" t="s">
        <v>1300</v>
      </c>
      <c r="J2673" s="136" t="s">
        <v>13320</v>
      </c>
      <c r="L2673" s="136"/>
      <c r="M2673" s="136"/>
      <c r="N2673" s="136"/>
    </row>
    <row r="2674" spans="6:14">
      <c r="F2674" s="136" t="s">
        <v>13321</v>
      </c>
      <c r="G2674" s="136">
        <v>2671</v>
      </c>
      <c r="H2674" s="136" t="s">
        <v>13322</v>
      </c>
      <c r="I2674" s="136" t="s">
        <v>13323</v>
      </c>
      <c r="J2674" s="136" t="s">
        <v>13324</v>
      </c>
      <c r="L2674" s="136"/>
      <c r="M2674" s="136"/>
      <c r="N2674" s="136"/>
    </row>
    <row r="2675" spans="6:14">
      <c r="F2675" s="136" t="s">
        <v>13325</v>
      </c>
      <c r="G2675" s="136">
        <v>2672</v>
      </c>
      <c r="H2675" s="136" t="s">
        <v>13326</v>
      </c>
      <c r="I2675" s="136" t="s">
        <v>13326</v>
      </c>
      <c r="J2675" s="136" t="s">
        <v>13327</v>
      </c>
      <c r="L2675" s="136"/>
      <c r="M2675" s="136"/>
      <c r="N2675" s="136"/>
    </row>
    <row r="2676" spans="6:14">
      <c r="F2676" s="136" t="s">
        <v>13328</v>
      </c>
      <c r="G2676" s="136">
        <v>2673</v>
      </c>
      <c r="H2676" s="136" t="s">
        <v>13329</v>
      </c>
      <c r="I2676" s="136" t="s">
        <v>13330</v>
      </c>
      <c r="J2676" s="136" t="s">
        <v>13331</v>
      </c>
      <c r="L2676" s="136"/>
      <c r="M2676" s="136"/>
      <c r="N2676" s="136"/>
    </row>
    <row r="2677" spans="6:14">
      <c r="F2677" s="136" t="s">
        <v>13332</v>
      </c>
      <c r="G2677" s="136">
        <v>2674</v>
      </c>
      <c r="H2677" s="136" t="s">
        <v>13333</v>
      </c>
      <c r="I2677" s="136" t="s">
        <v>13334</v>
      </c>
      <c r="J2677" s="136" t="s">
        <v>13335</v>
      </c>
      <c r="L2677" s="136"/>
      <c r="M2677" s="136"/>
      <c r="N2677" s="136"/>
    </row>
    <row r="2678" spans="6:14">
      <c r="F2678" s="136" t="s">
        <v>13336</v>
      </c>
      <c r="G2678" s="136">
        <v>2675</v>
      </c>
      <c r="H2678" s="136" t="s">
        <v>618</v>
      </c>
      <c r="I2678" s="136" t="s">
        <v>619</v>
      </c>
      <c r="J2678" s="136" t="s">
        <v>13337</v>
      </c>
      <c r="L2678" s="136"/>
      <c r="M2678" s="136"/>
      <c r="N2678" s="136"/>
    </row>
    <row r="2679" spans="6:14">
      <c r="F2679" s="136" t="s">
        <v>13338</v>
      </c>
      <c r="G2679" s="136">
        <v>2676</v>
      </c>
      <c r="H2679" s="136" t="s">
        <v>2123</v>
      </c>
      <c r="I2679" s="136" t="s">
        <v>2124</v>
      </c>
      <c r="J2679" s="136" t="s">
        <v>13339</v>
      </c>
      <c r="L2679" s="136"/>
      <c r="M2679" s="136"/>
      <c r="N2679" s="136"/>
    </row>
    <row r="2680" spans="6:14">
      <c r="F2680" s="136" t="s">
        <v>13340</v>
      </c>
      <c r="G2680" s="136">
        <v>2677</v>
      </c>
      <c r="H2680" s="136" t="s">
        <v>13341</v>
      </c>
      <c r="I2680" s="136" t="s">
        <v>13342</v>
      </c>
      <c r="J2680" s="136" t="s">
        <v>13343</v>
      </c>
      <c r="L2680" s="136"/>
      <c r="M2680" s="136"/>
      <c r="N2680" s="136"/>
    </row>
    <row r="2681" spans="6:14">
      <c r="F2681" s="136" t="s">
        <v>13344</v>
      </c>
      <c r="G2681" s="136">
        <v>2678</v>
      </c>
      <c r="H2681" s="136" t="s">
        <v>1944</v>
      </c>
      <c r="I2681" s="136" t="s">
        <v>1945</v>
      </c>
      <c r="J2681" s="136" t="s">
        <v>13345</v>
      </c>
      <c r="L2681" s="136"/>
      <c r="M2681" s="136"/>
      <c r="N2681" s="136"/>
    </row>
    <row r="2682" spans="6:14">
      <c r="F2682" s="136" t="s">
        <v>13346</v>
      </c>
      <c r="G2682" s="136">
        <v>2679</v>
      </c>
      <c r="H2682" s="136" t="s">
        <v>1693</v>
      </c>
      <c r="I2682" s="136" t="s">
        <v>1694</v>
      </c>
      <c r="J2682" s="136" t="s">
        <v>13347</v>
      </c>
      <c r="L2682" s="136"/>
      <c r="M2682" s="136"/>
      <c r="N2682" s="136"/>
    </row>
    <row r="2683" spans="6:14">
      <c r="F2683" s="136" t="s">
        <v>13348</v>
      </c>
      <c r="G2683" s="136">
        <v>2680</v>
      </c>
      <c r="H2683" s="136" t="s">
        <v>2809</v>
      </c>
      <c r="I2683" s="136" t="s">
        <v>2810</v>
      </c>
      <c r="J2683" s="136" t="s">
        <v>13349</v>
      </c>
      <c r="L2683" s="136"/>
      <c r="M2683" s="136"/>
      <c r="N2683" s="136"/>
    </row>
    <row r="2684" spans="6:14">
      <c r="F2684" s="136" t="s">
        <v>13350</v>
      </c>
      <c r="G2684" s="136">
        <v>2681</v>
      </c>
      <c r="H2684" s="136" t="s">
        <v>3058</v>
      </c>
      <c r="I2684" s="136" t="s">
        <v>3058</v>
      </c>
      <c r="J2684" s="136" t="s">
        <v>13351</v>
      </c>
      <c r="L2684" s="136"/>
      <c r="M2684" s="136"/>
      <c r="N2684" s="136"/>
    </row>
    <row r="2685" spans="6:14">
      <c r="F2685" s="136" t="s">
        <v>13352</v>
      </c>
      <c r="G2685" s="136">
        <v>2682</v>
      </c>
      <c r="H2685" s="136" t="s">
        <v>1962</v>
      </c>
      <c r="I2685" s="136" t="s">
        <v>1963</v>
      </c>
      <c r="J2685" s="136" t="s">
        <v>13353</v>
      </c>
      <c r="L2685" s="136"/>
      <c r="M2685" s="136"/>
      <c r="N2685" s="136"/>
    </row>
    <row r="2686" spans="6:14">
      <c r="F2686" s="136" t="s">
        <v>13354</v>
      </c>
      <c r="G2686" s="136">
        <v>2683</v>
      </c>
      <c r="H2686" s="136" t="s">
        <v>435</v>
      </c>
      <c r="I2686" s="136" t="s">
        <v>436</v>
      </c>
      <c r="J2686" s="136" t="s">
        <v>13355</v>
      </c>
      <c r="L2686" s="136"/>
      <c r="M2686" s="136"/>
      <c r="N2686" s="136"/>
    </row>
    <row r="2687" spans="6:14">
      <c r="F2687" s="136" t="s">
        <v>13356</v>
      </c>
      <c r="G2687" s="136">
        <v>2684</v>
      </c>
      <c r="H2687" s="136" t="s">
        <v>1850</v>
      </c>
      <c r="I2687" s="136" t="s">
        <v>1851</v>
      </c>
      <c r="J2687" s="136" t="s">
        <v>13357</v>
      </c>
      <c r="L2687" s="136"/>
      <c r="M2687" s="136"/>
      <c r="N2687" s="136"/>
    </row>
    <row r="2688" spans="6:14">
      <c r="F2688" s="136" t="s">
        <v>13358</v>
      </c>
      <c r="G2688" s="136">
        <v>2685</v>
      </c>
      <c r="H2688" s="136" t="s">
        <v>5124</v>
      </c>
      <c r="I2688" s="136" t="s">
        <v>5129</v>
      </c>
      <c r="J2688" s="136" t="s">
        <v>13359</v>
      </c>
      <c r="L2688" s="136"/>
      <c r="M2688" s="136"/>
      <c r="N2688" s="136"/>
    </row>
    <row r="2689" spans="6:14">
      <c r="F2689" s="136" t="s">
        <v>13360</v>
      </c>
      <c r="G2689" s="136">
        <v>2686</v>
      </c>
      <c r="H2689" s="136" t="s">
        <v>4217</v>
      </c>
      <c r="I2689" s="136" t="s">
        <v>4217</v>
      </c>
      <c r="J2689" s="136" t="s">
        <v>13361</v>
      </c>
      <c r="L2689" s="136"/>
      <c r="M2689" s="136"/>
      <c r="N2689" s="136"/>
    </row>
    <row r="2690" spans="6:14">
      <c r="F2690" s="136" t="s">
        <v>13362</v>
      </c>
      <c r="G2690" s="136">
        <v>2687</v>
      </c>
      <c r="H2690" s="136" t="s">
        <v>13363</v>
      </c>
      <c r="I2690" s="136" t="s">
        <v>13364</v>
      </c>
      <c r="J2690" s="136" t="s">
        <v>13365</v>
      </c>
      <c r="L2690" s="136"/>
      <c r="M2690" s="136"/>
      <c r="N2690" s="136"/>
    </row>
    <row r="2691" spans="6:14">
      <c r="F2691" s="136" t="s">
        <v>13366</v>
      </c>
      <c r="G2691" s="136">
        <v>2688</v>
      </c>
      <c r="H2691" s="136" t="s">
        <v>13367</v>
      </c>
      <c r="I2691" s="136" t="s">
        <v>13367</v>
      </c>
      <c r="J2691" s="136" t="s">
        <v>13368</v>
      </c>
      <c r="L2691" s="136"/>
      <c r="M2691" s="136"/>
      <c r="N2691" s="136"/>
    </row>
    <row r="2692" spans="6:14">
      <c r="F2692" s="136" t="s">
        <v>13369</v>
      </c>
      <c r="G2692" s="136">
        <v>2689</v>
      </c>
      <c r="H2692" s="136" t="s">
        <v>13370</v>
      </c>
      <c r="I2692" s="136" t="s">
        <v>13371</v>
      </c>
      <c r="J2692" s="136" t="s">
        <v>13372</v>
      </c>
      <c r="L2692" s="136"/>
      <c r="M2692" s="136"/>
      <c r="N2692" s="136"/>
    </row>
    <row r="2693" spans="6:14">
      <c r="F2693" s="136" t="s">
        <v>13373</v>
      </c>
      <c r="G2693" s="136">
        <v>2690</v>
      </c>
      <c r="H2693" s="136" t="s">
        <v>3747</v>
      </c>
      <c r="I2693" s="136" t="s">
        <v>3748</v>
      </c>
      <c r="J2693" s="136" t="s">
        <v>13374</v>
      </c>
      <c r="L2693" s="136"/>
      <c r="M2693" s="136"/>
      <c r="N2693" s="136"/>
    </row>
    <row r="2694" spans="6:14">
      <c r="F2694" s="136" t="s">
        <v>13375</v>
      </c>
      <c r="G2694" s="136">
        <v>2691</v>
      </c>
      <c r="H2694" s="136" t="s">
        <v>13376</v>
      </c>
      <c r="I2694" s="136" t="s">
        <v>13377</v>
      </c>
      <c r="J2694" s="136" t="s">
        <v>13378</v>
      </c>
      <c r="L2694" s="136"/>
      <c r="M2694" s="136"/>
      <c r="N2694" s="136"/>
    </row>
    <row r="2695" spans="6:14">
      <c r="F2695" s="136" t="s">
        <v>13379</v>
      </c>
      <c r="G2695" s="136">
        <v>2692</v>
      </c>
      <c r="H2695" s="136" t="s">
        <v>1113</v>
      </c>
      <c r="I2695" s="136" t="s">
        <v>1114</v>
      </c>
      <c r="J2695" s="136" t="s">
        <v>13380</v>
      </c>
      <c r="L2695" s="136"/>
      <c r="M2695" s="136"/>
      <c r="N2695" s="136"/>
    </row>
    <row r="2696" spans="6:14">
      <c r="F2696" s="136" t="s">
        <v>13381</v>
      </c>
      <c r="G2696" s="136">
        <v>2693</v>
      </c>
      <c r="H2696" s="136" t="s">
        <v>6067</v>
      </c>
      <c r="I2696" s="136" t="s">
        <v>6067</v>
      </c>
      <c r="J2696" s="136" t="s">
        <v>13382</v>
      </c>
      <c r="L2696" s="136"/>
      <c r="M2696" s="136"/>
      <c r="N2696" s="136"/>
    </row>
    <row r="2697" spans="6:14">
      <c r="F2697" s="136" t="s">
        <v>13383</v>
      </c>
      <c r="G2697" s="136">
        <v>2694</v>
      </c>
      <c r="H2697" s="136" t="s">
        <v>5801</v>
      </c>
      <c r="I2697" s="136" t="s">
        <v>5802</v>
      </c>
      <c r="J2697" s="136" t="s">
        <v>13384</v>
      </c>
      <c r="L2697" s="136"/>
      <c r="M2697" s="136"/>
      <c r="N2697" s="136"/>
    </row>
    <row r="2698" spans="6:14">
      <c r="F2698" s="136" t="s">
        <v>13385</v>
      </c>
      <c r="G2698" s="136">
        <v>2695</v>
      </c>
      <c r="H2698" s="136" t="s">
        <v>445</v>
      </c>
      <c r="I2698" s="136" t="s">
        <v>446</v>
      </c>
      <c r="J2698" s="136" t="s">
        <v>13386</v>
      </c>
      <c r="L2698" s="136"/>
      <c r="M2698" s="136"/>
      <c r="N2698" s="136"/>
    </row>
    <row r="2699" spans="6:14">
      <c r="F2699" s="136" t="s">
        <v>13387</v>
      </c>
      <c r="G2699" s="136">
        <v>2696</v>
      </c>
      <c r="H2699" s="136" t="s">
        <v>243</v>
      </c>
      <c r="I2699" s="136" t="s">
        <v>244</v>
      </c>
      <c r="J2699" s="136" t="s">
        <v>13388</v>
      </c>
      <c r="L2699" s="136"/>
      <c r="M2699" s="136"/>
      <c r="N2699" s="136"/>
    </row>
    <row r="2700" spans="6:14">
      <c r="F2700" s="136" t="s">
        <v>13389</v>
      </c>
      <c r="G2700" s="136">
        <v>2697</v>
      </c>
      <c r="H2700" s="136" t="s">
        <v>4612</v>
      </c>
      <c r="I2700" s="136" t="s">
        <v>4612</v>
      </c>
      <c r="J2700" s="136" t="s">
        <v>13390</v>
      </c>
      <c r="L2700" s="136"/>
      <c r="M2700" s="136"/>
      <c r="N2700" s="136"/>
    </row>
    <row r="2701" spans="6:14">
      <c r="F2701" s="136" t="s">
        <v>13391</v>
      </c>
      <c r="G2701" s="136">
        <v>2698</v>
      </c>
      <c r="H2701" s="136" t="s">
        <v>13392</v>
      </c>
      <c r="I2701" s="136" t="s">
        <v>13393</v>
      </c>
      <c r="J2701" s="136" t="s">
        <v>13394</v>
      </c>
      <c r="L2701" s="136"/>
      <c r="M2701" s="136"/>
      <c r="N2701" s="136"/>
    </row>
    <row r="2702" spans="6:14">
      <c r="F2702" s="136" t="s">
        <v>13395</v>
      </c>
      <c r="G2702" s="136">
        <v>2699</v>
      </c>
      <c r="H2702" s="136" t="s">
        <v>13396</v>
      </c>
      <c r="I2702" s="136" t="s">
        <v>13397</v>
      </c>
      <c r="J2702" s="136" t="s">
        <v>13398</v>
      </c>
      <c r="L2702" s="136"/>
      <c r="M2702" s="136"/>
      <c r="N2702" s="136"/>
    </row>
    <row r="2703" spans="6:14">
      <c r="F2703" s="136" t="s">
        <v>13399</v>
      </c>
      <c r="G2703" s="136">
        <v>2700</v>
      </c>
      <c r="H2703" s="136" t="s">
        <v>13400</v>
      </c>
      <c r="I2703" s="136" t="s">
        <v>13401</v>
      </c>
      <c r="J2703" s="136" t="s">
        <v>13402</v>
      </c>
      <c r="L2703" s="136"/>
      <c r="M2703" s="136"/>
      <c r="N2703" s="136"/>
    </row>
    <row r="2704" spans="6:14">
      <c r="F2704" s="136" t="s">
        <v>13403</v>
      </c>
      <c r="G2704" s="136">
        <v>2701</v>
      </c>
      <c r="H2704" s="136" t="s">
        <v>1038</v>
      </c>
      <c r="I2704" s="136" t="s">
        <v>1039</v>
      </c>
      <c r="J2704" s="136" t="s">
        <v>13404</v>
      </c>
      <c r="L2704" s="136"/>
      <c r="M2704" s="136"/>
      <c r="N2704" s="136"/>
    </row>
    <row r="2705" spans="6:14">
      <c r="F2705" s="136" t="s">
        <v>13405</v>
      </c>
      <c r="G2705" s="136">
        <v>2702</v>
      </c>
      <c r="H2705" s="136" t="s">
        <v>3439</v>
      </c>
      <c r="I2705" s="136" t="s">
        <v>3440</v>
      </c>
      <c r="J2705" s="136" t="s">
        <v>13406</v>
      </c>
      <c r="L2705" s="136"/>
      <c r="M2705" s="136"/>
      <c r="N2705" s="136"/>
    </row>
    <row r="2706" spans="6:14">
      <c r="F2706" s="136" t="s">
        <v>13407</v>
      </c>
      <c r="G2706" s="136">
        <v>2703</v>
      </c>
      <c r="H2706" s="136" t="s">
        <v>13408</v>
      </c>
      <c r="I2706" s="136" t="s">
        <v>13409</v>
      </c>
      <c r="J2706" s="136" t="s">
        <v>13410</v>
      </c>
      <c r="L2706" s="136"/>
      <c r="M2706" s="136"/>
      <c r="N2706" s="136"/>
    </row>
    <row r="2707" spans="6:14">
      <c r="F2707" s="136" t="s">
        <v>13411</v>
      </c>
      <c r="G2707" s="136">
        <v>2704</v>
      </c>
      <c r="H2707" s="136" t="s">
        <v>3261</v>
      </c>
      <c r="I2707" s="136" t="s">
        <v>3262</v>
      </c>
      <c r="J2707" s="136" t="s">
        <v>13412</v>
      </c>
      <c r="L2707" s="136"/>
      <c r="M2707" s="136"/>
      <c r="N2707" s="136"/>
    </row>
    <row r="2708" spans="6:14">
      <c r="F2708" s="136" t="s">
        <v>13413</v>
      </c>
      <c r="G2708" s="136">
        <v>2705</v>
      </c>
      <c r="H2708" s="136" t="s">
        <v>2974</v>
      </c>
      <c r="I2708" s="136" t="s">
        <v>2974</v>
      </c>
      <c r="J2708" s="136" t="s">
        <v>13414</v>
      </c>
      <c r="L2708" s="136"/>
      <c r="M2708" s="136"/>
      <c r="N2708" s="136"/>
    </row>
    <row r="2709" spans="6:14">
      <c r="F2709" s="136" t="s">
        <v>13415</v>
      </c>
      <c r="G2709" s="136">
        <v>2706</v>
      </c>
      <c r="H2709" s="136" t="s">
        <v>4006</v>
      </c>
      <c r="I2709" s="136" t="s">
        <v>4006</v>
      </c>
      <c r="J2709" s="136" t="s">
        <v>13416</v>
      </c>
      <c r="L2709" s="136"/>
      <c r="M2709" s="136"/>
      <c r="N2709" s="136"/>
    </row>
    <row r="2710" spans="6:14">
      <c r="F2710" s="136" t="s">
        <v>13417</v>
      </c>
      <c r="G2710" s="136">
        <v>2707</v>
      </c>
      <c r="H2710" s="136" t="s">
        <v>13418</v>
      </c>
      <c r="I2710" s="136" t="s">
        <v>13419</v>
      </c>
      <c r="J2710" s="136" t="s">
        <v>13420</v>
      </c>
      <c r="L2710" s="136"/>
      <c r="M2710" s="136"/>
      <c r="N2710" s="136"/>
    </row>
    <row r="2711" spans="6:14">
      <c r="F2711" s="136" t="s">
        <v>13421</v>
      </c>
      <c r="G2711" s="136">
        <v>2708</v>
      </c>
      <c r="H2711" s="136" t="s">
        <v>330</v>
      </c>
      <c r="I2711" s="136" t="s">
        <v>331</v>
      </c>
      <c r="J2711" s="136" t="s">
        <v>13422</v>
      </c>
      <c r="L2711" s="136"/>
      <c r="M2711" s="136"/>
      <c r="N2711" s="136"/>
    </row>
    <row r="2712" spans="6:14">
      <c r="F2712" s="136" t="s">
        <v>13423</v>
      </c>
      <c r="G2712" s="136">
        <v>2709</v>
      </c>
      <c r="H2712" s="136" t="s">
        <v>130</v>
      </c>
      <c r="I2712" s="136" t="s">
        <v>131</v>
      </c>
      <c r="J2712" s="136" t="s">
        <v>13424</v>
      </c>
      <c r="L2712" s="136"/>
      <c r="M2712" s="136"/>
      <c r="N2712" s="136"/>
    </row>
    <row r="2713" spans="6:14">
      <c r="F2713" s="136" t="s">
        <v>13425</v>
      </c>
      <c r="G2713" s="136">
        <v>2710</v>
      </c>
      <c r="H2713" s="136" t="s">
        <v>13426</v>
      </c>
      <c r="I2713" s="136" t="s">
        <v>13427</v>
      </c>
      <c r="J2713" s="136" t="s">
        <v>13428</v>
      </c>
      <c r="L2713" s="136"/>
      <c r="M2713" s="136"/>
      <c r="N2713" s="136"/>
    </row>
    <row r="2714" spans="6:14">
      <c r="F2714" s="136" t="s">
        <v>13429</v>
      </c>
      <c r="G2714" s="136">
        <v>2711</v>
      </c>
      <c r="H2714" s="136" t="s">
        <v>3472</v>
      </c>
      <c r="I2714" s="136" t="s">
        <v>3473</v>
      </c>
      <c r="J2714" s="136" t="s">
        <v>13430</v>
      </c>
      <c r="L2714" s="136"/>
      <c r="M2714" s="136"/>
      <c r="N2714" s="136"/>
    </row>
    <row r="2715" spans="6:14">
      <c r="F2715" s="136" t="s">
        <v>13431</v>
      </c>
      <c r="G2715" s="136">
        <v>2712</v>
      </c>
      <c r="H2715" s="136" t="s">
        <v>13432</v>
      </c>
      <c r="I2715" s="136" t="s">
        <v>13433</v>
      </c>
      <c r="J2715" s="136" t="s">
        <v>13434</v>
      </c>
      <c r="L2715" s="136"/>
      <c r="M2715" s="136"/>
      <c r="N2715" s="136"/>
    </row>
    <row r="2716" spans="6:14">
      <c r="F2716" s="136" t="s">
        <v>13435</v>
      </c>
      <c r="G2716" s="136">
        <v>2713</v>
      </c>
      <c r="H2716" s="136" t="s">
        <v>13436</v>
      </c>
      <c r="I2716" s="136" t="s">
        <v>13437</v>
      </c>
      <c r="J2716" s="136" t="s">
        <v>13438</v>
      </c>
      <c r="L2716" s="136"/>
      <c r="M2716" s="136"/>
      <c r="N2716" s="136"/>
    </row>
    <row r="2717" spans="6:14">
      <c r="F2717" s="136" t="s">
        <v>13439</v>
      </c>
      <c r="G2717" s="136">
        <v>2714</v>
      </c>
      <c r="H2717" s="136" t="s">
        <v>3680</v>
      </c>
      <c r="I2717" s="136" t="s">
        <v>3680</v>
      </c>
      <c r="J2717" s="136" t="s">
        <v>13440</v>
      </c>
      <c r="L2717" s="136"/>
      <c r="M2717" s="136"/>
      <c r="N2717" s="136"/>
    </row>
    <row r="2718" spans="6:14">
      <c r="F2718" s="136" t="s">
        <v>13441</v>
      </c>
      <c r="G2718" s="136">
        <v>2715</v>
      </c>
      <c r="H2718" s="136" t="s">
        <v>2079</v>
      </c>
      <c r="I2718" s="136" t="s">
        <v>2080</v>
      </c>
      <c r="J2718" s="136" t="s">
        <v>13442</v>
      </c>
      <c r="L2718" s="136"/>
      <c r="M2718" s="136"/>
      <c r="N2718" s="136"/>
    </row>
    <row r="2719" spans="6:14">
      <c r="F2719" s="136" t="s">
        <v>13443</v>
      </c>
      <c r="G2719" s="136">
        <v>2716</v>
      </c>
      <c r="H2719" s="136" t="s">
        <v>13444</v>
      </c>
      <c r="I2719" s="136" t="s">
        <v>13445</v>
      </c>
      <c r="J2719" s="136" t="s">
        <v>13446</v>
      </c>
      <c r="L2719" s="136"/>
      <c r="M2719" s="136"/>
      <c r="N2719" s="136"/>
    </row>
    <row r="2720" spans="6:14">
      <c r="F2720" s="136" t="s">
        <v>13447</v>
      </c>
      <c r="G2720" s="136">
        <v>2717</v>
      </c>
      <c r="H2720" s="136" t="s">
        <v>1125</v>
      </c>
      <c r="I2720" s="136" t="s">
        <v>1126</v>
      </c>
      <c r="J2720" s="136" t="s">
        <v>13448</v>
      </c>
      <c r="L2720" s="136"/>
      <c r="M2720" s="136"/>
      <c r="N2720" s="136"/>
    </row>
    <row r="2721" spans="6:14">
      <c r="F2721" s="136" t="s">
        <v>13449</v>
      </c>
      <c r="G2721" s="136">
        <v>2718</v>
      </c>
      <c r="H2721" s="136" t="s">
        <v>13450</v>
      </c>
      <c r="I2721" s="136" t="s">
        <v>13451</v>
      </c>
      <c r="J2721" s="136" t="s">
        <v>13452</v>
      </c>
      <c r="L2721" s="136"/>
      <c r="M2721" s="136"/>
      <c r="N2721" s="136"/>
    </row>
    <row r="2722" spans="6:14">
      <c r="F2722" s="136" t="s">
        <v>13453</v>
      </c>
      <c r="G2722" s="136">
        <v>2719</v>
      </c>
      <c r="H2722" s="136" t="s">
        <v>5915</v>
      </c>
      <c r="I2722" s="136" t="s">
        <v>5916</v>
      </c>
      <c r="J2722" s="136" t="s">
        <v>13454</v>
      </c>
      <c r="L2722" s="136"/>
      <c r="M2722" s="136"/>
      <c r="N2722" s="136"/>
    </row>
    <row r="2723" spans="6:14">
      <c r="F2723" s="136" t="s">
        <v>13455</v>
      </c>
      <c r="G2723" s="136">
        <v>2720</v>
      </c>
      <c r="H2723" s="136" t="s">
        <v>1142</v>
      </c>
      <c r="I2723" s="136" t="s">
        <v>1143</v>
      </c>
      <c r="J2723" s="136" t="s">
        <v>13456</v>
      </c>
      <c r="L2723" s="136"/>
      <c r="M2723" s="136"/>
      <c r="N2723" s="136"/>
    </row>
    <row r="2724" spans="6:14">
      <c r="F2724" s="136" t="s">
        <v>13457</v>
      </c>
      <c r="G2724" s="136">
        <v>2721</v>
      </c>
      <c r="H2724" s="136" t="s">
        <v>6032</v>
      </c>
      <c r="I2724" s="136" t="s">
        <v>6033</v>
      </c>
      <c r="J2724" s="136" t="s">
        <v>13458</v>
      </c>
      <c r="L2724" s="136"/>
      <c r="M2724" s="136"/>
      <c r="N2724" s="136"/>
    </row>
    <row r="2725" spans="6:14">
      <c r="F2725" s="136" t="s">
        <v>13459</v>
      </c>
      <c r="G2725" s="136">
        <v>2722</v>
      </c>
      <c r="H2725" s="136" t="s">
        <v>1476</v>
      </c>
      <c r="I2725" s="136" t="s">
        <v>1477</v>
      </c>
      <c r="J2725" s="136" t="s">
        <v>13460</v>
      </c>
      <c r="L2725" s="136"/>
      <c r="M2725" s="136"/>
      <c r="N2725" s="136"/>
    </row>
    <row r="2726" spans="6:14">
      <c r="F2726" s="136" t="s">
        <v>13461</v>
      </c>
      <c r="G2726" s="136">
        <v>2723</v>
      </c>
      <c r="H2726" s="136" t="s">
        <v>4866</v>
      </c>
      <c r="I2726" s="136" t="s">
        <v>4867</v>
      </c>
      <c r="J2726" s="136" t="s">
        <v>13462</v>
      </c>
      <c r="L2726" s="136"/>
      <c r="M2726" s="136"/>
      <c r="N2726" s="136"/>
    </row>
    <row r="2727" spans="6:14">
      <c r="F2727" s="136" t="s">
        <v>13463</v>
      </c>
      <c r="G2727" s="136">
        <v>2724</v>
      </c>
      <c r="H2727" s="136" t="s">
        <v>1946</v>
      </c>
      <c r="I2727" s="136" t="s">
        <v>1947</v>
      </c>
      <c r="J2727" s="136" t="s">
        <v>13464</v>
      </c>
      <c r="L2727" s="136"/>
      <c r="M2727" s="136"/>
      <c r="N2727" s="136"/>
    </row>
    <row r="2728" spans="6:14">
      <c r="F2728" s="136" t="s">
        <v>13465</v>
      </c>
      <c r="G2728" s="136">
        <v>2725</v>
      </c>
      <c r="H2728" s="136" t="s">
        <v>3083</v>
      </c>
      <c r="I2728" s="136" t="s">
        <v>3084</v>
      </c>
      <c r="J2728" s="136" t="s">
        <v>13466</v>
      </c>
      <c r="L2728" s="136"/>
      <c r="M2728" s="136"/>
      <c r="N2728" s="136"/>
    </row>
    <row r="2729" spans="6:14">
      <c r="F2729" s="136" t="s">
        <v>13467</v>
      </c>
      <c r="G2729" s="136">
        <v>2726</v>
      </c>
      <c r="H2729" s="136" t="s">
        <v>3121</v>
      </c>
      <c r="I2729" s="136" t="s">
        <v>3121</v>
      </c>
      <c r="J2729" s="136" t="s">
        <v>13468</v>
      </c>
      <c r="L2729" s="136"/>
      <c r="M2729" s="136"/>
      <c r="N2729" s="136"/>
    </row>
    <row r="2730" spans="6:14">
      <c r="F2730" s="136" t="s">
        <v>13469</v>
      </c>
      <c r="G2730" s="136">
        <v>2727</v>
      </c>
      <c r="H2730" s="136" t="s">
        <v>1291</v>
      </c>
      <c r="I2730" s="136" t="s">
        <v>1292</v>
      </c>
      <c r="J2730" s="136" t="s">
        <v>13470</v>
      </c>
      <c r="L2730" s="136"/>
      <c r="M2730" s="136"/>
      <c r="N2730" s="136"/>
    </row>
    <row r="2731" spans="6:14">
      <c r="F2731" s="136" t="s">
        <v>13471</v>
      </c>
      <c r="G2731" s="136">
        <v>2728</v>
      </c>
      <c r="H2731" s="136" t="s">
        <v>2644</v>
      </c>
      <c r="I2731" s="136" t="s">
        <v>2645</v>
      </c>
      <c r="J2731" s="136" t="s">
        <v>13472</v>
      </c>
      <c r="L2731" s="136"/>
      <c r="M2731" s="136"/>
      <c r="N2731" s="136"/>
    </row>
    <row r="2732" spans="6:14">
      <c r="F2732" s="136" t="s">
        <v>13473</v>
      </c>
      <c r="G2732" s="136">
        <v>2729</v>
      </c>
      <c r="H2732" s="136" t="s">
        <v>13474</v>
      </c>
      <c r="I2732" s="136" t="s">
        <v>13475</v>
      </c>
      <c r="J2732" s="136" t="s">
        <v>13476</v>
      </c>
      <c r="L2732" s="136"/>
      <c r="M2732" s="136"/>
      <c r="N2732" s="136"/>
    </row>
    <row r="2733" spans="6:14">
      <c r="F2733" s="136" t="s">
        <v>13477</v>
      </c>
      <c r="G2733" s="136">
        <v>2730</v>
      </c>
      <c r="H2733" s="136" t="s">
        <v>13478</v>
      </c>
      <c r="I2733" s="136" t="s">
        <v>13479</v>
      </c>
      <c r="J2733" s="136" t="s">
        <v>13480</v>
      </c>
      <c r="L2733" s="136"/>
      <c r="M2733" s="136"/>
      <c r="N2733" s="136"/>
    </row>
    <row r="2734" spans="6:14">
      <c r="F2734" s="136" t="s">
        <v>13481</v>
      </c>
      <c r="G2734" s="136">
        <v>2731</v>
      </c>
      <c r="H2734" s="136" t="s">
        <v>13482</v>
      </c>
      <c r="I2734" s="136" t="s">
        <v>13483</v>
      </c>
      <c r="J2734" s="136" t="s">
        <v>13484</v>
      </c>
      <c r="L2734" s="136"/>
      <c r="M2734" s="136"/>
      <c r="N2734" s="136"/>
    </row>
    <row r="2735" spans="6:14">
      <c r="F2735" s="136" t="s">
        <v>13485</v>
      </c>
      <c r="G2735" s="136">
        <v>2732</v>
      </c>
      <c r="H2735" s="136" t="s">
        <v>1277</v>
      </c>
      <c r="I2735" s="136" t="s">
        <v>1278</v>
      </c>
      <c r="J2735" s="136" t="s">
        <v>13486</v>
      </c>
      <c r="L2735" s="136"/>
      <c r="M2735" s="136"/>
      <c r="N2735" s="136"/>
    </row>
    <row r="2736" spans="6:14">
      <c r="F2736" s="136" t="s">
        <v>13487</v>
      </c>
      <c r="G2736" s="136">
        <v>2733</v>
      </c>
      <c r="H2736" s="136" t="s">
        <v>13488</v>
      </c>
      <c r="I2736" s="136" t="s">
        <v>13489</v>
      </c>
      <c r="J2736" s="136" t="s">
        <v>13490</v>
      </c>
      <c r="L2736" s="136"/>
      <c r="M2736" s="136"/>
      <c r="N2736" s="136"/>
    </row>
    <row r="2737" spans="6:14">
      <c r="F2737" s="136" t="s">
        <v>13491</v>
      </c>
      <c r="G2737" s="136">
        <v>2734</v>
      </c>
      <c r="H2737" s="136" t="s">
        <v>4005</v>
      </c>
      <c r="I2737" s="136" t="s">
        <v>4005</v>
      </c>
      <c r="J2737" s="136" t="s">
        <v>13492</v>
      </c>
      <c r="L2737" s="136"/>
      <c r="M2737" s="136"/>
      <c r="N2737" s="136"/>
    </row>
    <row r="2738" spans="6:14">
      <c r="F2738" s="136" t="s">
        <v>13493</v>
      </c>
      <c r="G2738" s="136">
        <v>2735</v>
      </c>
      <c r="H2738" s="136" t="s">
        <v>13494</v>
      </c>
      <c r="I2738" s="136" t="s">
        <v>13495</v>
      </c>
      <c r="J2738" s="136" t="s">
        <v>13496</v>
      </c>
      <c r="L2738" s="136"/>
      <c r="M2738" s="136"/>
      <c r="N2738" s="136"/>
    </row>
    <row r="2739" spans="6:14">
      <c r="F2739" s="136" t="s">
        <v>13497</v>
      </c>
      <c r="G2739" s="136">
        <v>2736</v>
      </c>
      <c r="H2739" s="136" t="s">
        <v>223</v>
      </c>
      <c r="I2739" s="136" t="s">
        <v>224</v>
      </c>
      <c r="J2739" s="136" t="s">
        <v>13498</v>
      </c>
      <c r="L2739" s="136"/>
      <c r="M2739" s="136"/>
      <c r="N2739" s="136"/>
    </row>
    <row r="2740" spans="6:14">
      <c r="F2740" s="136" t="s">
        <v>13499</v>
      </c>
      <c r="G2740" s="136">
        <v>2737</v>
      </c>
      <c r="H2740" s="136" t="s">
        <v>13500</v>
      </c>
      <c r="I2740" s="136" t="s">
        <v>13501</v>
      </c>
      <c r="J2740" s="136" t="s">
        <v>13502</v>
      </c>
      <c r="L2740" s="136"/>
      <c r="M2740" s="136"/>
      <c r="N2740" s="136"/>
    </row>
    <row r="2741" spans="6:14">
      <c r="F2741" s="136" t="s">
        <v>13503</v>
      </c>
      <c r="G2741" s="136"/>
      <c r="H2741" s="136" t="s">
        <v>1307</v>
      </c>
      <c r="I2741" s="136" t="s">
        <v>1306</v>
      </c>
      <c r="J2741" s="136" t="s">
        <v>13504</v>
      </c>
      <c r="L2741" s="136"/>
      <c r="M2741" s="136"/>
      <c r="N2741" s="136"/>
    </row>
    <row r="2742" spans="6:14">
      <c r="F2742" s="136" t="s">
        <v>13505</v>
      </c>
      <c r="G2742" s="136">
        <v>2739</v>
      </c>
      <c r="H2742" s="136" t="s">
        <v>1019</v>
      </c>
      <c r="I2742" s="136" t="s">
        <v>1020</v>
      </c>
      <c r="J2742" s="136" t="s">
        <v>13506</v>
      </c>
      <c r="L2742" s="136"/>
      <c r="M2742" s="136"/>
      <c r="N2742" s="136"/>
    </row>
    <row r="2743" spans="6:14">
      <c r="F2743" s="136" t="s">
        <v>13507</v>
      </c>
      <c r="G2743" s="136">
        <v>2740</v>
      </c>
      <c r="H2743" s="136" t="s">
        <v>13508</v>
      </c>
      <c r="I2743" s="136" t="s">
        <v>13509</v>
      </c>
      <c r="J2743" s="136" t="s">
        <v>13510</v>
      </c>
      <c r="L2743" s="136"/>
      <c r="M2743" s="136"/>
      <c r="N2743" s="136"/>
    </row>
    <row r="2744" spans="6:14">
      <c r="F2744" s="136" t="s">
        <v>13511</v>
      </c>
      <c r="G2744" s="136">
        <v>2741</v>
      </c>
      <c r="H2744" s="136" t="s">
        <v>141</v>
      </c>
      <c r="I2744" s="136" t="s">
        <v>142</v>
      </c>
      <c r="J2744" s="136" t="s">
        <v>13512</v>
      </c>
      <c r="L2744" s="136"/>
      <c r="M2744" s="136"/>
      <c r="N2744" s="136"/>
    </row>
    <row r="2745" spans="6:14">
      <c r="F2745" s="136" t="s">
        <v>13513</v>
      </c>
      <c r="G2745" s="136">
        <v>2742</v>
      </c>
      <c r="H2745" s="136" t="s">
        <v>13514</v>
      </c>
      <c r="I2745" s="136" t="s">
        <v>13514</v>
      </c>
      <c r="J2745" s="136" t="s">
        <v>13515</v>
      </c>
      <c r="L2745" s="136"/>
      <c r="M2745" s="136"/>
      <c r="N2745" s="136"/>
    </row>
    <row r="2746" spans="6:14">
      <c r="F2746" s="136" t="s">
        <v>13516</v>
      </c>
      <c r="G2746" s="136">
        <v>2743</v>
      </c>
      <c r="H2746" s="136" t="s">
        <v>13517</v>
      </c>
      <c r="I2746" s="136" t="s">
        <v>13518</v>
      </c>
      <c r="J2746" s="136" t="s">
        <v>13519</v>
      </c>
      <c r="L2746" s="136"/>
      <c r="M2746" s="136"/>
      <c r="N2746" s="136"/>
    </row>
    <row r="2747" spans="6:14">
      <c r="F2747" s="136" t="s">
        <v>13520</v>
      </c>
      <c r="G2747" s="136">
        <v>2744</v>
      </c>
      <c r="H2747" s="136" t="s">
        <v>1154</v>
      </c>
      <c r="I2747" s="136" t="s">
        <v>1154</v>
      </c>
      <c r="J2747" s="136" t="s">
        <v>13521</v>
      </c>
      <c r="L2747" s="136"/>
      <c r="M2747" s="136"/>
      <c r="N2747" s="136"/>
    </row>
    <row r="2748" spans="6:14">
      <c r="F2748" s="136" t="s">
        <v>13522</v>
      </c>
      <c r="G2748" s="136">
        <v>2745</v>
      </c>
      <c r="H2748" s="136" t="s">
        <v>548</v>
      </c>
      <c r="I2748" s="136" t="s">
        <v>588</v>
      </c>
      <c r="J2748" s="136" t="s">
        <v>13523</v>
      </c>
      <c r="L2748" s="136"/>
      <c r="M2748" s="136"/>
      <c r="N2748" s="136"/>
    </row>
    <row r="2749" spans="6:14">
      <c r="F2749" s="136" t="s">
        <v>13524</v>
      </c>
      <c r="G2749" s="136">
        <v>2746</v>
      </c>
      <c r="H2749" s="136" t="s">
        <v>5791</v>
      </c>
      <c r="I2749" s="136" t="s">
        <v>5792</v>
      </c>
      <c r="J2749" s="136" t="s">
        <v>13525</v>
      </c>
      <c r="L2749" s="136"/>
      <c r="M2749" s="136"/>
      <c r="N2749" s="136"/>
    </row>
    <row r="2750" spans="6:14">
      <c r="F2750" s="136" t="s">
        <v>13526</v>
      </c>
      <c r="G2750" s="136">
        <v>2747</v>
      </c>
      <c r="H2750" s="136" t="s">
        <v>2017</v>
      </c>
      <c r="I2750" s="136" t="s">
        <v>2018</v>
      </c>
      <c r="J2750" s="136" t="s">
        <v>13527</v>
      </c>
      <c r="L2750" s="136"/>
      <c r="M2750" s="136"/>
      <c r="N2750" s="136"/>
    </row>
    <row r="2751" spans="6:14">
      <c r="F2751" s="136" t="s">
        <v>13528</v>
      </c>
      <c r="G2751" s="136">
        <v>2748</v>
      </c>
      <c r="H2751" s="136" t="s">
        <v>2021</v>
      </c>
      <c r="I2751" s="136" t="s">
        <v>2022</v>
      </c>
      <c r="J2751" s="136" t="s">
        <v>13529</v>
      </c>
      <c r="L2751" s="136"/>
      <c r="M2751" s="136"/>
      <c r="N2751" s="136"/>
    </row>
    <row r="2752" spans="6:14">
      <c r="F2752" s="136" t="s">
        <v>13530</v>
      </c>
      <c r="G2752" s="136">
        <v>2749</v>
      </c>
      <c r="H2752" s="136" t="s">
        <v>13531</v>
      </c>
      <c r="I2752" s="136" t="s">
        <v>13532</v>
      </c>
      <c r="J2752" s="136" t="s">
        <v>13533</v>
      </c>
      <c r="L2752" s="136"/>
      <c r="M2752" s="136"/>
      <c r="N2752" s="136"/>
    </row>
    <row r="2753" spans="6:14">
      <c r="F2753" s="136" t="s">
        <v>13534</v>
      </c>
      <c r="G2753" s="136">
        <v>2750</v>
      </c>
      <c r="H2753" s="136" t="s">
        <v>2674</v>
      </c>
      <c r="I2753" s="136" t="s">
        <v>2675</v>
      </c>
      <c r="J2753" s="136" t="s">
        <v>13535</v>
      </c>
      <c r="L2753" s="136"/>
      <c r="M2753" s="136"/>
      <c r="N2753" s="136"/>
    </row>
    <row r="2754" spans="6:14">
      <c r="F2754" s="136" t="s">
        <v>13536</v>
      </c>
      <c r="G2754" s="136">
        <v>2751</v>
      </c>
      <c r="H2754" s="136" t="s">
        <v>13537</v>
      </c>
      <c r="I2754" s="136" t="s">
        <v>13538</v>
      </c>
      <c r="J2754" s="136" t="s">
        <v>13539</v>
      </c>
      <c r="L2754" s="136"/>
      <c r="M2754" s="136"/>
      <c r="N2754" s="136"/>
    </row>
    <row r="2755" spans="6:14">
      <c r="F2755" s="136" t="s">
        <v>13540</v>
      </c>
      <c r="G2755" s="136">
        <v>2752</v>
      </c>
      <c r="H2755" s="136" t="s">
        <v>13541</v>
      </c>
      <c r="I2755" s="136" t="s">
        <v>13542</v>
      </c>
      <c r="J2755" s="136" t="s">
        <v>13543</v>
      </c>
      <c r="L2755" s="136"/>
      <c r="M2755" s="136"/>
      <c r="N2755" s="136"/>
    </row>
    <row r="2756" spans="6:14">
      <c r="F2756" s="136" t="s">
        <v>13544</v>
      </c>
      <c r="G2756" s="136">
        <v>2753</v>
      </c>
      <c r="H2756" s="136" t="s">
        <v>548</v>
      </c>
      <c r="I2756" s="136" t="s">
        <v>589</v>
      </c>
      <c r="J2756" s="136" t="s">
        <v>13545</v>
      </c>
      <c r="L2756" s="136"/>
      <c r="M2756" s="136"/>
      <c r="N2756" s="136"/>
    </row>
    <row r="2757" spans="6:14">
      <c r="F2757" s="136" t="s">
        <v>13546</v>
      </c>
      <c r="G2757" s="136">
        <v>2754</v>
      </c>
      <c r="H2757" s="136" t="s">
        <v>13547</v>
      </c>
      <c r="I2757" s="136" t="s">
        <v>13548</v>
      </c>
      <c r="J2757" s="136" t="s">
        <v>13549</v>
      </c>
      <c r="L2757" s="136"/>
      <c r="M2757" s="136"/>
      <c r="N2757" s="136"/>
    </row>
    <row r="2758" spans="6:14">
      <c r="F2758" s="136" t="s">
        <v>13550</v>
      </c>
      <c r="G2758" s="136">
        <v>2755</v>
      </c>
      <c r="H2758" s="136" t="s">
        <v>13551</v>
      </c>
      <c r="I2758" s="136" t="s">
        <v>13552</v>
      </c>
      <c r="J2758" s="136" t="s">
        <v>13553</v>
      </c>
      <c r="L2758" s="136"/>
      <c r="M2758" s="136"/>
      <c r="N2758" s="136"/>
    </row>
    <row r="2759" spans="6:14">
      <c r="F2759" s="136" t="s">
        <v>13554</v>
      </c>
      <c r="G2759" s="136">
        <v>2756</v>
      </c>
      <c r="H2759" s="136" t="s">
        <v>3634</v>
      </c>
      <c r="I2759" s="136" t="s">
        <v>3635</v>
      </c>
      <c r="J2759" s="136" t="s">
        <v>13555</v>
      </c>
      <c r="L2759" s="136"/>
      <c r="M2759" s="136"/>
      <c r="N2759" s="136"/>
    </row>
    <row r="2760" spans="6:14">
      <c r="F2760" s="136" t="s">
        <v>13556</v>
      </c>
      <c r="G2760" s="136">
        <v>2757</v>
      </c>
      <c r="H2760" s="136" t="s">
        <v>5031</v>
      </c>
      <c r="I2760" s="136" t="s">
        <v>5031</v>
      </c>
      <c r="J2760" s="136" t="s">
        <v>13557</v>
      </c>
      <c r="L2760" s="136"/>
      <c r="M2760" s="136"/>
      <c r="N2760" s="136"/>
    </row>
    <row r="2761" spans="6:14">
      <c r="F2761" s="136" t="s">
        <v>13558</v>
      </c>
      <c r="G2761" s="136">
        <v>2758</v>
      </c>
      <c r="H2761" s="136" t="s">
        <v>1795</v>
      </c>
      <c r="I2761" s="136" t="s">
        <v>1796</v>
      </c>
      <c r="J2761" s="136" t="s">
        <v>13559</v>
      </c>
      <c r="L2761" s="136"/>
      <c r="M2761" s="136"/>
      <c r="N2761" s="136"/>
    </row>
    <row r="2762" spans="6:14">
      <c r="F2762" s="136" t="s">
        <v>13560</v>
      </c>
      <c r="G2762" s="136">
        <v>2759</v>
      </c>
      <c r="H2762" s="136" t="s">
        <v>3278</v>
      </c>
      <c r="I2762" s="136" t="s">
        <v>3279</v>
      </c>
      <c r="J2762" s="136" t="s">
        <v>13561</v>
      </c>
      <c r="L2762" s="136"/>
      <c r="M2762" s="136"/>
      <c r="N2762" s="136"/>
    </row>
    <row r="2763" spans="6:14">
      <c r="F2763" s="136" t="s">
        <v>13562</v>
      </c>
      <c r="G2763" s="136">
        <v>2760</v>
      </c>
      <c r="H2763" s="136" t="s">
        <v>13563</v>
      </c>
      <c r="I2763" s="136" t="s">
        <v>13564</v>
      </c>
      <c r="J2763" s="136" t="s">
        <v>13565</v>
      </c>
      <c r="L2763" s="136"/>
      <c r="M2763" s="136"/>
      <c r="N2763" s="136"/>
    </row>
    <row r="2764" spans="6:14">
      <c r="F2764" s="136" t="s">
        <v>13566</v>
      </c>
      <c r="G2764" s="136">
        <v>2761</v>
      </c>
      <c r="H2764" s="136" t="s">
        <v>4321</v>
      </c>
      <c r="I2764" s="136" t="s">
        <v>4322</v>
      </c>
      <c r="J2764" s="136" t="s">
        <v>13567</v>
      </c>
      <c r="L2764" s="136"/>
      <c r="M2764" s="136"/>
      <c r="N2764" s="136"/>
    </row>
    <row r="2765" spans="6:14">
      <c r="F2765" s="136" t="s">
        <v>13568</v>
      </c>
      <c r="G2765" s="136">
        <v>2762</v>
      </c>
      <c r="H2765" s="136" t="s">
        <v>13569</v>
      </c>
      <c r="I2765" s="136" t="s">
        <v>13570</v>
      </c>
      <c r="J2765" s="136" t="s">
        <v>13571</v>
      </c>
      <c r="L2765" s="136"/>
      <c r="M2765" s="136"/>
      <c r="N2765" s="136"/>
    </row>
    <row r="2766" spans="6:14">
      <c r="F2766" s="136" t="s">
        <v>13572</v>
      </c>
      <c r="G2766" s="136">
        <v>2763</v>
      </c>
      <c r="H2766" s="136" t="s">
        <v>6086</v>
      </c>
      <c r="I2766" s="136" t="s">
        <v>6087</v>
      </c>
      <c r="J2766" s="136" t="s">
        <v>13573</v>
      </c>
      <c r="L2766" s="136"/>
      <c r="M2766" s="136"/>
      <c r="N2766" s="136"/>
    </row>
    <row r="2767" spans="6:14">
      <c r="F2767" s="136" t="s">
        <v>13574</v>
      </c>
      <c r="G2767" s="136">
        <v>2764</v>
      </c>
      <c r="H2767" s="136" t="s">
        <v>13575</v>
      </c>
      <c r="I2767" s="136" t="s">
        <v>13576</v>
      </c>
      <c r="J2767" s="136" t="s">
        <v>13577</v>
      </c>
      <c r="L2767" s="136"/>
      <c r="M2767" s="136"/>
      <c r="N2767" s="136"/>
    </row>
    <row r="2768" spans="6:14">
      <c r="F2768" s="136" t="s">
        <v>13578</v>
      </c>
      <c r="G2768" s="136">
        <v>2765</v>
      </c>
      <c r="H2768" s="136" t="s">
        <v>13579</v>
      </c>
      <c r="I2768" s="136" t="s">
        <v>13580</v>
      </c>
      <c r="J2768" s="136" t="s">
        <v>13581</v>
      </c>
      <c r="L2768" s="136"/>
      <c r="M2768" s="136"/>
      <c r="N2768" s="136"/>
    </row>
    <row r="2769" spans="6:14">
      <c r="F2769" s="136" t="s">
        <v>13582</v>
      </c>
      <c r="G2769" s="136">
        <v>2766</v>
      </c>
      <c r="H2769" s="136" t="s">
        <v>4492</v>
      </c>
      <c r="I2769" s="136" t="s">
        <v>4493</v>
      </c>
      <c r="J2769" s="136" t="s">
        <v>13583</v>
      </c>
      <c r="L2769" s="136"/>
      <c r="M2769" s="136"/>
      <c r="N2769" s="136"/>
    </row>
    <row r="2770" spans="6:14">
      <c r="F2770" s="136" t="s">
        <v>13584</v>
      </c>
      <c r="G2770" s="136">
        <v>2767</v>
      </c>
      <c r="H2770" s="136" t="s">
        <v>648</v>
      </c>
      <c r="I2770" s="136" t="s">
        <v>649</v>
      </c>
      <c r="J2770" s="136" t="s">
        <v>13585</v>
      </c>
      <c r="L2770" s="136"/>
      <c r="M2770" s="136"/>
      <c r="N2770" s="136"/>
    </row>
    <row r="2771" spans="6:14">
      <c r="F2771" s="136" t="s">
        <v>13586</v>
      </c>
      <c r="G2771" s="136">
        <v>2768</v>
      </c>
      <c r="H2771" s="136" t="s">
        <v>3039</v>
      </c>
      <c r="I2771" s="136" t="s">
        <v>3040</v>
      </c>
      <c r="J2771" s="136" t="s">
        <v>13587</v>
      </c>
      <c r="L2771" s="136"/>
      <c r="M2771" s="136"/>
      <c r="N2771" s="136"/>
    </row>
    <row r="2772" spans="6:14">
      <c r="F2772" s="136" t="s">
        <v>13588</v>
      </c>
      <c r="G2772" s="136">
        <v>2769</v>
      </c>
      <c r="H2772" s="136" t="s">
        <v>298</v>
      </c>
      <c r="I2772" s="136" t="s">
        <v>299</v>
      </c>
      <c r="J2772" s="136" t="s">
        <v>13589</v>
      </c>
      <c r="L2772" s="136"/>
      <c r="M2772" s="136"/>
      <c r="N2772" s="136"/>
    </row>
    <row r="2773" spans="6:14">
      <c r="F2773" s="136" t="s">
        <v>13590</v>
      </c>
      <c r="G2773" s="136">
        <v>2770</v>
      </c>
      <c r="H2773" s="136" t="s">
        <v>5553</v>
      </c>
      <c r="I2773" s="136" t="s">
        <v>5554</v>
      </c>
      <c r="J2773" s="136" t="s">
        <v>13591</v>
      </c>
      <c r="L2773" s="136"/>
      <c r="M2773" s="136"/>
      <c r="N2773" s="136"/>
    </row>
    <row r="2774" spans="6:14">
      <c r="F2774" s="136" t="s">
        <v>13592</v>
      </c>
      <c r="G2774" s="136">
        <v>2771</v>
      </c>
      <c r="H2774" s="136" t="s">
        <v>45</v>
      </c>
      <c r="I2774" s="136" t="s">
        <v>46</v>
      </c>
      <c r="J2774" s="136" t="s">
        <v>13593</v>
      </c>
      <c r="L2774" s="136"/>
      <c r="M2774" s="136"/>
      <c r="N2774" s="136"/>
    </row>
    <row r="2775" spans="6:14">
      <c r="F2775" s="136" t="s">
        <v>13594</v>
      </c>
      <c r="G2775" s="136">
        <v>2772</v>
      </c>
      <c r="H2775" s="136" t="s">
        <v>5751</v>
      </c>
      <c r="I2775" s="136" t="s">
        <v>5752</v>
      </c>
      <c r="J2775" s="136" t="s">
        <v>13595</v>
      </c>
      <c r="L2775" s="136"/>
      <c r="M2775" s="136"/>
      <c r="N2775" s="136"/>
    </row>
    <row r="2776" spans="6:14">
      <c r="F2776" s="136" t="s">
        <v>13596</v>
      </c>
      <c r="G2776" s="136">
        <v>2773</v>
      </c>
      <c r="H2776" s="136" t="s">
        <v>5583</v>
      </c>
      <c r="I2776" s="136" t="s">
        <v>5583</v>
      </c>
      <c r="J2776" s="136" t="s">
        <v>13597</v>
      </c>
      <c r="L2776" s="136"/>
      <c r="M2776" s="136"/>
      <c r="N2776" s="136"/>
    </row>
    <row r="2777" spans="6:14">
      <c r="F2777" s="136" t="s">
        <v>13598</v>
      </c>
      <c r="G2777" s="136">
        <v>2774</v>
      </c>
      <c r="H2777" s="136" t="s">
        <v>13599</v>
      </c>
      <c r="I2777" s="136" t="s">
        <v>12472</v>
      </c>
      <c r="J2777" s="136" t="s">
        <v>13600</v>
      </c>
      <c r="L2777" s="136"/>
      <c r="M2777" s="136"/>
      <c r="N2777" s="136"/>
    </row>
    <row r="2778" spans="6:14">
      <c r="F2778" s="136" t="s">
        <v>13601</v>
      </c>
      <c r="G2778" s="136">
        <v>2775</v>
      </c>
      <c r="H2778" s="136" t="s">
        <v>1840</v>
      </c>
      <c r="I2778" s="136" t="s">
        <v>1841</v>
      </c>
      <c r="J2778" s="136" t="s">
        <v>13602</v>
      </c>
      <c r="L2778" s="136"/>
      <c r="M2778" s="136"/>
      <c r="N2778" s="136"/>
    </row>
    <row r="2779" spans="6:14">
      <c r="F2779" s="136" t="s">
        <v>13603</v>
      </c>
      <c r="G2779" s="136">
        <v>2776</v>
      </c>
      <c r="H2779" s="136" t="s">
        <v>13604</v>
      </c>
      <c r="I2779" s="136" t="s">
        <v>13605</v>
      </c>
      <c r="J2779" s="136" t="s">
        <v>13606</v>
      </c>
      <c r="L2779" s="136"/>
      <c r="M2779" s="136"/>
      <c r="N2779" s="136"/>
    </row>
    <row r="2780" spans="6:14">
      <c r="F2780" s="136" t="s">
        <v>13607</v>
      </c>
      <c r="G2780" s="136">
        <v>2777</v>
      </c>
      <c r="H2780" s="136" t="s">
        <v>13608</v>
      </c>
      <c r="I2780" s="136" t="s">
        <v>13609</v>
      </c>
      <c r="J2780" s="136" t="s">
        <v>13610</v>
      </c>
      <c r="L2780" s="136"/>
      <c r="M2780" s="136"/>
      <c r="N2780" s="136"/>
    </row>
    <row r="2781" spans="6:14">
      <c r="F2781" s="136" t="s">
        <v>13611</v>
      </c>
      <c r="G2781" s="136">
        <v>2778</v>
      </c>
      <c r="H2781" s="136" t="s">
        <v>992</v>
      </c>
      <c r="I2781" s="136" t="s">
        <v>993</v>
      </c>
      <c r="J2781" s="136" t="s">
        <v>13612</v>
      </c>
      <c r="L2781" s="136"/>
      <c r="M2781" s="136"/>
      <c r="N2781" s="136"/>
    </row>
    <row r="2782" spans="6:14">
      <c r="F2782" s="136" t="s">
        <v>13613</v>
      </c>
      <c r="G2782" s="136">
        <v>2779</v>
      </c>
      <c r="H2782" s="136" t="s">
        <v>4085</v>
      </c>
      <c r="I2782" s="136" t="s">
        <v>4086</v>
      </c>
      <c r="J2782" s="136" t="s">
        <v>13614</v>
      </c>
      <c r="L2782" s="136"/>
      <c r="M2782" s="136"/>
      <c r="N2782" s="136"/>
    </row>
    <row r="2783" spans="6:14">
      <c r="F2783" s="136" t="s">
        <v>13615</v>
      </c>
      <c r="G2783" s="136">
        <v>2780</v>
      </c>
      <c r="H2783" s="136" t="s">
        <v>4731</v>
      </c>
      <c r="I2783" s="136" t="s">
        <v>4732</v>
      </c>
      <c r="J2783" s="136" t="s">
        <v>13616</v>
      </c>
      <c r="L2783" s="136"/>
      <c r="M2783" s="136"/>
      <c r="N2783" s="136"/>
    </row>
    <row r="2784" spans="6:14">
      <c r="F2784" s="136" t="s">
        <v>13617</v>
      </c>
      <c r="G2784" s="136">
        <v>2781</v>
      </c>
      <c r="H2784" s="136" t="s">
        <v>13618</v>
      </c>
      <c r="I2784" s="136" t="s">
        <v>13619</v>
      </c>
      <c r="J2784" s="136" t="s">
        <v>13620</v>
      </c>
      <c r="L2784" s="136"/>
      <c r="M2784" s="136"/>
      <c r="N2784" s="136"/>
    </row>
    <row r="2785" spans="6:14">
      <c r="F2785" s="136" t="s">
        <v>13621</v>
      </c>
      <c r="G2785" s="136">
        <v>2782</v>
      </c>
      <c r="H2785" s="136" t="s">
        <v>634</v>
      </c>
      <c r="I2785" s="136" t="s">
        <v>635</v>
      </c>
      <c r="J2785" s="136" t="s">
        <v>13622</v>
      </c>
      <c r="L2785" s="136"/>
      <c r="M2785" s="136"/>
      <c r="N2785" s="136"/>
    </row>
    <row r="2786" spans="6:14">
      <c r="F2786" s="136" t="s">
        <v>13623</v>
      </c>
      <c r="G2786" s="136">
        <v>2783</v>
      </c>
      <c r="H2786" s="136" t="s">
        <v>3109</v>
      </c>
      <c r="I2786" s="136" t="s">
        <v>3109</v>
      </c>
      <c r="J2786" s="136" t="s">
        <v>13624</v>
      </c>
      <c r="L2786" s="136"/>
      <c r="M2786" s="136"/>
      <c r="N2786" s="136"/>
    </row>
    <row r="2787" spans="6:14">
      <c r="F2787" s="136" t="s">
        <v>13625</v>
      </c>
      <c r="G2787" s="136">
        <v>2784</v>
      </c>
      <c r="H2787" s="136" t="s">
        <v>5067</v>
      </c>
      <c r="I2787" s="136" t="s">
        <v>5068</v>
      </c>
      <c r="J2787" s="136" t="s">
        <v>13626</v>
      </c>
      <c r="L2787" s="136"/>
      <c r="M2787" s="136"/>
      <c r="N2787" s="136"/>
    </row>
    <row r="2788" spans="6:14">
      <c r="F2788" s="136" t="s">
        <v>13627</v>
      </c>
      <c r="G2788" s="136">
        <v>2785</v>
      </c>
      <c r="H2788" s="136" t="s">
        <v>13628</v>
      </c>
      <c r="I2788" s="136" t="s">
        <v>13629</v>
      </c>
      <c r="J2788" s="136" t="s">
        <v>13630</v>
      </c>
      <c r="L2788" s="136"/>
      <c r="M2788" s="136"/>
      <c r="N2788" s="136"/>
    </row>
    <row r="2789" spans="6:14">
      <c r="F2789" s="136" t="s">
        <v>13631</v>
      </c>
      <c r="G2789" s="136">
        <v>2786</v>
      </c>
      <c r="H2789" s="136" t="s">
        <v>13632</v>
      </c>
      <c r="I2789" s="136" t="s">
        <v>13633</v>
      </c>
      <c r="J2789" s="136" t="s">
        <v>13634</v>
      </c>
      <c r="L2789" s="136"/>
      <c r="M2789" s="136"/>
      <c r="N2789" s="136"/>
    </row>
    <row r="2790" spans="6:14">
      <c r="F2790" s="136" t="s">
        <v>13635</v>
      </c>
      <c r="G2790" s="136">
        <v>2787</v>
      </c>
      <c r="H2790" s="136" t="s">
        <v>13636</v>
      </c>
      <c r="I2790" s="136" t="s">
        <v>13637</v>
      </c>
      <c r="J2790" s="136" t="s">
        <v>13638</v>
      </c>
      <c r="L2790" s="136"/>
      <c r="M2790" s="136"/>
      <c r="N2790" s="136"/>
    </row>
    <row r="2791" spans="6:14">
      <c r="F2791" s="136" t="s">
        <v>13639</v>
      </c>
      <c r="G2791" s="136">
        <v>2788</v>
      </c>
      <c r="H2791" s="136" t="s">
        <v>13640</v>
      </c>
      <c r="I2791" s="136" t="s">
        <v>13641</v>
      </c>
      <c r="J2791" s="136" t="s">
        <v>13642</v>
      </c>
      <c r="L2791" s="136"/>
      <c r="M2791" s="136"/>
      <c r="N2791" s="136"/>
    </row>
    <row r="2792" spans="6:14">
      <c r="F2792" s="136" t="s">
        <v>13643</v>
      </c>
      <c r="G2792" s="136">
        <v>2789</v>
      </c>
      <c r="H2792" s="136" t="s">
        <v>13644</v>
      </c>
      <c r="I2792" s="136" t="s">
        <v>13645</v>
      </c>
      <c r="J2792" s="136" t="s">
        <v>13646</v>
      </c>
      <c r="L2792" s="136"/>
      <c r="M2792" s="136"/>
      <c r="N2792" s="136"/>
    </row>
    <row r="2793" spans="6:14">
      <c r="F2793" s="136" t="s">
        <v>13647</v>
      </c>
      <c r="G2793" s="136">
        <v>2790</v>
      </c>
      <c r="H2793" s="136" t="s">
        <v>13648</v>
      </c>
      <c r="I2793" s="136" t="s">
        <v>13648</v>
      </c>
      <c r="J2793" s="136" t="s">
        <v>13649</v>
      </c>
      <c r="L2793" s="136"/>
      <c r="M2793" s="136"/>
      <c r="N2793" s="136"/>
    </row>
    <row r="2794" spans="6:14">
      <c r="F2794" s="136" t="s">
        <v>13650</v>
      </c>
      <c r="G2794" s="136">
        <v>2791</v>
      </c>
      <c r="H2794" s="136" t="s">
        <v>13651</v>
      </c>
      <c r="I2794" s="136" t="s">
        <v>13652</v>
      </c>
      <c r="J2794" s="136" t="s">
        <v>13653</v>
      </c>
      <c r="L2794" s="136"/>
      <c r="M2794" s="136"/>
      <c r="N2794" s="136"/>
    </row>
    <row r="2795" spans="6:14">
      <c r="F2795" s="136" t="s">
        <v>13654</v>
      </c>
      <c r="G2795" s="136">
        <v>2792</v>
      </c>
      <c r="H2795" s="136" t="s">
        <v>13655</v>
      </c>
      <c r="I2795" s="136" t="s">
        <v>13656</v>
      </c>
      <c r="J2795" s="136" t="s">
        <v>13657</v>
      </c>
      <c r="L2795" s="136"/>
      <c r="M2795" s="136"/>
      <c r="N2795" s="136"/>
    </row>
    <row r="2796" spans="6:14">
      <c r="F2796" s="136" t="s">
        <v>13658</v>
      </c>
      <c r="G2796" s="136">
        <v>2793</v>
      </c>
      <c r="H2796" s="136" t="s">
        <v>3456</v>
      </c>
      <c r="I2796" s="136" t="s">
        <v>3456</v>
      </c>
      <c r="J2796" s="136" t="s">
        <v>13659</v>
      </c>
      <c r="L2796" s="136"/>
      <c r="M2796" s="136"/>
      <c r="N2796" s="136"/>
    </row>
    <row r="2797" spans="6:14">
      <c r="F2797" s="136" t="s">
        <v>13660</v>
      </c>
      <c r="G2797" s="136">
        <v>2794</v>
      </c>
      <c r="H2797" s="136" t="s">
        <v>3352</v>
      </c>
      <c r="I2797" s="136" t="s">
        <v>3353</v>
      </c>
      <c r="J2797" s="136" t="s">
        <v>13661</v>
      </c>
      <c r="L2797" s="136"/>
      <c r="M2797" s="136"/>
      <c r="N2797" s="136"/>
    </row>
    <row r="2798" spans="6:14">
      <c r="F2798" s="136" t="s">
        <v>13662</v>
      </c>
      <c r="G2798" s="136">
        <v>2795</v>
      </c>
      <c r="H2798" s="136" t="s">
        <v>13663</v>
      </c>
      <c r="I2798" s="136" t="s">
        <v>13664</v>
      </c>
      <c r="J2798" s="136" t="s">
        <v>13665</v>
      </c>
      <c r="L2798" s="136"/>
      <c r="M2798" s="136"/>
      <c r="N2798" s="136"/>
    </row>
    <row r="2799" spans="6:14">
      <c r="F2799" s="136" t="s">
        <v>13666</v>
      </c>
      <c r="G2799" s="136">
        <v>2796</v>
      </c>
      <c r="H2799" s="136" t="s">
        <v>13667</v>
      </c>
      <c r="I2799" s="136" t="s">
        <v>13668</v>
      </c>
      <c r="J2799" s="136" t="s">
        <v>13669</v>
      </c>
      <c r="L2799" s="136"/>
      <c r="M2799" s="136"/>
      <c r="N2799" s="136"/>
    </row>
    <row r="2800" spans="6:14">
      <c r="F2800" s="136" t="s">
        <v>13670</v>
      </c>
      <c r="G2800" s="136">
        <v>2797</v>
      </c>
      <c r="H2800" s="136" t="s">
        <v>13671</v>
      </c>
      <c r="I2800" s="136" t="s">
        <v>13672</v>
      </c>
      <c r="J2800" s="136" t="s">
        <v>13673</v>
      </c>
      <c r="L2800" s="136"/>
      <c r="M2800" s="136"/>
      <c r="N2800" s="136"/>
    </row>
    <row r="2801" spans="6:14">
      <c r="F2801" s="136" t="s">
        <v>13674</v>
      </c>
      <c r="G2801" s="136">
        <v>2798</v>
      </c>
      <c r="H2801" s="136" t="s">
        <v>4501</v>
      </c>
      <c r="I2801" s="136" t="s">
        <v>4502</v>
      </c>
      <c r="J2801" s="136" t="s">
        <v>13675</v>
      </c>
      <c r="L2801" s="136"/>
      <c r="M2801" s="136"/>
      <c r="N2801" s="136"/>
    </row>
    <row r="2802" spans="6:14">
      <c r="F2802" s="136" t="s">
        <v>13676</v>
      </c>
      <c r="G2802" s="136">
        <v>2799</v>
      </c>
      <c r="H2802" s="136" t="s">
        <v>13677</v>
      </c>
      <c r="I2802" s="136" t="s">
        <v>13677</v>
      </c>
      <c r="J2802" s="136" t="s">
        <v>13678</v>
      </c>
      <c r="L2802" s="136"/>
      <c r="M2802" s="136"/>
      <c r="N2802" s="136"/>
    </row>
    <row r="2803" spans="6:14">
      <c r="F2803" s="136" t="s">
        <v>13679</v>
      </c>
      <c r="G2803" s="136">
        <v>2800</v>
      </c>
      <c r="H2803" s="136" t="s">
        <v>4460</v>
      </c>
      <c r="I2803" s="136" t="s">
        <v>4461</v>
      </c>
      <c r="J2803" s="136" t="s">
        <v>13680</v>
      </c>
      <c r="L2803" s="136"/>
      <c r="M2803" s="136"/>
      <c r="N2803" s="136"/>
    </row>
    <row r="2804" spans="6:14">
      <c r="F2804" s="136" t="s">
        <v>13681</v>
      </c>
      <c r="G2804" s="136">
        <v>2801</v>
      </c>
      <c r="H2804" s="136" t="s">
        <v>13682</v>
      </c>
      <c r="I2804" s="136" t="s">
        <v>13683</v>
      </c>
      <c r="J2804" s="136" t="s">
        <v>13684</v>
      </c>
      <c r="L2804" s="136"/>
      <c r="M2804" s="136"/>
      <c r="N2804" s="136"/>
    </row>
    <row r="2805" spans="6:14">
      <c r="F2805" s="136" t="s">
        <v>13685</v>
      </c>
      <c r="G2805" s="136">
        <v>2802</v>
      </c>
      <c r="H2805" s="136" t="s">
        <v>2836</v>
      </c>
      <c r="I2805" s="136" t="s">
        <v>493</v>
      </c>
      <c r="J2805" s="136" t="s">
        <v>13686</v>
      </c>
      <c r="L2805" s="136"/>
      <c r="M2805" s="136"/>
      <c r="N2805" s="136"/>
    </row>
    <row r="2806" spans="6:14">
      <c r="F2806" s="136" t="s">
        <v>13687</v>
      </c>
      <c r="G2806" s="136">
        <v>2803</v>
      </c>
      <c r="H2806" s="136" t="s">
        <v>3430</v>
      </c>
      <c r="I2806" s="136" t="s">
        <v>3431</v>
      </c>
      <c r="J2806" s="136" t="s">
        <v>13688</v>
      </c>
      <c r="L2806" s="136"/>
      <c r="M2806" s="136"/>
      <c r="N2806" s="136"/>
    </row>
    <row r="2807" spans="6:14">
      <c r="F2807" s="136" t="s">
        <v>13689</v>
      </c>
      <c r="G2807" s="136">
        <v>2804</v>
      </c>
      <c r="H2807" s="136" t="s">
        <v>13690</v>
      </c>
      <c r="I2807" s="136" t="s">
        <v>13691</v>
      </c>
      <c r="J2807" s="136" t="s">
        <v>13692</v>
      </c>
      <c r="L2807" s="136"/>
      <c r="M2807" s="136"/>
      <c r="N2807" s="136"/>
    </row>
    <row r="2808" spans="6:14">
      <c r="F2808" s="136" t="s">
        <v>13693</v>
      </c>
      <c r="G2808" s="136">
        <v>2805</v>
      </c>
      <c r="H2808" s="136" t="s">
        <v>6183</v>
      </c>
      <c r="I2808" s="136" t="s">
        <v>6189</v>
      </c>
      <c r="J2808" s="136" t="s">
        <v>13694</v>
      </c>
      <c r="L2808" s="136"/>
      <c r="M2808" s="136"/>
      <c r="N2808" s="136"/>
    </row>
    <row r="2809" spans="6:14">
      <c r="F2809" s="136" t="s">
        <v>13695</v>
      </c>
      <c r="G2809" s="136">
        <v>2806</v>
      </c>
      <c r="H2809" s="136" t="s">
        <v>6183</v>
      </c>
      <c r="I2809" s="136" t="s">
        <v>6190</v>
      </c>
      <c r="J2809" s="136" t="s">
        <v>13696</v>
      </c>
      <c r="L2809" s="136"/>
      <c r="M2809" s="136"/>
      <c r="N2809" s="136"/>
    </row>
    <row r="2810" spans="6:14">
      <c r="F2810" s="136" t="s">
        <v>13697</v>
      </c>
      <c r="G2810" s="136">
        <v>2807</v>
      </c>
      <c r="H2810" s="136" t="s">
        <v>13698</v>
      </c>
      <c r="I2810" s="136" t="s">
        <v>13699</v>
      </c>
      <c r="J2810" s="136" t="s">
        <v>13700</v>
      </c>
      <c r="L2810" s="136"/>
      <c r="M2810" s="136"/>
      <c r="N2810" s="136"/>
    </row>
    <row r="2811" spans="6:14">
      <c r="F2811" s="136" t="s">
        <v>13701</v>
      </c>
      <c r="G2811" s="136">
        <v>2808</v>
      </c>
      <c r="H2811" s="136" t="s">
        <v>3819</v>
      </c>
      <c r="I2811" s="136" t="s">
        <v>3820</v>
      </c>
      <c r="J2811" s="136" t="s">
        <v>13702</v>
      </c>
      <c r="L2811" s="136"/>
      <c r="M2811" s="136"/>
      <c r="N2811" s="136"/>
    </row>
    <row r="2812" spans="6:14">
      <c r="F2812" s="136" t="s">
        <v>13703</v>
      </c>
      <c r="G2812" s="136">
        <v>2809</v>
      </c>
      <c r="H2812" s="136" t="s">
        <v>1080</v>
      </c>
      <c r="I2812" s="136" t="s">
        <v>1081</v>
      </c>
      <c r="J2812" s="136" t="s">
        <v>13704</v>
      </c>
      <c r="L2812" s="136"/>
      <c r="M2812" s="136"/>
      <c r="N2812" s="136"/>
    </row>
    <row r="2813" spans="6:14">
      <c r="F2813" s="136" t="s">
        <v>13705</v>
      </c>
      <c r="G2813" s="136">
        <v>2810</v>
      </c>
      <c r="H2813" s="136" t="s">
        <v>13706</v>
      </c>
      <c r="I2813" s="136" t="s">
        <v>13707</v>
      </c>
      <c r="J2813" s="136" t="s">
        <v>13708</v>
      </c>
      <c r="L2813" s="136"/>
      <c r="M2813" s="136"/>
      <c r="N2813" s="136"/>
    </row>
    <row r="2814" spans="6:14">
      <c r="F2814" s="136" t="s">
        <v>13709</v>
      </c>
      <c r="G2814" s="136">
        <v>2811</v>
      </c>
      <c r="H2814" s="136" t="s">
        <v>13710</v>
      </c>
      <c r="I2814" s="136" t="s">
        <v>13711</v>
      </c>
      <c r="J2814" s="136" t="s">
        <v>13712</v>
      </c>
      <c r="L2814" s="136"/>
      <c r="M2814" s="136"/>
      <c r="N2814" s="136"/>
    </row>
    <row r="2815" spans="6:14">
      <c r="F2815" s="136" t="s">
        <v>13713</v>
      </c>
      <c r="G2815" s="136">
        <v>2812</v>
      </c>
      <c r="H2815" s="136" t="s">
        <v>1310</v>
      </c>
      <c r="I2815" s="136" t="s">
        <v>1311</v>
      </c>
      <c r="J2815" s="136" t="s">
        <v>13714</v>
      </c>
      <c r="L2815" s="136"/>
      <c r="M2815" s="136"/>
      <c r="N2815" s="136"/>
    </row>
    <row r="2816" spans="6:14">
      <c r="F2816" s="136" t="s">
        <v>13715</v>
      </c>
      <c r="G2816" s="136">
        <v>2813</v>
      </c>
      <c r="H2816" s="136" t="s">
        <v>4579</v>
      </c>
      <c r="I2816" s="136" t="s">
        <v>4580</v>
      </c>
      <c r="J2816" s="136" t="s">
        <v>13716</v>
      </c>
      <c r="L2816" s="136"/>
      <c r="M2816" s="136"/>
      <c r="N2816" s="136"/>
    </row>
    <row r="2817" spans="6:14">
      <c r="F2817" s="136" t="s">
        <v>13717</v>
      </c>
      <c r="G2817" s="136">
        <v>2814</v>
      </c>
      <c r="H2817" s="136" t="s">
        <v>6070</v>
      </c>
      <c r="I2817" s="136" t="s">
        <v>6071</v>
      </c>
      <c r="J2817" s="136" t="s">
        <v>13718</v>
      </c>
      <c r="L2817" s="136"/>
      <c r="M2817" s="136"/>
      <c r="N2817" s="136"/>
    </row>
    <row r="2818" spans="6:14">
      <c r="F2818" s="136" t="s">
        <v>13719</v>
      </c>
      <c r="G2818" s="136">
        <v>2815</v>
      </c>
      <c r="H2818" s="136" t="s">
        <v>2459</v>
      </c>
      <c r="I2818" s="136" t="s">
        <v>2460</v>
      </c>
      <c r="J2818" s="136" t="s">
        <v>13720</v>
      </c>
      <c r="L2818" s="136"/>
      <c r="M2818" s="136"/>
      <c r="N2818" s="136"/>
    </row>
    <row r="2819" spans="6:14">
      <c r="F2819" s="136" t="s">
        <v>13721</v>
      </c>
      <c r="G2819" s="136">
        <v>2816</v>
      </c>
      <c r="H2819" s="136" t="s">
        <v>2133</v>
      </c>
      <c r="I2819" s="136" t="s">
        <v>2133</v>
      </c>
      <c r="J2819" s="136" t="s">
        <v>13722</v>
      </c>
      <c r="L2819" s="136"/>
      <c r="M2819" s="136"/>
      <c r="N2819" s="136"/>
    </row>
    <row r="2820" spans="6:14">
      <c r="F2820" s="136" t="s">
        <v>13723</v>
      </c>
      <c r="G2820" s="136">
        <v>2817</v>
      </c>
      <c r="H2820" s="136" t="s">
        <v>165</v>
      </c>
      <c r="I2820" s="136" t="s">
        <v>166</v>
      </c>
      <c r="J2820" s="136" t="s">
        <v>13724</v>
      </c>
      <c r="L2820" s="136"/>
      <c r="M2820" s="136"/>
      <c r="N2820" s="136"/>
    </row>
    <row r="2821" spans="6:14">
      <c r="F2821" s="136" t="s">
        <v>13725</v>
      </c>
      <c r="G2821" s="136">
        <v>2818</v>
      </c>
      <c r="H2821" s="136" t="s">
        <v>13726</v>
      </c>
      <c r="I2821" s="136" t="s">
        <v>13727</v>
      </c>
      <c r="J2821" s="136" t="s">
        <v>13728</v>
      </c>
      <c r="L2821" s="136"/>
      <c r="M2821" s="136"/>
      <c r="N2821" s="136"/>
    </row>
    <row r="2822" spans="6:14">
      <c r="F2822" s="136" t="s">
        <v>13729</v>
      </c>
      <c r="G2822" s="136">
        <v>2819</v>
      </c>
      <c r="H2822" s="136" t="s">
        <v>104</v>
      </c>
      <c r="I2822" s="136" t="s">
        <v>105</v>
      </c>
      <c r="J2822" s="136" t="s">
        <v>13730</v>
      </c>
      <c r="L2822" s="136"/>
      <c r="M2822" s="136"/>
      <c r="N2822" s="136"/>
    </row>
    <row r="2823" spans="6:14">
      <c r="F2823" s="136" t="s">
        <v>13731</v>
      </c>
      <c r="G2823" s="136">
        <v>2820</v>
      </c>
      <c r="H2823" s="136" t="s">
        <v>13732</v>
      </c>
      <c r="I2823" s="136" t="s">
        <v>13732</v>
      </c>
      <c r="J2823" s="136" t="s">
        <v>13733</v>
      </c>
      <c r="L2823" s="136"/>
      <c r="M2823" s="136"/>
      <c r="N2823" s="136"/>
    </row>
    <row r="2824" spans="6:14">
      <c r="F2824" s="136" t="s">
        <v>13734</v>
      </c>
      <c r="G2824" s="136">
        <v>2821</v>
      </c>
      <c r="H2824" s="136" t="s">
        <v>13735</v>
      </c>
      <c r="I2824" s="136" t="s">
        <v>13736</v>
      </c>
      <c r="J2824" s="136" t="s">
        <v>13737</v>
      </c>
      <c r="L2824" s="136"/>
      <c r="M2824" s="136"/>
      <c r="N2824" s="136"/>
    </row>
    <row r="2825" spans="6:14">
      <c r="F2825" s="136" t="s">
        <v>13738</v>
      </c>
      <c r="G2825" s="136">
        <v>2822</v>
      </c>
      <c r="H2825" s="136" t="s">
        <v>5097</v>
      </c>
      <c r="I2825" s="136" t="s">
        <v>5098</v>
      </c>
      <c r="J2825" s="136" t="s">
        <v>13739</v>
      </c>
      <c r="L2825" s="136"/>
      <c r="M2825" s="136"/>
      <c r="N2825" s="136"/>
    </row>
    <row r="2826" spans="6:14">
      <c r="F2826" s="136" t="s">
        <v>13740</v>
      </c>
      <c r="G2826" s="136">
        <v>2823</v>
      </c>
      <c r="H2826" s="136" t="s">
        <v>4127</v>
      </c>
      <c r="I2826" s="136" t="s">
        <v>4128</v>
      </c>
      <c r="J2826" s="136" t="s">
        <v>13741</v>
      </c>
      <c r="L2826" s="136"/>
      <c r="M2826" s="136"/>
      <c r="N2826" s="136"/>
    </row>
    <row r="2827" spans="6:14">
      <c r="F2827" s="136" t="s">
        <v>13742</v>
      </c>
      <c r="G2827" s="136">
        <v>2824</v>
      </c>
      <c r="H2827" s="136" t="s">
        <v>13743</v>
      </c>
      <c r="I2827" s="136" t="s">
        <v>13744</v>
      </c>
      <c r="J2827" s="136" t="s">
        <v>13745</v>
      </c>
      <c r="L2827" s="136"/>
      <c r="M2827" s="136"/>
      <c r="N2827" s="136"/>
    </row>
    <row r="2828" spans="6:14">
      <c r="F2828" s="136" t="s">
        <v>13746</v>
      </c>
      <c r="G2828" s="136">
        <v>2825</v>
      </c>
      <c r="H2828" s="136" t="s">
        <v>538</v>
      </c>
      <c r="I2828" s="136" t="s">
        <v>539</v>
      </c>
      <c r="J2828" s="136" t="s">
        <v>13747</v>
      </c>
      <c r="L2828" s="136"/>
      <c r="M2828" s="136"/>
      <c r="N2828" s="136"/>
    </row>
    <row r="2829" spans="6:14">
      <c r="F2829" s="136" t="s">
        <v>13748</v>
      </c>
      <c r="G2829" s="136">
        <v>2826</v>
      </c>
      <c r="H2829" s="136" t="s">
        <v>3910</v>
      </c>
      <c r="I2829" s="136" t="s">
        <v>3911</v>
      </c>
      <c r="J2829" s="136" t="s">
        <v>13749</v>
      </c>
      <c r="L2829" s="136"/>
      <c r="M2829" s="136"/>
      <c r="N2829" s="136"/>
    </row>
    <row r="2830" spans="6:14">
      <c r="F2830" s="136" t="s">
        <v>13750</v>
      </c>
      <c r="G2830" s="136">
        <v>2827</v>
      </c>
      <c r="H2830" s="136" t="s">
        <v>2332</v>
      </c>
      <c r="I2830" s="136" t="s">
        <v>2333</v>
      </c>
      <c r="J2830" s="136" t="s">
        <v>13751</v>
      </c>
      <c r="L2830" s="136"/>
      <c r="M2830" s="136"/>
      <c r="N2830" s="136"/>
    </row>
    <row r="2831" spans="6:14">
      <c r="F2831" s="136" t="s">
        <v>13752</v>
      </c>
      <c r="G2831" s="136">
        <v>2828</v>
      </c>
      <c r="H2831" s="136" t="s">
        <v>13753</v>
      </c>
      <c r="I2831" s="136" t="s">
        <v>13754</v>
      </c>
      <c r="J2831" s="136" t="s">
        <v>13755</v>
      </c>
      <c r="L2831" s="136"/>
      <c r="M2831" s="136"/>
      <c r="N2831" s="136"/>
    </row>
    <row r="2832" spans="6:14">
      <c r="F2832" s="136" t="s">
        <v>13756</v>
      </c>
      <c r="G2832" s="136">
        <v>2829</v>
      </c>
      <c r="H2832" s="136" t="s">
        <v>13757</v>
      </c>
      <c r="I2832" s="136" t="s">
        <v>13758</v>
      </c>
      <c r="J2832" s="136" t="s">
        <v>13759</v>
      </c>
      <c r="L2832" s="136"/>
      <c r="M2832" s="136"/>
      <c r="N2832" s="136"/>
    </row>
    <row r="2833" spans="6:14">
      <c r="F2833" s="136" t="s">
        <v>13760</v>
      </c>
      <c r="G2833" s="136">
        <v>2830</v>
      </c>
      <c r="H2833" s="136" t="s">
        <v>13761</v>
      </c>
      <c r="I2833" s="136" t="s">
        <v>13762</v>
      </c>
      <c r="J2833" s="136" t="s">
        <v>13763</v>
      </c>
      <c r="L2833" s="136"/>
      <c r="M2833" s="136"/>
      <c r="N2833" s="136"/>
    </row>
    <row r="2834" spans="6:14">
      <c r="F2834" s="136" t="s">
        <v>13764</v>
      </c>
      <c r="G2834" s="136">
        <v>2831</v>
      </c>
      <c r="H2834" s="136" t="s">
        <v>13765</v>
      </c>
      <c r="I2834" s="136" t="s">
        <v>13766</v>
      </c>
      <c r="J2834" s="136" t="s">
        <v>13767</v>
      </c>
      <c r="L2834" s="136"/>
      <c r="M2834" s="136"/>
      <c r="N2834" s="136"/>
    </row>
    <row r="2835" spans="6:14">
      <c r="F2835" s="136" t="s">
        <v>13768</v>
      </c>
      <c r="G2835" s="136">
        <v>2832</v>
      </c>
      <c r="H2835" s="136" t="s">
        <v>13769</v>
      </c>
      <c r="I2835" s="136" t="s">
        <v>13770</v>
      </c>
      <c r="J2835" s="136" t="s">
        <v>13771</v>
      </c>
      <c r="L2835" s="136"/>
      <c r="M2835" s="136"/>
      <c r="N2835" s="136"/>
    </row>
    <row r="2836" spans="6:14">
      <c r="F2836" s="136" t="s">
        <v>13772</v>
      </c>
      <c r="G2836" s="136">
        <v>2833</v>
      </c>
      <c r="H2836" s="136" t="s">
        <v>13773</v>
      </c>
      <c r="I2836" s="136" t="s">
        <v>13774</v>
      </c>
      <c r="J2836" s="136" t="s">
        <v>13775</v>
      </c>
      <c r="L2836" s="136"/>
      <c r="M2836" s="136"/>
      <c r="N2836" s="136"/>
    </row>
    <row r="2837" spans="6:14">
      <c r="F2837" s="136" t="s">
        <v>13776</v>
      </c>
      <c r="G2837" s="136">
        <v>2834</v>
      </c>
      <c r="H2837" s="136" t="s">
        <v>2744</v>
      </c>
      <c r="I2837" s="136" t="s">
        <v>2755</v>
      </c>
      <c r="J2837" s="136" t="s">
        <v>13777</v>
      </c>
      <c r="L2837" s="136"/>
      <c r="M2837" s="136"/>
      <c r="N2837" s="136"/>
    </row>
    <row r="2838" spans="6:14">
      <c r="F2838" s="136" t="s">
        <v>13778</v>
      </c>
      <c r="G2838" s="136">
        <v>2835</v>
      </c>
      <c r="H2838" s="136" t="s">
        <v>13779</v>
      </c>
      <c r="I2838" s="136" t="s">
        <v>13780</v>
      </c>
      <c r="J2838" s="136" t="s">
        <v>13781</v>
      </c>
      <c r="L2838" s="136"/>
      <c r="M2838" s="136"/>
      <c r="N2838" s="136"/>
    </row>
    <row r="2839" spans="6:14">
      <c r="F2839" s="136" t="s">
        <v>13782</v>
      </c>
      <c r="G2839" s="136">
        <v>2836</v>
      </c>
      <c r="H2839" s="136" t="s">
        <v>13783</v>
      </c>
      <c r="I2839" s="136" t="s">
        <v>13784</v>
      </c>
      <c r="J2839" s="136" t="s">
        <v>13785</v>
      </c>
      <c r="L2839" s="136"/>
      <c r="M2839" s="136"/>
      <c r="N2839" s="136"/>
    </row>
    <row r="2840" spans="6:14">
      <c r="F2840" s="136" t="s">
        <v>13786</v>
      </c>
      <c r="G2840" s="136">
        <v>2837</v>
      </c>
      <c r="H2840" s="136" t="s">
        <v>13787</v>
      </c>
      <c r="I2840" s="136" t="s">
        <v>13788</v>
      </c>
      <c r="J2840" s="136" t="s">
        <v>13789</v>
      </c>
      <c r="L2840" s="136"/>
      <c r="M2840" s="136"/>
      <c r="N2840" s="136"/>
    </row>
    <row r="2841" spans="6:14">
      <c r="F2841" s="136" t="s">
        <v>13790</v>
      </c>
      <c r="G2841" s="136">
        <v>2838</v>
      </c>
      <c r="H2841" s="136" t="s">
        <v>13791</v>
      </c>
      <c r="I2841" s="136" t="s">
        <v>13792</v>
      </c>
      <c r="J2841" s="136" t="s">
        <v>13793</v>
      </c>
      <c r="L2841" s="136"/>
      <c r="M2841" s="136"/>
      <c r="N2841" s="136"/>
    </row>
    <row r="2842" spans="6:14">
      <c r="F2842" s="136" t="s">
        <v>13794</v>
      </c>
      <c r="G2842" s="136">
        <v>2839</v>
      </c>
      <c r="H2842" s="136" t="s">
        <v>13795</v>
      </c>
      <c r="I2842" s="136" t="s">
        <v>13796</v>
      </c>
      <c r="J2842" s="136" t="s">
        <v>13797</v>
      </c>
      <c r="L2842" s="136"/>
      <c r="M2842" s="136"/>
      <c r="N2842" s="136"/>
    </row>
    <row r="2843" spans="6:14">
      <c r="F2843" s="136" t="s">
        <v>13798</v>
      </c>
      <c r="G2843" s="136">
        <v>2840</v>
      </c>
      <c r="H2843" s="136" t="s">
        <v>13799</v>
      </c>
      <c r="I2843" s="136" t="s">
        <v>13800</v>
      </c>
      <c r="J2843" s="136" t="s">
        <v>13801</v>
      </c>
      <c r="L2843" s="136"/>
      <c r="M2843" s="136"/>
      <c r="N2843" s="136"/>
    </row>
    <row r="2844" spans="6:14">
      <c r="F2844" s="136" t="s">
        <v>13802</v>
      </c>
      <c r="G2844" s="136">
        <v>2841</v>
      </c>
      <c r="H2844" s="136" t="s">
        <v>13803</v>
      </c>
      <c r="I2844" s="136" t="s">
        <v>13804</v>
      </c>
      <c r="J2844" s="136" t="s">
        <v>13805</v>
      </c>
      <c r="L2844" s="136"/>
      <c r="M2844" s="136"/>
      <c r="N2844" s="136"/>
    </row>
    <row r="2845" spans="6:14">
      <c r="F2845" s="136" t="s">
        <v>13806</v>
      </c>
      <c r="G2845" s="136">
        <v>2842</v>
      </c>
      <c r="H2845" s="136" t="s">
        <v>2166</v>
      </c>
      <c r="I2845" s="136" t="s">
        <v>2167</v>
      </c>
      <c r="J2845" s="136" t="s">
        <v>13807</v>
      </c>
      <c r="L2845" s="136"/>
      <c r="M2845" s="136"/>
      <c r="N2845" s="136"/>
    </row>
    <row r="2846" spans="6:14">
      <c r="F2846" s="136" t="s">
        <v>13808</v>
      </c>
      <c r="G2846" s="136">
        <v>2843</v>
      </c>
      <c r="H2846" s="136" t="s">
        <v>13809</v>
      </c>
      <c r="I2846" s="136" t="s">
        <v>13809</v>
      </c>
      <c r="J2846" s="136" t="s">
        <v>13810</v>
      </c>
      <c r="L2846" s="136"/>
      <c r="M2846" s="136"/>
      <c r="N2846" s="136"/>
    </row>
    <row r="2847" spans="6:14">
      <c r="F2847" s="136" t="s">
        <v>13811</v>
      </c>
      <c r="G2847" s="136">
        <v>2844</v>
      </c>
      <c r="H2847" s="136" t="s">
        <v>13812</v>
      </c>
      <c r="I2847" s="136" t="s">
        <v>13813</v>
      </c>
      <c r="J2847" s="136" t="s">
        <v>13814</v>
      </c>
      <c r="L2847" s="136"/>
      <c r="M2847" s="136"/>
      <c r="N2847" s="136"/>
    </row>
    <row r="2848" spans="6:14">
      <c r="F2848" s="136" t="s">
        <v>13815</v>
      </c>
      <c r="G2848" s="136">
        <v>2845</v>
      </c>
      <c r="H2848" s="136" t="s">
        <v>13816</v>
      </c>
      <c r="I2848" s="136" t="s">
        <v>13817</v>
      </c>
      <c r="J2848" s="136" t="s">
        <v>13818</v>
      </c>
      <c r="L2848" s="136"/>
      <c r="M2848" s="136"/>
      <c r="N2848" s="136"/>
    </row>
    <row r="2849" spans="6:14">
      <c r="F2849" s="136" t="s">
        <v>13819</v>
      </c>
      <c r="G2849" s="136">
        <v>2846</v>
      </c>
      <c r="H2849" s="136" t="s">
        <v>2202</v>
      </c>
      <c r="I2849" s="136" t="s">
        <v>2202</v>
      </c>
      <c r="J2849" s="136" t="s">
        <v>13820</v>
      </c>
      <c r="L2849" s="136"/>
      <c r="M2849" s="136"/>
      <c r="N2849" s="136"/>
    </row>
    <row r="2850" spans="6:14">
      <c r="F2850" s="136" t="s">
        <v>13821</v>
      </c>
      <c r="G2850" s="136">
        <v>2847</v>
      </c>
      <c r="H2850" s="136" t="s">
        <v>5919</v>
      </c>
      <c r="I2850" s="136" t="s">
        <v>5920</v>
      </c>
      <c r="J2850" s="136" t="s">
        <v>13822</v>
      </c>
      <c r="L2850" s="136"/>
      <c r="M2850" s="136"/>
      <c r="N2850" s="136"/>
    </row>
    <row r="2851" spans="6:14">
      <c r="F2851" s="136" t="s">
        <v>13823</v>
      </c>
      <c r="G2851" s="136">
        <v>2848</v>
      </c>
      <c r="H2851" s="136" t="s">
        <v>1616</v>
      </c>
      <c r="I2851" s="136" t="s">
        <v>1616</v>
      </c>
      <c r="J2851" s="136" t="s">
        <v>13824</v>
      </c>
      <c r="L2851" s="136"/>
      <c r="M2851" s="136"/>
      <c r="N2851" s="136"/>
    </row>
    <row r="2852" spans="6:14">
      <c r="F2852" s="136" t="s">
        <v>13825</v>
      </c>
      <c r="G2852" s="136">
        <v>2849</v>
      </c>
      <c r="H2852" s="136" t="s">
        <v>13826</v>
      </c>
      <c r="I2852" s="136" t="s">
        <v>13827</v>
      </c>
      <c r="J2852" s="136" t="s">
        <v>13828</v>
      </c>
      <c r="L2852" s="136"/>
      <c r="M2852" s="136"/>
      <c r="N2852" s="136"/>
    </row>
    <row r="2853" spans="6:14">
      <c r="F2853" s="136" t="s">
        <v>13829</v>
      </c>
      <c r="G2853" s="136">
        <v>2850</v>
      </c>
      <c r="H2853" s="136" t="s">
        <v>6018</v>
      </c>
      <c r="I2853" s="136" t="s">
        <v>6019</v>
      </c>
      <c r="J2853" s="136" t="s">
        <v>13830</v>
      </c>
      <c r="L2853" s="136"/>
      <c r="M2853" s="136"/>
      <c r="N2853" s="136"/>
    </row>
    <row r="2854" spans="6:14">
      <c r="F2854" s="136" t="s">
        <v>13831</v>
      </c>
      <c r="G2854" s="136">
        <v>2851</v>
      </c>
      <c r="H2854" s="136" t="s">
        <v>5465</v>
      </c>
      <c r="I2854" s="136" t="s">
        <v>5466</v>
      </c>
      <c r="J2854" s="136" t="s">
        <v>13832</v>
      </c>
      <c r="L2854" s="136"/>
      <c r="M2854" s="136"/>
      <c r="N2854" s="136"/>
    </row>
    <row r="2855" spans="6:14">
      <c r="F2855" s="136" t="s">
        <v>13833</v>
      </c>
      <c r="G2855" s="136">
        <v>2852</v>
      </c>
      <c r="H2855" s="136" t="s">
        <v>13834</v>
      </c>
      <c r="I2855" s="136" t="s">
        <v>13835</v>
      </c>
      <c r="J2855" s="136" t="s">
        <v>13836</v>
      </c>
      <c r="L2855" s="136"/>
      <c r="M2855" s="136"/>
      <c r="N2855" s="136"/>
    </row>
    <row r="2856" spans="6:14">
      <c r="F2856" s="136" t="s">
        <v>13837</v>
      </c>
      <c r="G2856" s="136">
        <v>2853</v>
      </c>
      <c r="H2856" s="136" t="s">
        <v>13838</v>
      </c>
      <c r="I2856" s="136" t="s">
        <v>13838</v>
      </c>
      <c r="J2856" s="136" t="s">
        <v>13839</v>
      </c>
      <c r="L2856" s="136"/>
      <c r="M2856" s="136"/>
      <c r="N2856" s="136"/>
    </row>
    <row r="2857" spans="6:14">
      <c r="F2857" s="136" t="s">
        <v>13840</v>
      </c>
      <c r="G2857" s="136">
        <v>2854</v>
      </c>
      <c r="H2857" s="136" t="s">
        <v>13841</v>
      </c>
      <c r="I2857" s="136" t="s">
        <v>13842</v>
      </c>
      <c r="J2857" s="136" t="s">
        <v>13843</v>
      </c>
      <c r="L2857" s="136"/>
      <c r="M2857" s="136"/>
      <c r="N2857" s="136"/>
    </row>
    <row r="2858" spans="6:14">
      <c r="F2858" s="136" t="s">
        <v>13844</v>
      </c>
      <c r="G2858" s="136">
        <v>2855</v>
      </c>
      <c r="H2858" s="136" t="s">
        <v>13845</v>
      </c>
      <c r="I2858" s="136" t="s">
        <v>13846</v>
      </c>
      <c r="J2858" s="136" t="s">
        <v>13847</v>
      </c>
      <c r="L2858" s="136"/>
      <c r="M2858" s="136"/>
      <c r="N2858" s="136"/>
    </row>
    <row r="2859" spans="6:14">
      <c r="F2859" s="136" t="s">
        <v>13848</v>
      </c>
      <c r="G2859" s="136">
        <v>2856</v>
      </c>
      <c r="H2859" s="136" t="s">
        <v>2308</v>
      </c>
      <c r="I2859" s="136" t="s">
        <v>2309</v>
      </c>
      <c r="J2859" s="136" t="s">
        <v>13849</v>
      </c>
      <c r="L2859" s="136"/>
      <c r="M2859" s="136"/>
      <c r="N2859" s="136"/>
    </row>
    <row r="2860" spans="6:14">
      <c r="F2860" s="136" t="s">
        <v>13850</v>
      </c>
      <c r="G2860" s="136">
        <v>2857</v>
      </c>
      <c r="H2860" s="136" t="s">
        <v>13851</v>
      </c>
      <c r="I2860" s="136" t="s">
        <v>13852</v>
      </c>
      <c r="J2860" s="136" t="s">
        <v>13853</v>
      </c>
      <c r="L2860" s="136"/>
      <c r="M2860" s="136"/>
      <c r="N2860" s="136"/>
    </row>
    <row r="2861" spans="6:14">
      <c r="F2861" s="136" t="s">
        <v>13854</v>
      </c>
      <c r="G2861" s="136">
        <v>2858</v>
      </c>
      <c r="H2861" s="136" t="s">
        <v>1636</v>
      </c>
      <c r="I2861" s="136" t="s">
        <v>1641</v>
      </c>
      <c r="J2861" s="136" t="s">
        <v>13855</v>
      </c>
      <c r="L2861" s="136"/>
      <c r="M2861" s="136"/>
      <c r="N2861" s="136"/>
    </row>
    <row r="2862" spans="6:14">
      <c r="F2862" s="136" t="s">
        <v>13856</v>
      </c>
      <c r="G2862" s="136">
        <v>2859</v>
      </c>
      <c r="H2862" s="136" t="s">
        <v>13857</v>
      </c>
      <c r="I2862" s="136" t="s">
        <v>13858</v>
      </c>
      <c r="J2862" s="136" t="s">
        <v>13859</v>
      </c>
      <c r="L2862" s="136"/>
      <c r="M2862" s="136"/>
      <c r="N2862" s="136"/>
    </row>
    <row r="2863" spans="6:14">
      <c r="F2863" s="136" t="s">
        <v>13860</v>
      </c>
      <c r="G2863" s="136">
        <v>2860</v>
      </c>
      <c r="H2863" s="136" t="s">
        <v>13861</v>
      </c>
      <c r="I2863" s="136" t="s">
        <v>13862</v>
      </c>
      <c r="J2863" s="136" t="s">
        <v>13863</v>
      </c>
      <c r="L2863" s="136"/>
      <c r="M2863" s="136"/>
      <c r="N2863" s="136"/>
    </row>
    <row r="2864" spans="6:14">
      <c r="F2864" s="136" t="s">
        <v>13864</v>
      </c>
      <c r="G2864" s="136">
        <v>2861</v>
      </c>
      <c r="H2864" s="136" t="s">
        <v>13865</v>
      </c>
      <c r="I2864" s="136" t="s">
        <v>13866</v>
      </c>
      <c r="J2864" s="136" t="s">
        <v>13867</v>
      </c>
      <c r="L2864" s="136"/>
      <c r="M2864" s="136"/>
      <c r="N2864" s="136"/>
    </row>
    <row r="2865" spans="6:14">
      <c r="F2865" s="136" t="s">
        <v>13868</v>
      </c>
      <c r="G2865" s="136">
        <v>2862</v>
      </c>
      <c r="H2865" s="136" t="s">
        <v>13869</v>
      </c>
      <c r="I2865" s="136" t="s">
        <v>13870</v>
      </c>
      <c r="J2865" s="136" t="s">
        <v>13871</v>
      </c>
      <c r="L2865" s="136"/>
      <c r="M2865" s="136"/>
      <c r="N2865" s="136"/>
    </row>
    <row r="2866" spans="6:14">
      <c r="F2866" s="136" t="s">
        <v>13872</v>
      </c>
      <c r="G2866" s="136">
        <v>2863</v>
      </c>
      <c r="H2866" s="136" t="s">
        <v>2076</v>
      </c>
      <c r="I2866" s="136" t="s">
        <v>2076</v>
      </c>
      <c r="J2866" s="136" t="s">
        <v>13873</v>
      </c>
      <c r="L2866" s="136"/>
      <c r="M2866" s="136"/>
      <c r="N2866" s="136"/>
    </row>
    <row r="2867" spans="6:14">
      <c r="F2867" s="136" t="s">
        <v>13874</v>
      </c>
      <c r="G2867" s="136">
        <v>2864</v>
      </c>
      <c r="H2867" s="136" t="s">
        <v>13875</v>
      </c>
      <c r="I2867" s="136" t="s">
        <v>13876</v>
      </c>
      <c r="J2867" s="136" t="s">
        <v>13877</v>
      </c>
      <c r="L2867" s="136"/>
      <c r="M2867" s="136"/>
      <c r="N2867" s="136"/>
    </row>
    <row r="2868" spans="6:14">
      <c r="F2868" s="136" t="s">
        <v>13878</v>
      </c>
      <c r="G2868" s="136">
        <v>2865</v>
      </c>
      <c r="H2868" s="136" t="s">
        <v>13879</v>
      </c>
      <c r="I2868" s="136" t="s">
        <v>13880</v>
      </c>
      <c r="J2868" s="136" t="s">
        <v>13881</v>
      </c>
      <c r="L2868" s="136"/>
      <c r="M2868" s="136"/>
      <c r="N2868" s="136"/>
    </row>
    <row r="2869" spans="6:14">
      <c r="F2869" s="136" t="s">
        <v>13882</v>
      </c>
      <c r="G2869" s="136">
        <v>2866</v>
      </c>
      <c r="H2869" s="136" t="s">
        <v>13883</v>
      </c>
      <c r="I2869" s="136" t="s">
        <v>13884</v>
      </c>
      <c r="J2869" s="136" t="s">
        <v>13885</v>
      </c>
      <c r="L2869" s="136"/>
      <c r="M2869" s="136"/>
      <c r="N2869" s="136"/>
    </row>
    <row r="2870" spans="6:14">
      <c r="F2870" s="136" t="s">
        <v>13886</v>
      </c>
      <c r="G2870" s="136">
        <v>2867</v>
      </c>
      <c r="H2870" s="136" t="s">
        <v>13887</v>
      </c>
      <c r="I2870" s="136" t="s">
        <v>13888</v>
      </c>
      <c r="J2870" s="136" t="s">
        <v>13889</v>
      </c>
      <c r="L2870" s="136"/>
      <c r="M2870" s="136"/>
      <c r="N2870" s="136"/>
    </row>
    <row r="2871" spans="6:14">
      <c r="F2871" s="136" t="s">
        <v>13890</v>
      </c>
      <c r="G2871" s="136">
        <v>2868</v>
      </c>
      <c r="H2871" s="136" t="s">
        <v>13891</v>
      </c>
      <c r="I2871" s="136" t="s">
        <v>13892</v>
      </c>
      <c r="J2871" s="136" t="s">
        <v>13893</v>
      </c>
      <c r="L2871" s="136"/>
      <c r="M2871" s="136"/>
      <c r="N2871" s="136"/>
    </row>
    <row r="2872" spans="6:14">
      <c r="F2872" s="136" t="s">
        <v>13894</v>
      </c>
      <c r="G2872" s="136">
        <v>2869</v>
      </c>
      <c r="H2872" s="136" t="s">
        <v>13895</v>
      </c>
      <c r="I2872" s="136" t="s">
        <v>13896</v>
      </c>
      <c r="J2872" s="136" t="s">
        <v>13897</v>
      </c>
      <c r="L2872" s="136"/>
      <c r="M2872" s="136"/>
      <c r="N2872" s="136"/>
    </row>
    <row r="2873" spans="6:14">
      <c r="F2873" s="136" t="s">
        <v>13898</v>
      </c>
      <c r="G2873" s="136">
        <v>2870</v>
      </c>
      <c r="H2873" s="136" t="s">
        <v>13899</v>
      </c>
      <c r="I2873" s="136" t="s">
        <v>13900</v>
      </c>
      <c r="J2873" s="136" t="s">
        <v>13901</v>
      </c>
      <c r="L2873" s="136"/>
      <c r="M2873" s="136"/>
      <c r="N2873" s="136"/>
    </row>
    <row r="2874" spans="6:14">
      <c r="F2874" s="136" t="s">
        <v>13902</v>
      </c>
      <c r="G2874" s="136">
        <v>2871</v>
      </c>
      <c r="H2874" s="136" t="s">
        <v>13903</v>
      </c>
      <c r="I2874" s="136" t="s">
        <v>13904</v>
      </c>
      <c r="J2874" s="136" t="s">
        <v>13905</v>
      </c>
      <c r="L2874" s="136"/>
      <c r="M2874" s="136"/>
      <c r="N2874" s="136"/>
    </row>
    <row r="2875" spans="6:14">
      <c r="F2875" s="136" t="s">
        <v>13906</v>
      </c>
      <c r="G2875" s="136">
        <v>2872</v>
      </c>
      <c r="H2875" s="136" t="s">
        <v>13907</v>
      </c>
      <c r="I2875" s="136" t="s">
        <v>13908</v>
      </c>
      <c r="J2875" s="136" t="s">
        <v>13909</v>
      </c>
      <c r="L2875" s="136"/>
      <c r="M2875" s="136"/>
      <c r="N2875" s="136"/>
    </row>
    <row r="2876" spans="6:14">
      <c r="F2876" s="136" t="s">
        <v>13910</v>
      </c>
      <c r="G2876" s="136">
        <v>2873</v>
      </c>
      <c r="H2876" s="136" t="s">
        <v>13911</v>
      </c>
      <c r="I2876" s="136" t="s">
        <v>13912</v>
      </c>
      <c r="J2876" s="136" t="s">
        <v>13913</v>
      </c>
      <c r="L2876" s="136"/>
      <c r="M2876" s="136"/>
      <c r="N2876" s="136"/>
    </row>
    <row r="2877" spans="6:14">
      <c r="F2877" s="136" t="s">
        <v>13914</v>
      </c>
      <c r="G2877" s="136">
        <v>2874</v>
      </c>
      <c r="H2877" s="136" t="s">
        <v>3049</v>
      </c>
      <c r="I2877" s="136" t="s">
        <v>3050</v>
      </c>
      <c r="J2877" s="136" t="s">
        <v>13915</v>
      </c>
      <c r="L2877" s="136"/>
      <c r="M2877" s="136"/>
      <c r="N2877" s="136"/>
    </row>
    <row r="2878" spans="6:14">
      <c r="F2878" s="136" t="s">
        <v>13916</v>
      </c>
      <c r="G2878" s="136">
        <v>2875</v>
      </c>
      <c r="H2878" s="136" t="s">
        <v>2019</v>
      </c>
      <c r="I2878" s="136" t="s">
        <v>2020</v>
      </c>
      <c r="J2878" s="136" t="s">
        <v>13917</v>
      </c>
      <c r="L2878" s="136"/>
      <c r="M2878" s="136"/>
      <c r="N2878" s="136"/>
    </row>
    <row r="2879" spans="6:14">
      <c r="F2879" s="136" t="s">
        <v>13918</v>
      </c>
      <c r="G2879" s="136">
        <v>2876</v>
      </c>
      <c r="H2879" s="136" t="s">
        <v>13919</v>
      </c>
      <c r="I2879" s="136" t="s">
        <v>13920</v>
      </c>
      <c r="J2879" s="136" t="s">
        <v>13921</v>
      </c>
      <c r="L2879" s="136"/>
      <c r="M2879" s="136"/>
      <c r="N2879" s="136"/>
    </row>
    <row r="2880" spans="6:14">
      <c r="F2880" s="136" t="s">
        <v>13922</v>
      </c>
      <c r="G2880" s="136">
        <v>2877</v>
      </c>
      <c r="H2880" s="136" t="s">
        <v>13923</v>
      </c>
      <c r="I2880" s="136" t="s">
        <v>13924</v>
      </c>
      <c r="J2880" s="136" t="s">
        <v>13925</v>
      </c>
      <c r="L2880" s="136"/>
      <c r="M2880" s="136"/>
      <c r="N2880" s="136"/>
    </row>
    <row r="2881" spans="6:14">
      <c r="F2881" s="136" t="s">
        <v>13926</v>
      </c>
      <c r="G2881" s="136">
        <v>2878</v>
      </c>
      <c r="H2881" s="136" t="s">
        <v>13927</v>
      </c>
      <c r="I2881" s="136" t="s">
        <v>13928</v>
      </c>
      <c r="J2881" s="136" t="s">
        <v>13929</v>
      </c>
      <c r="L2881" s="136"/>
      <c r="M2881" s="136"/>
      <c r="N2881" s="136"/>
    </row>
    <row r="2882" spans="6:14">
      <c r="F2882" s="136" t="s">
        <v>13930</v>
      </c>
      <c r="G2882" s="136">
        <v>2879</v>
      </c>
      <c r="H2882" s="136" t="s">
        <v>13931</v>
      </c>
      <c r="I2882" s="136" t="s">
        <v>13932</v>
      </c>
      <c r="J2882" s="136" t="s">
        <v>13933</v>
      </c>
      <c r="L2882" s="136"/>
      <c r="M2882" s="136"/>
      <c r="N2882" s="136"/>
    </row>
    <row r="2883" spans="6:14">
      <c r="F2883" s="136" t="s">
        <v>13934</v>
      </c>
      <c r="G2883" s="136">
        <v>2880</v>
      </c>
      <c r="H2883" s="136" t="s">
        <v>13935</v>
      </c>
      <c r="I2883" s="136" t="s">
        <v>13936</v>
      </c>
      <c r="J2883" s="136" t="s">
        <v>13937</v>
      </c>
      <c r="L2883" s="136"/>
      <c r="M2883" s="136"/>
      <c r="N2883" s="136"/>
    </row>
    <row r="2884" spans="6:14">
      <c r="F2884" s="136" t="s">
        <v>13938</v>
      </c>
      <c r="G2884" s="136">
        <v>2881</v>
      </c>
      <c r="H2884" s="136" t="s">
        <v>13939</v>
      </c>
      <c r="I2884" s="136" t="s">
        <v>13940</v>
      </c>
      <c r="J2884" s="136" t="s">
        <v>13941</v>
      </c>
      <c r="L2884" s="136"/>
      <c r="M2884" s="136"/>
      <c r="N2884" s="136"/>
    </row>
    <row r="2885" spans="6:14">
      <c r="F2885" s="136" t="s">
        <v>13942</v>
      </c>
      <c r="G2885" s="136">
        <v>2882</v>
      </c>
      <c r="H2885" s="136" t="s">
        <v>13943</v>
      </c>
      <c r="I2885" s="136" t="s">
        <v>13944</v>
      </c>
      <c r="J2885" s="136" t="s">
        <v>13945</v>
      </c>
      <c r="L2885" s="136"/>
      <c r="M2885" s="136"/>
      <c r="N2885" s="136"/>
    </row>
    <row r="2886" spans="6:14">
      <c r="F2886" s="136" t="s">
        <v>13946</v>
      </c>
      <c r="G2886" s="136">
        <v>2883</v>
      </c>
      <c r="H2886" s="136" t="s">
        <v>1266</v>
      </c>
      <c r="I2886" s="136" t="s">
        <v>1267</v>
      </c>
      <c r="J2886" s="136" t="s">
        <v>13947</v>
      </c>
      <c r="L2886" s="136"/>
      <c r="M2886" s="136"/>
      <c r="N2886" s="136"/>
    </row>
    <row r="2887" spans="6:14">
      <c r="F2887" s="136" t="s">
        <v>13948</v>
      </c>
      <c r="G2887" s="136">
        <v>2884</v>
      </c>
      <c r="H2887" s="136" t="s">
        <v>13949</v>
      </c>
      <c r="I2887" s="136" t="s">
        <v>13949</v>
      </c>
      <c r="J2887" s="136" t="s">
        <v>13950</v>
      </c>
      <c r="L2887" s="136"/>
      <c r="M2887" s="136"/>
      <c r="N2887" s="136"/>
    </row>
    <row r="2888" spans="6:14">
      <c r="F2888" s="136" t="s">
        <v>13951</v>
      </c>
      <c r="G2888" s="136">
        <v>2885</v>
      </c>
      <c r="H2888" s="136" t="s">
        <v>4646</v>
      </c>
      <c r="I2888" s="136" t="s">
        <v>4647</v>
      </c>
      <c r="J2888" s="136" t="s">
        <v>13952</v>
      </c>
      <c r="L2888" s="136"/>
      <c r="M2888" s="136"/>
      <c r="N2888" s="136"/>
    </row>
    <row r="2889" spans="6:14">
      <c r="F2889" s="136" t="s">
        <v>13953</v>
      </c>
      <c r="G2889" s="136">
        <v>2886</v>
      </c>
      <c r="H2889" s="136" t="s">
        <v>342</v>
      </c>
      <c r="I2889" s="136" t="s">
        <v>343</v>
      </c>
      <c r="J2889" s="136" t="s">
        <v>13954</v>
      </c>
      <c r="L2889" s="136"/>
      <c r="M2889" s="136"/>
      <c r="N2889" s="136"/>
    </row>
    <row r="2890" spans="6:14">
      <c r="F2890" s="136" t="s">
        <v>13955</v>
      </c>
      <c r="G2890" s="136">
        <v>2887</v>
      </c>
      <c r="H2890" s="136" t="s">
        <v>2506</v>
      </c>
      <c r="I2890" s="136" t="s">
        <v>2507</v>
      </c>
      <c r="J2890" s="136" t="s">
        <v>13956</v>
      </c>
      <c r="L2890" s="136"/>
      <c r="M2890" s="136"/>
      <c r="N2890" s="136"/>
    </row>
    <row r="2891" spans="6:14">
      <c r="F2891" s="136" t="s">
        <v>13957</v>
      </c>
      <c r="G2891" s="136">
        <v>2888</v>
      </c>
      <c r="H2891" s="136" t="s">
        <v>13958</v>
      </c>
      <c r="I2891" s="136" t="s">
        <v>13959</v>
      </c>
      <c r="J2891" s="136" t="s">
        <v>13960</v>
      </c>
      <c r="L2891" s="136"/>
      <c r="M2891" s="136"/>
      <c r="N2891" s="136"/>
    </row>
    <row r="2892" spans="6:14">
      <c r="F2892" s="136" t="s">
        <v>13961</v>
      </c>
      <c r="G2892" s="136">
        <v>2889</v>
      </c>
      <c r="H2892" s="136" t="s">
        <v>13962</v>
      </c>
      <c r="I2892" s="136" t="s">
        <v>13963</v>
      </c>
      <c r="J2892" s="136" t="s">
        <v>13964</v>
      </c>
      <c r="L2892" s="136"/>
      <c r="M2892" s="136"/>
      <c r="N2892" s="136"/>
    </row>
    <row r="2893" spans="6:14">
      <c r="F2893" s="136" t="s">
        <v>13965</v>
      </c>
      <c r="G2893" s="136">
        <v>2890</v>
      </c>
      <c r="H2893" s="136" t="s">
        <v>13966</v>
      </c>
      <c r="I2893" s="136" t="s">
        <v>13967</v>
      </c>
      <c r="J2893" s="136" t="s">
        <v>13968</v>
      </c>
      <c r="L2893" s="136"/>
      <c r="M2893" s="136"/>
      <c r="N2893" s="136"/>
    </row>
    <row r="2894" spans="6:14">
      <c r="F2894" s="136" t="s">
        <v>13969</v>
      </c>
      <c r="G2894" s="136">
        <v>2891</v>
      </c>
      <c r="H2894" s="136" t="s">
        <v>13970</v>
      </c>
      <c r="I2894" s="136" t="s">
        <v>13971</v>
      </c>
      <c r="J2894" s="136" t="s">
        <v>13972</v>
      </c>
      <c r="L2894" s="136"/>
      <c r="M2894" s="136"/>
      <c r="N2894" s="136"/>
    </row>
    <row r="2895" spans="6:14">
      <c r="F2895" s="136" t="s">
        <v>13973</v>
      </c>
      <c r="G2895" s="136">
        <v>2892</v>
      </c>
      <c r="H2895" s="136" t="s">
        <v>2162</v>
      </c>
      <c r="I2895" s="136" t="s">
        <v>2163</v>
      </c>
      <c r="J2895" s="136" t="s">
        <v>13974</v>
      </c>
      <c r="L2895" s="136"/>
      <c r="M2895" s="136"/>
      <c r="N2895" s="136"/>
    </row>
    <row r="2896" spans="6:14">
      <c r="F2896" s="136" t="s">
        <v>13975</v>
      </c>
      <c r="G2896" s="136">
        <v>2893</v>
      </c>
      <c r="H2896" s="136" t="s">
        <v>13976</v>
      </c>
      <c r="I2896" s="136" t="s">
        <v>13977</v>
      </c>
      <c r="J2896" s="136" t="s">
        <v>13978</v>
      </c>
      <c r="L2896" s="136"/>
      <c r="M2896" s="136"/>
      <c r="N2896" s="136"/>
    </row>
    <row r="2897" spans="6:14">
      <c r="F2897" s="136" t="s">
        <v>13979</v>
      </c>
      <c r="G2897" s="136">
        <v>2894</v>
      </c>
      <c r="H2897" s="136" t="s">
        <v>13980</v>
      </c>
      <c r="I2897" s="136" t="s">
        <v>13981</v>
      </c>
      <c r="J2897" s="136" t="s">
        <v>13982</v>
      </c>
      <c r="L2897" s="136"/>
      <c r="M2897" s="136"/>
      <c r="N2897" s="136"/>
    </row>
    <row r="2898" spans="6:14">
      <c r="F2898" s="136" t="s">
        <v>13983</v>
      </c>
      <c r="G2898" s="136">
        <v>2895</v>
      </c>
      <c r="H2898" s="136" t="s">
        <v>13984</v>
      </c>
      <c r="I2898" s="136" t="s">
        <v>13985</v>
      </c>
      <c r="J2898" s="136" t="s">
        <v>13986</v>
      </c>
      <c r="L2898" s="136"/>
      <c r="M2898" s="136"/>
      <c r="N2898" s="136"/>
    </row>
    <row r="2899" spans="6:14">
      <c r="F2899" s="136" t="s">
        <v>13987</v>
      </c>
      <c r="G2899" s="136">
        <v>2896</v>
      </c>
      <c r="H2899" s="136" t="s">
        <v>13988</v>
      </c>
      <c r="I2899" s="136" t="s">
        <v>13989</v>
      </c>
      <c r="J2899" s="136" t="s">
        <v>13990</v>
      </c>
      <c r="L2899" s="136"/>
      <c r="M2899" s="136"/>
      <c r="N2899" s="136"/>
    </row>
    <row r="2900" spans="6:14">
      <c r="F2900" s="136" t="s">
        <v>13991</v>
      </c>
      <c r="G2900" s="136">
        <v>2897</v>
      </c>
      <c r="H2900" s="136" t="s">
        <v>13267</v>
      </c>
      <c r="I2900" s="136" t="s">
        <v>13267</v>
      </c>
      <c r="J2900" s="136" t="s">
        <v>13992</v>
      </c>
      <c r="L2900" s="136"/>
      <c r="M2900" s="136"/>
      <c r="N2900" s="136"/>
    </row>
    <row r="2901" spans="6:14">
      <c r="F2901" s="136" t="s">
        <v>13993</v>
      </c>
      <c r="G2901" s="136">
        <v>2898</v>
      </c>
      <c r="H2901" s="136" t="s">
        <v>1137</v>
      </c>
      <c r="I2901" s="136" t="s">
        <v>1137</v>
      </c>
      <c r="J2901" s="136" t="s">
        <v>13994</v>
      </c>
      <c r="L2901" s="136"/>
      <c r="M2901" s="136"/>
      <c r="N2901" s="136"/>
    </row>
    <row r="2902" spans="6:14">
      <c r="F2902" s="136" t="s">
        <v>13995</v>
      </c>
      <c r="G2902" s="136">
        <v>2899</v>
      </c>
      <c r="H2902" s="136" t="s">
        <v>13996</v>
      </c>
      <c r="I2902" s="136" t="s">
        <v>13997</v>
      </c>
      <c r="J2902" s="136" t="s">
        <v>13998</v>
      </c>
      <c r="L2902" s="136"/>
      <c r="M2902" s="136"/>
      <c r="N2902" s="136"/>
    </row>
    <row r="2903" spans="6:14">
      <c r="F2903" s="136" t="s">
        <v>13999</v>
      </c>
      <c r="G2903" s="136">
        <v>2900</v>
      </c>
      <c r="H2903" s="136" t="s">
        <v>2134</v>
      </c>
      <c r="I2903" s="136" t="s">
        <v>2135</v>
      </c>
      <c r="J2903" s="136" t="s">
        <v>14000</v>
      </c>
      <c r="L2903" s="136"/>
      <c r="M2903" s="136"/>
      <c r="N2903" s="136"/>
    </row>
    <row r="2904" spans="6:14">
      <c r="F2904" s="136" t="s">
        <v>14001</v>
      </c>
      <c r="G2904" s="136">
        <v>2901</v>
      </c>
      <c r="H2904" s="136" t="s">
        <v>41</v>
      </c>
      <c r="I2904" s="136" t="s">
        <v>42</v>
      </c>
      <c r="J2904" s="136" t="s">
        <v>14002</v>
      </c>
      <c r="L2904" s="136"/>
      <c r="M2904" s="136"/>
      <c r="N2904" s="136"/>
    </row>
    <row r="2905" spans="6:14">
      <c r="F2905" s="136" t="s">
        <v>14003</v>
      </c>
      <c r="G2905" s="136">
        <v>2902</v>
      </c>
      <c r="H2905" s="136" t="s">
        <v>5278</v>
      </c>
      <c r="I2905" s="136" t="s">
        <v>5278</v>
      </c>
      <c r="J2905" s="136" t="s">
        <v>14004</v>
      </c>
      <c r="L2905" s="136"/>
      <c r="M2905" s="136"/>
      <c r="N2905" s="136"/>
    </row>
    <row r="2906" spans="6:14">
      <c r="F2906" s="136" t="s">
        <v>14005</v>
      </c>
      <c r="G2906" s="136">
        <v>2903</v>
      </c>
      <c r="H2906" s="136" t="s">
        <v>2979</v>
      </c>
      <c r="I2906" s="136" t="s">
        <v>2980</v>
      </c>
      <c r="J2906" s="136" t="s">
        <v>14006</v>
      </c>
      <c r="L2906" s="136"/>
      <c r="M2906" s="136"/>
      <c r="N2906" s="136"/>
    </row>
    <row r="2907" spans="6:14">
      <c r="F2907" s="136" t="s">
        <v>14007</v>
      </c>
      <c r="G2907" s="136">
        <v>2904</v>
      </c>
      <c r="H2907" s="136" t="s">
        <v>3155</v>
      </c>
      <c r="I2907" s="136" t="s">
        <v>2135</v>
      </c>
      <c r="J2907" s="136" t="s">
        <v>14008</v>
      </c>
      <c r="L2907" s="136"/>
      <c r="M2907" s="136"/>
      <c r="N2907" s="136"/>
    </row>
    <row r="2908" spans="6:14">
      <c r="F2908" s="136" t="s">
        <v>14009</v>
      </c>
      <c r="G2908" s="136">
        <v>2905</v>
      </c>
      <c r="H2908" s="136" t="s">
        <v>765</v>
      </c>
      <c r="I2908" s="136" t="s">
        <v>766</v>
      </c>
      <c r="J2908" s="136" t="s">
        <v>14010</v>
      </c>
      <c r="L2908" s="136"/>
      <c r="M2908" s="136"/>
      <c r="N2908" s="136"/>
    </row>
    <row r="2909" spans="6:14">
      <c r="F2909" s="136" t="s">
        <v>14011</v>
      </c>
      <c r="G2909" s="136">
        <v>2906</v>
      </c>
      <c r="H2909" s="136" t="s">
        <v>14012</v>
      </c>
      <c r="I2909" s="136" t="s">
        <v>14013</v>
      </c>
      <c r="J2909" s="136" t="s">
        <v>14014</v>
      </c>
      <c r="L2909" s="136"/>
      <c r="M2909" s="136"/>
      <c r="N2909" s="136"/>
    </row>
    <row r="2910" spans="6:14">
      <c r="F2910" s="136" t="s">
        <v>14015</v>
      </c>
      <c r="G2910" s="136">
        <v>2907</v>
      </c>
      <c r="H2910" s="136" t="s">
        <v>14016</v>
      </c>
      <c r="I2910" s="136" t="s">
        <v>14017</v>
      </c>
      <c r="J2910" s="136" t="s">
        <v>14018</v>
      </c>
      <c r="L2910" s="136"/>
      <c r="M2910" s="136"/>
      <c r="N2910" s="136"/>
    </row>
    <row r="2911" spans="6:14">
      <c r="F2911" s="136" t="s">
        <v>14019</v>
      </c>
      <c r="G2911" s="136">
        <v>2908</v>
      </c>
      <c r="H2911" s="136" t="s">
        <v>14020</v>
      </c>
      <c r="I2911" s="136" t="s">
        <v>14021</v>
      </c>
      <c r="J2911" s="136" t="s">
        <v>14022</v>
      </c>
      <c r="L2911" s="136"/>
      <c r="M2911" s="136"/>
      <c r="N2911" s="136"/>
    </row>
    <row r="2912" spans="6:14">
      <c r="F2912" s="136" t="s">
        <v>14023</v>
      </c>
      <c r="G2912" s="136">
        <v>2909</v>
      </c>
      <c r="H2912" s="136" t="s">
        <v>14024</v>
      </c>
      <c r="I2912" s="136" t="s">
        <v>14025</v>
      </c>
      <c r="J2912" s="136" t="s">
        <v>14026</v>
      </c>
      <c r="L2912" s="136"/>
      <c r="M2912" s="136"/>
      <c r="N2912" s="136"/>
    </row>
    <row r="2913" spans="6:14">
      <c r="F2913" s="136" t="s">
        <v>14027</v>
      </c>
      <c r="G2913" s="136">
        <v>2910</v>
      </c>
      <c r="H2913" s="136" t="s">
        <v>14028</v>
      </c>
      <c r="I2913" s="136" t="s">
        <v>14029</v>
      </c>
      <c r="J2913" s="136" t="s">
        <v>14030</v>
      </c>
      <c r="L2913" s="136"/>
      <c r="M2913" s="136"/>
      <c r="N2913" s="136"/>
    </row>
    <row r="2914" spans="6:14">
      <c r="F2914" s="136" t="s">
        <v>14031</v>
      </c>
      <c r="G2914" s="136">
        <v>2911</v>
      </c>
      <c r="H2914" s="136" t="s">
        <v>14032</v>
      </c>
      <c r="I2914" s="136" t="s">
        <v>14033</v>
      </c>
      <c r="J2914" s="136" t="s">
        <v>14034</v>
      </c>
      <c r="L2914" s="136"/>
      <c r="M2914" s="136"/>
      <c r="N2914" s="136"/>
    </row>
    <row r="2915" spans="6:14">
      <c r="F2915" s="136" t="s">
        <v>14035</v>
      </c>
      <c r="G2915" s="136">
        <v>2912</v>
      </c>
      <c r="H2915" s="136" t="s">
        <v>14036</v>
      </c>
      <c r="I2915" s="136" t="s">
        <v>14037</v>
      </c>
      <c r="J2915" s="136" t="s">
        <v>14038</v>
      </c>
      <c r="L2915" s="136"/>
      <c r="M2915" s="136"/>
      <c r="N2915" s="136"/>
    </row>
    <row r="2916" spans="6:14">
      <c r="F2916" s="136" t="s">
        <v>14039</v>
      </c>
      <c r="G2916" s="136">
        <v>2913</v>
      </c>
      <c r="H2916" s="136" t="s">
        <v>1771</v>
      </c>
      <c r="I2916" s="136" t="s">
        <v>1772</v>
      </c>
      <c r="J2916" s="136" t="s">
        <v>14040</v>
      </c>
      <c r="L2916" s="136"/>
      <c r="M2916" s="136"/>
      <c r="N2916" s="136"/>
    </row>
    <row r="2917" spans="6:14">
      <c r="F2917" s="136" t="s">
        <v>14041</v>
      </c>
      <c r="G2917" s="136">
        <v>2914</v>
      </c>
      <c r="H2917" s="136" t="s">
        <v>14042</v>
      </c>
      <c r="I2917" s="136" t="s">
        <v>14043</v>
      </c>
      <c r="J2917" s="136" t="s">
        <v>14044</v>
      </c>
      <c r="L2917" s="136"/>
      <c r="M2917" s="136"/>
      <c r="N2917" s="136"/>
    </row>
    <row r="2918" spans="6:14">
      <c r="F2918" s="136" t="s">
        <v>14045</v>
      </c>
      <c r="G2918" s="136">
        <v>2915</v>
      </c>
      <c r="H2918" s="136" t="s">
        <v>622</v>
      </c>
      <c r="I2918" s="136" t="s">
        <v>622</v>
      </c>
      <c r="J2918" s="136" t="s">
        <v>14046</v>
      </c>
      <c r="L2918" s="136"/>
      <c r="M2918" s="136"/>
      <c r="N2918" s="136"/>
    </row>
    <row r="2919" spans="6:14">
      <c r="F2919" s="136" t="s">
        <v>14047</v>
      </c>
      <c r="G2919" s="136">
        <v>2916</v>
      </c>
      <c r="H2919" s="136" t="s">
        <v>14048</v>
      </c>
      <c r="I2919" s="136" t="s">
        <v>14049</v>
      </c>
      <c r="J2919" s="136" t="s">
        <v>14050</v>
      </c>
      <c r="L2919" s="136"/>
      <c r="M2919" s="136"/>
      <c r="N2919" s="136"/>
    </row>
    <row r="2920" spans="6:14">
      <c r="F2920" s="136" t="s">
        <v>14051</v>
      </c>
      <c r="G2920" s="136">
        <v>2917</v>
      </c>
      <c r="H2920" s="136" t="s">
        <v>14052</v>
      </c>
      <c r="I2920" s="136" t="s">
        <v>14053</v>
      </c>
      <c r="J2920" s="136" t="s">
        <v>14054</v>
      </c>
      <c r="L2920" s="136"/>
      <c r="M2920" s="136"/>
      <c r="N2920" s="136"/>
    </row>
    <row r="2921" spans="6:14">
      <c r="F2921" s="136" t="s">
        <v>14055</v>
      </c>
      <c r="G2921" s="136">
        <v>2918</v>
      </c>
      <c r="H2921" s="136" t="s">
        <v>5103</v>
      </c>
      <c r="I2921" s="136" t="s">
        <v>5104</v>
      </c>
      <c r="J2921" s="136" t="s">
        <v>14056</v>
      </c>
      <c r="L2921" s="136"/>
      <c r="M2921" s="136"/>
      <c r="N2921" s="136"/>
    </row>
    <row r="2922" spans="6:14">
      <c r="F2922" s="136" t="s">
        <v>14057</v>
      </c>
      <c r="G2922" s="136">
        <v>2919</v>
      </c>
      <c r="H2922" s="136" t="s">
        <v>6146</v>
      </c>
      <c r="I2922" s="136" t="s">
        <v>6147</v>
      </c>
      <c r="J2922" s="136" t="s">
        <v>14058</v>
      </c>
      <c r="L2922" s="136"/>
      <c r="M2922" s="136"/>
      <c r="N2922" s="136"/>
    </row>
    <row r="2923" spans="6:14">
      <c r="F2923" s="136" t="s">
        <v>14059</v>
      </c>
      <c r="G2923" s="136">
        <v>2920</v>
      </c>
      <c r="H2923" s="136" t="s">
        <v>14060</v>
      </c>
      <c r="I2923" s="136" t="s">
        <v>14061</v>
      </c>
      <c r="J2923" s="136" t="s">
        <v>14062</v>
      </c>
      <c r="L2923" s="136"/>
      <c r="M2923" s="136"/>
      <c r="N2923" s="136"/>
    </row>
    <row r="2924" spans="6:14">
      <c r="F2924" s="136" t="s">
        <v>14063</v>
      </c>
      <c r="G2924" s="136">
        <v>2921</v>
      </c>
      <c r="H2924" s="136" t="s">
        <v>14064</v>
      </c>
      <c r="I2924" s="136" t="s">
        <v>14065</v>
      </c>
      <c r="J2924" s="136" t="s">
        <v>14066</v>
      </c>
      <c r="L2924" s="136"/>
      <c r="M2924" s="136"/>
      <c r="N2924" s="136"/>
    </row>
    <row r="2925" spans="6:14">
      <c r="F2925" s="136" t="s">
        <v>14067</v>
      </c>
      <c r="G2925" s="136">
        <v>2922</v>
      </c>
      <c r="H2925" s="136" t="s">
        <v>2173</v>
      </c>
      <c r="I2925" s="136" t="s">
        <v>2174</v>
      </c>
      <c r="J2925" s="136" t="s">
        <v>14068</v>
      </c>
      <c r="L2925" s="136"/>
      <c r="M2925" s="136"/>
      <c r="N2925" s="136"/>
    </row>
    <row r="2926" spans="6:14">
      <c r="F2926" s="136" t="s">
        <v>14069</v>
      </c>
      <c r="G2926" s="136">
        <v>2923</v>
      </c>
      <c r="H2926" s="136" t="s">
        <v>14070</v>
      </c>
      <c r="I2926" s="136" t="s">
        <v>14071</v>
      </c>
      <c r="J2926" s="136" t="s">
        <v>14072</v>
      </c>
      <c r="L2926" s="136"/>
      <c r="M2926" s="136"/>
      <c r="N2926" s="136"/>
    </row>
    <row r="2927" spans="6:14">
      <c r="F2927" s="136" t="s">
        <v>14073</v>
      </c>
      <c r="G2927" s="136">
        <v>2924</v>
      </c>
      <c r="H2927" s="136" t="s">
        <v>14074</v>
      </c>
      <c r="I2927" s="136" t="s">
        <v>14075</v>
      </c>
      <c r="J2927" s="136" t="s">
        <v>14076</v>
      </c>
      <c r="L2927" s="136"/>
      <c r="M2927" s="136"/>
      <c r="N2927" s="136"/>
    </row>
    <row r="2928" spans="6:14">
      <c r="F2928" s="136" t="s">
        <v>14077</v>
      </c>
      <c r="G2928" s="136">
        <v>2925</v>
      </c>
      <c r="H2928" s="136" t="s">
        <v>972</v>
      </c>
      <c r="I2928" s="136" t="s">
        <v>972</v>
      </c>
      <c r="J2928" s="136" t="s">
        <v>14078</v>
      </c>
      <c r="L2928" s="136"/>
      <c r="M2928" s="136"/>
      <c r="N2928" s="136"/>
    </row>
    <row r="2929" spans="6:14">
      <c r="F2929" s="136" t="s">
        <v>14079</v>
      </c>
      <c r="G2929" s="136">
        <v>2926</v>
      </c>
      <c r="H2929" s="136" t="s">
        <v>670</v>
      </c>
      <c r="I2929" s="136" t="s">
        <v>671</v>
      </c>
      <c r="J2929" s="136" t="s">
        <v>14080</v>
      </c>
      <c r="L2929" s="136"/>
      <c r="M2929" s="136"/>
      <c r="N2929" s="136"/>
    </row>
    <row r="2930" spans="6:14">
      <c r="F2930" s="136" t="s">
        <v>14081</v>
      </c>
      <c r="G2930" s="136">
        <v>2927</v>
      </c>
      <c r="H2930" s="136" t="s">
        <v>2149</v>
      </c>
      <c r="I2930" s="136" t="s">
        <v>2151</v>
      </c>
      <c r="J2930" s="136" t="s">
        <v>14082</v>
      </c>
      <c r="L2930" s="136"/>
      <c r="M2930" s="136"/>
      <c r="N2930" s="136"/>
    </row>
    <row r="2931" spans="6:14">
      <c r="F2931" s="136" t="s">
        <v>14083</v>
      </c>
      <c r="G2931" s="136">
        <v>2928</v>
      </c>
      <c r="H2931" s="136" t="s">
        <v>2928</v>
      </c>
      <c r="I2931" s="136" t="s">
        <v>2928</v>
      </c>
      <c r="J2931" s="136" t="s">
        <v>14084</v>
      </c>
      <c r="L2931" s="136"/>
      <c r="M2931" s="136"/>
      <c r="N2931" s="136"/>
    </row>
    <row r="2932" spans="6:14">
      <c r="F2932" s="136" t="s">
        <v>14085</v>
      </c>
      <c r="G2932" s="136">
        <v>2929</v>
      </c>
      <c r="H2932" s="136" t="s">
        <v>11485</v>
      </c>
      <c r="I2932" s="136" t="s">
        <v>7006</v>
      </c>
      <c r="J2932" s="136" t="s">
        <v>14086</v>
      </c>
      <c r="L2932" s="136"/>
      <c r="M2932" s="136"/>
      <c r="N2932" s="136"/>
    </row>
    <row r="2933" spans="6:14">
      <c r="F2933" s="136" t="s">
        <v>14087</v>
      </c>
      <c r="G2933" s="136">
        <v>2930</v>
      </c>
      <c r="H2933" s="136" t="s">
        <v>4366</v>
      </c>
      <c r="I2933" s="136" t="s">
        <v>4367</v>
      </c>
      <c r="J2933" s="136" t="s">
        <v>14088</v>
      </c>
      <c r="L2933" s="136"/>
      <c r="M2933" s="136"/>
      <c r="N2933" s="136"/>
    </row>
    <row r="2934" spans="6:14">
      <c r="F2934" s="136" t="s">
        <v>14089</v>
      </c>
      <c r="G2934" s="136">
        <v>2931</v>
      </c>
      <c r="H2934" s="136" t="s">
        <v>14090</v>
      </c>
      <c r="I2934" s="136" t="s">
        <v>14091</v>
      </c>
      <c r="J2934" s="136" t="s">
        <v>14092</v>
      </c>
      <c r="L2934" s="136"/>
      <c r="M2934" s="136"/>
      <c r="N2934" s="136"/>
    </row>
    <row r="2935" spans="6:14">
      <c r="F2935" s="136" t="s">
        <v>14093</v>
      </c>
      <c r="G2935" s="136">
        <v>2932</v>
      </c>
      <c r="H2935" s="136" t="s">
        <v>14094</v>
      </c>
      <c r="I2935" s="136" t="s">
        <v>5278</v>
      </c>
      <c r="J2935" s="136" t="s">
        <v>14095</v>
      </c>
      <c r="L2935" s="136"/>
      <c r="M2935" s="136"/>
      <c r="N2935" s="136"/>
    </row>
    <row r="2936" spans="6:14">
      <c r="F2936" s="136" t="s">
        <v>14096</v>
      </c>
      <c r="G2936" s="136">
        <v>2933</v>
      </c>
      <c r="H2936" s="136" t="s">
        <v>3043</v>
      </c>
      <c r="I2936" s="136" t="s">
        <v>3044</v>
      </c>
      <c r="J2936" s="136" t="s">
        <v>14097</v>
      </c>
      <c r="L2936" s="136"/>
      <c r="M2936" s="136"/>
      <c r="N2936" s="136"/>
    </row>
    <row r="2937" spans="6:14">
      <c r="F2937" s="136" t="s">
        <v>14098</v>
      </c>
      <c r="G2937" s="136">
        <v>2934</v>
      </c>
      <c r="H2937" s="136" t="s">
        <v>14099</v>
      </c>
      <c r="I2937" s="136" t="s">
        <v>14100</v>
      </c>
      <c r="J2937" s="136" t="s">
        <v>14101</v>
      </c>
      <c r="L2937" s="136"/>
      <c r="M2937" s="136"/>
      <c r="N2937" s="136"/>
    </row>
    <row r="2938" spans="6:14">
      <c r="F2938" s="136" t="s">
        <v>14102</v>
      </c>
      <c r="G2938" s="136">
        <v>2935</v>
      </c>
      <c r="H2938" s="136" t="s">
        <v>3463</v>
      </c>
      <c r="I2938" s="136" t="s">
        <v>3464</v>
      </c>
      <c r="J2938" s="136" t="s">
        <v>14103</v>
      </c>
      <c r="L2938" s="136"/>
      <c r="M2938" s="136"/>
      <c r="N2938" s="136"/>
    </row>
    <row r="2939" spans="6:14">
      <c r="F2939" s="136" t="s">
        <v>14104</v>
      </c>
      <c r="G2939" s="136">
        <v>2936</v>
      </c>
      <c r="H2939" s="136" t="s">
        <v>13857</v>
      </c>
      <c r="I2939" s="136" t="s">
        <v>14105</v>
      </c>
      <c r="J2939" s="136" t="s">
        <v>14106</v>
      </c>
      <c r="L2939" s="136"/>
      <c r="M2939" s="136"/>
      <c r="N2939" s="136"/>
    </row>
    <row r="2940" spans="6:14">
      <c r="F2940" s="136" t="s">
        <v>14107</v>
      </c>
      <c r="G2940" s="136">
        <v>2937</v>
      </c>
      <c r="H2940" s="136" t="s">
        <v>5731</v>
      </c>
      <c r="I2940" s="136" t="s">
        <v>5732</v>
      </c>
      <c r="J2940" s="136" t="s">
        <v>14108</v>
      </c>
      <c r="L2940" s="136"/>
      <c r="M2940" s="136"/>
      <c r="N2940" s="136"/>
    </row>
    <row r="2941" spans="6:14">
      <c r="F2941" s="136" t="s">
        <v>14109</v>
      </c>
      <c r="G2941" s="136">
        <v>2938</v>
      </c>
      <c r="H2941" s="136" t="s">
        <v>4469</v>
      </c>
      <c r="I2941" s="136" t="s">
        <v>4470</v>
      </c>
      <c r="J2941" s="136" t="s">
        <v>14110</v>
      </c>
      <c r="L2941" s="136"/>
      <c r="M2941" s="136"/>
      <c r="N2941" s="136"/>
    </row>
    <row r="2942" spans="6:14">
      <c r="F2942" s="136" t="s">
        <v>14111</v>
      </c>
      <c r="G2942" s="136">
        <v>2939</v>
      </c>
      <c r="H2942" s="136" t="s">
        <v>3599</v>
      </c>
      <c r="I2942" s="136" t="s">
        <v>3600</v>
      </c>
      <c r="J2942" s="136" t="s">
        <v>14112</v>
      </c>
      <c r="L2942" s="136"/>
      <c r="M2942" s="136"/>
      <c r="N2942" s="136"/>
    </row>
    <row r="2943" spans="6:14">
      <c r="F2943" s="136" t="s">
        <v>14113</v>
      </c>
      <c r="G2943" s="136">
        <v>2940</v>
      </c>
      <c r="H2943" s="136" t="s">
        <v>3245</v>
      </c>
      <c r="I2943" s="136" t="s">
        <v>3245</v>
      </c>
      <c r="J2943" s="136" t="s">
        <v>14114</v>
      </c>
      <c r="L2943" s="136"/>
      <c r="M2943" s="136"/>
      <c r="N2943" s="136"/>
    </row>
    <row r="2944" spans="6:14">
      <c r="F2944" s="136" t="s">
        <v>14115</v>
      </c>
      <c r="G2944" s="136">
        <v>2941</v>
      </c>
      <c r="H2944" s="136" t="s">
        <v>6088</v>
      </c>
      <c r="I2944" s="136" t="s">
        <v>4134</v>
      </c>
      <c r="J2944" s="136" t="s">
        <v>14116</v>
      </c>
      <c r="L2944" s="136"/>
      <c r="M2944" s="136"/>
      <c r="N2944" s="136"/>
    </row>
    <row r="2945" spans="6:14">
      <c r="F2945" s="136" t="s">
        <v>14117</v>
      </c>
      <c r="G2945" s="136">
        <v>2942</v>
      </c>
      <c r="H2945" s="136" t="s">
        <v>4358</v>
      </c>
      <c r="I2945" s="136" t="s">
        <v>4359</v>
      </c>
      <c r="J2945" s="136" t="s">
        <v>14118</v>
      </c>
      <c r="L2945" s="136"/>
      <c r="M2945" s="136"/>
      <c r="N2945" s="136"/>
    </row>
    <row r="2946" spans="6:14">
      <c r="F2946" s="136" t="s">
        <v>14119</v>
      </c>
      <c r="G2946" s="136">
        <v>2943</v>
      </c>
      <c r="H2946" s="136" t="s">
        <v>2025</v>
      </c>
      <c r="I2946" s="136" t="s">
        <v>2026</v>
      </c>
      <c r="J2946" s="136" t="s">
        <v>14120</v>
      </c>
      <c r="L2946" s="136"/>
      <c r="M2946" s="136"/>
      <c r="N2946" s="136"/>
    </row>
    <row r="2947" spans="6:14">
      <c r="F2947" s="136" t="s">
        <v>14121</v>
      </c>
      <c r="G2947" s="136">
        <v>2944</v>
      </c>
      <c r="H2947" s="136" t="s">
        <v>14122</v>
      </c>
      <c r="I2947" s="136" t="s">
        <v>14123</v>
      </c>
      <c r="J2947" s="136" t="s">
        <v>14124</v>
      </c>
      <c r="L2947" s="136"/>
      <c r="M2947" s="136"/>
      <c r="N2947" s="136"/>
    </row>
    <row r="2948" spans="6:14">
      <c r="F2948" s="136" t="s">
        <v>14125</v>
      </c>
      <c r="G2948" s="136">
        <v>2945</v>
      </c>
      <c r="H2948" s="136" t="s">
        <v>3627</v>
      </c>
      <c r="I2948" s="136" t="s">
        <v>3627</v>
      </c>
      <c r="J2948" s="136" t="s">
        <v>14126</v>
      </c>
      <c r="L2948" s="136"/>
      <c r="M2948" s="136"/>
      <c r="N2948" s="136"/>
    </row>
    <row r="2949" spans="6:14">
      <c r="F2949" s="136" t="s">
        <v>14127</v>
      </c>
      <c r="G2949" s="136">
        <v>2946</v>
      </c>
      <c r="H2949" s="136" t="s">
        <v>3650</v>
      </c>
      <c r="I2949" s="136" t="s">
        <v>3651</v>
      </c>
      <c r="J2949" s="136" t="s">
        <v>14128</v>
      </c>
      <c r="L2949" s="136"/>
      <c r="M2949" s="136"/>
      <c r="N2949" s="136"/>
    </row>
    <row r="2950" spans="6:14">
      <c r="F2950" s="136" t="s">
        <v>14129</v>
      </c>
      <c r="G2950" s="136">
        <v>2947</v>
      </c>
      <c r="H2950" s="136" t="s">
        <v>3605</v>
      </c>
      <c r="I2950" s="136" t="s">
        <v>14130</v>
      </c>
      <c r="J2950" s="136" t="s">
        <v>14131</v>
      </c>
      <c r="L2950" s="136"/>
      <c r="M2950" s="136"/>
      <c r="N2950" s="136"/>
    </row>
    <row r="2951" spans="6:14">
      <c r="F2951" s="136" t="s">
        <v>14132</v>
      </c>
      <c r="G2951" s="136">
        <v>2948</v>
      </c>
      <c r="H2951" s="136" t="s">
        <v>14133</v>
      </c>
      <c r="I2951" s="136" t="s">
        <v>14133</v>
      </c>
      <c r="J2951" s="136" t="s">
        <v>14134</v>
      </c>
      <c r="L2951" s="136"/>
      <c r="M2951" s="136"/>
      <c r="N2951" s="136"/>
    </row>
    <row r="2952" spans="6:14">
      <c r="F2952" s="136" t="s">
        <v>14135</v>
      </c>
      <c r="G2952" s="136">
        <v>2949</v>
      </c>
      <c r="H2952" s="136" t="s">
        <v>4786</v>
      </c>
      <c r="I2952" s="136" t="s">
        <v>4787</v>
      </c>
      <c r="J2952" s="136" t="s">
        <v>14136</v>
      </c>
      <c r="L2952" s="136"/>
      <c r="M2952" s="136"/>
      <c r="N2952" s="136"/>
    </row>
    <row r="2953" spans="6:14">
      <c r="F2953" s="136" t="s">
        <v>14137</v>
      </c>
      <c r="G2953" s="136">
        <v>2950</v>
      </c>
      <c r="H2953" s="136" t="s">
        <v>14138</v>
      </c>
      <c r="I2953" s="136" t="s">
        <v>14139</v>
      </c>
      <c r="J2953" s="136" t="s">
        <v>14140</v>
      </c>
      <c r="L2953" s="136"/>
      <c r="M2953" s="136"/>
      <c r="N2953" s="136"/>
    </row>
    <row r="2954" spans="6:14">
      <c r="F2954" s="136" t="s">
        <v>14141</v>
      </c>
      <c r="G2954" s="136">
        <v>2951</v>
      </c>
      <c r="H2954" s="136" t="s">
        <v>14142</v>
      </c>
      <c r="I2954" s="136" t="s">
        <v>14143</v>
      </c>
      <c r="J2954" s="136" t="s">
        <v>14144</v>
      </c>
      <c r="L2954" s="136"/>
      <c r="M2954" s="136"/>
      <c r="N2954" s="136"/>
    </row>
    <row r="2955" spans="6:14">
      <c r="F2955" s="136" t="s">
        <v>14145</v>
      </c>
      <c r="G2955" s="136">
        <v>2952</v>
      </c>
      <c r="H2955" s="136" t="s">
        <v>14146</v>
      </c>
      <c r="I2955" s="136" t="s">
        <v>14147</v>
      </c>
      <c r="J2955" s="136" t="s">
        <v>14148</v>
      </c>
      <c r="L2955" s="136"/>
      <c r="M2955" s="136"/>
      <c r="N2955" s="136"/>
    </row>
    <row r="2956" spans="6:14">
      <c r="F2956" s="136" t="s">
        <v>14149</v>
      </c>
      <c r="G2956" s="136">
        <v>2953</v>
      </c>
      <c r="H2956" s="136" t="s">
        <v>14150</v>
      </c>
      <c r="I2956" s="136" t="s">
        <v>14151</v>
      </c>
      <c r="J2956" s="136" t="s">
        <v>14152</v>
      </c>
      <c r="L2956" s="136"/>
      <c r="M2956" s="136"/>
      <c r="N2956" s="136"/>
    </row>
    <row r="2957" spans="6:14">
      <c r="F2957" s="136" t="s">
        <v>14153</v>
      </c>
      <c r="G2957" s="136">
        <v>2954</v>
      </c>
      <c r="H2957" s="136" t="s">
        <v>892</v>
      </c>
      <c r="I2957" s="136" t="s">
        <v>892</v>
      </c>
      <c r="J2957" s="136" t="s">
        <v>14154</v>
      </c>
      <c r="L2957" s="136"/>
      <c r="M2957" s="136"/>
      <c r="N2957" s="136"/>
    </row>
    <row r="2958" spans="6:14">
      <c r="F2958" s="136" t="s">
        <v>14155</v>
      </c>
      <c r="G2958" s="136">
        <v>2955</v>
      </c>
      <c r="H2958" s="136" t="s">
        <v>5199</v>
      </c>
      <c r="I2958" s="136" t="s">
        <v>5200</v>
      </c>
      <c r="J2958" s="136" t="s">
        <v>14156</v>
      </c>
      <c r="L2958" s="136"/>
      <c r="M2958" s="136"/>
      <c r="N2958" s="136"/>
    </row>
    <row r="2959" spans="6:14">
      <c r="F2959" s="136" t="s">
        <v>14157</v>
      </c>
      <c r="G2959" s="136">
        <v>2956</v>
      </c>
      <c r="H2959" s="136" t="s">
        <v>5233</v>
      </c>
      <c r="I2959" s="136" t="s">
        <v>5234</v>
      </c>
      <c r="J2959" s="136" t="s">
        <v>14158</v>
      </c>
      <c r="L2959" s="136"/>
      <c r="M2959" s="136"/>
      <c r="N2959" s="136"/>
    </row>
    <row r="2960" spans="6:14">
      <c r="F2960" s="136" t="s">
        <v>14159</v>
      </c>
      <c r="G2960" s="136">
        <v>2957</v>
      </c>
      <c r="H2960" s="136" t="s">
        <v>4173</v>
      </c>
      <c r="I2960" s="136" t="s">
        <v>4173</v>
      </c>
      <c r="J2960" s="136" t="s">
        <v>14160</v>
      </c>
      <c r="L2960" s="136"/>
      <c r="M2960" s="136"/>
      <c r="N2960" s="136"/>
    </row>
    <row r="2961" spans="6:14">
      <c r="F2961" s="136" t="s">
        <v>14161</v>
      </c>
      <c r="G2961" s="136">
        <v>2958</v>
      </c>
      <c r="H2961" s="136" t="s">
        <v>1193</v>
      </c>
      <c r="I2961" s="136" t="s">
        <v>1194</v>
      </c>
      <c r="J2961" s="136" t="s">
        <v>14162</v>
      </c>
      <c r="L2961" s="136"/>
      <c r="M2961" s="136"/>
      <c r="N2961" s="136"/>
    </row>
    <row r="2962" spans="6:14">
      <c r="F2962" s="136" t="s">
        <v>14163</v>
      </c>
      <c r="G2962" s="136">
        <v>2959</v>
      </c>
      <c r="H2962" s="136" t="s">
        <v>6150</v>
      </c>
      <c r="I2962" s="136" t="s">
        <v>6151</v>
      </c>
      <c r="J2962" s="136" t="s">
        <v>14164</v>
      </c>
      <c r="L2962" s="136"/>
      <c r="M2962" s="136"/>
      <c r="N2962" s="136"/>
    </row>
    <row r="2963" spans="6:14">
      <c r="F2963" s="136" t="s">
        <v>14165</v>
      </c>
      <c r="G2963" s="136">
        <v>2960</v>
      </c>
      <c r="H2963" s="136" t="s">
        <v>4125</v>
      </c>
      <c r="I2963" s="136" t="s">
        <v>4126</v>
      </c>
      <c r="J2963" s="136" t="s">
        <v>14166</v>
      </c>
      <c r="L2963" s="136"/>
      <c r="M2963" s="136"/>
      <c r="N2963" s="136"/>
    </row>
    <row r="2964" spans="6:14">
      <c r="F2964" s="136" t="s">
        <v>14167</v>
      </c>
      <c r="G2964" s="136">
        <v>2961</v>
      </c>
      <c r="H2964" s="136" t="s">
        <v>431</v>
      </c>
      <c r="I2964" s="136" t="s">
        <v>432</v>
      </c>
      <c r="J2964" s="136" t="s">
        <v>14168</v>
      </c>
      <c r="L2964" s="136"/>
      <c r="M2964" s="136"/>
      <c r="N2964" s="136"/>
    </row>
    <row r="2965" spans="6:14">
      <c r="F2965" s="136" t="s">
        <v>14169</v>
      </c>
      <c r="G2965" s="136">
        <v>2962</v>
      </c>
      <c r="H2965" s="136" t="s">
        <v>14170</v>
      </c>
      <c r="I2965" s="136" t="s">
        <v>14171</v>
      </c>
      <c r="J2965" s="136" t="s">
        <v>14172</v>
      </c>
      <c r="L2965" s="136"/>
      <c r="M2965" s="136"/>
      <c r="N2965" s="136"/>
    </row>
    <row r="2966" spans="6:14">
      <c r="F2966" s="136" t="s">
        <v>14173</v>
      </c>
      <c r="G2966" s="136">
        <v>2963</v>
      </c>
      <c r="H2966" s="136" t="s">
        <v>6202</v>
      </c>
      <c r="I2966" s="136" t="s">
        <v>6203</v>
      </c>
      <c r="J2966" s="136" t="s">
        <v>14174</v>
      </c>
      <c r="L2966" s="136"/>
      <c r="M2966" s="136"/>
      <c r="N2966" s="136"/>
    </row>
    <row r="2967" spans="6:14">
      <c r="F2967" s="136" t="s">
        <v>14175</v>
      </c>
      <c r="G2967" s="136">
        <v>2964</v>
      </c>
      <c r="H2967" s="136" t="s">
        <v>14176</v>
      </c>
      <c r="I2967" s="136" t="s">
        <v>14177</v>
      </c>
      <c r="J2967" s="136" t="s">
        <v>14178</v>
      </c>
      <c r="L2967" s="136"/>
      <c r="M2967" s="136"/>
      <c r="N2967" s="136"/>
    </row>
    <row r="2968" spans="6:14">
      <c r="F2968" s="136" t="s">
        <v>14179</v>
      </c>
      <c r="G2968" s="136">
        <v>2965</v>
      </c>
      <c r="H2968" s="136" t="s">
        <v>4155</v>
      </c>
      <c r="I2968" s="136" t="s">
        <v>840</v>
      </c>
      <c r="J2968" s="136" t="s">
        <v>14180</v>
      </c>
      <c r="L2968" s="136"/>
      <c r="M2968" s="136"/>
      <c r="N2968" s="136"/>
    </row>
    <row r="2969" spans="6:14">
      <c r="F2969" s="136" t="s">
        <v>14181</v>
      </c>
      <c r="G2969" s="136">
        <v>2966</v>
      </c>
      <c r="H2969" s="136" t="s">
        <v>4170</v>
      </c>
      <c r="I2969" s="136" t="s">
        <v>4171</v>
      </c>
      <c r="J2969" s="136" t="s">
        <v>14182</v>
      </c>
      <c r="L2969" s="136"/>
      <c r="M2969" s="136"/>
      <c r="N2969" s="136"/>
    </row>
    <row r="2970" spans="6:14">
      <c r="F2970" s="136" t="s">
        <v>14183</v>
      </c>
      <c r="G2970" s="136">
        <v>2967</v>
      </c>
      <c r="H2970" s="136" t="s">
        <v>14184</v>
      </c>
      <c r="I2970" s="136" t="s">
        <v>14185</v>
      </c>
      <c r="J2970" s="136" t="s">
        <v>14186</v>
      </c>
      <c r="L2970" s="136"/>
      <c r="M2970" s="136"/>
      <c r="N2970" s="136"/>
    </row>
    <row r="2971" spans="6:14">
      <c r="F2971" s="136" t="s">
        <v>14187</v>
      </c>
      <c r="G2971" s="136">
        <v>2968</v>
      </c>
      <c r="H2971" s="136" t="s">
        <v>5115</v>
      </c>
      <c r="I2971" s="136" t="s">
        <v>5116</v>
      </c>
      <c r="J2971" s="136" t="s">
        <v>14188</v>
      </c>
      <c r="L2971" s="136"/>
      <c r="M2971" s="136"/>
      <c r="N2971" s="136"/>
    </row>
    <row r="2972" spans="6:14">
      <c r="F2972" s="136" t="s">
        <v>14189</v>
      </c>
      <c r="G2972" s="136">
        <v>2969</v>
      </c>
      <c r="H2972" s="136" t="s">
        <v>14190</v>
      </c>
      <c r="I2972" s="136" t="s">
        <v>14191</v>
      </c>
      <c r="J2972" s="136" t="s">
        <v>14192</v>
      </c>
      <c r="L2972" s="136"/>
      <c r="M2972" s="136"/>
      <c r="N2972" s="136"/>
    </row>
    <row r="2973" spans="6:14">
      <c r="F2973" s="136" t="s">
        <v>14193</v>
      </c>
      <c r="G2973" s="136">
        <v>2970</v>
      </c>
      <c r="H2973" s="136" t="s">
        <v>5704</v>
      </c>
      <c r="I2973" s="136" t="s">
        <v>5705</v>
      </c>
      <c r="J2973" s="136" t="s">
        <v>14194</v>
      </c>
      <c r="L2973" s="136"/>
      <c r="M2973" s="136"/>
      <c r="N2973" s="136"/>
    </row>
    <row r="2974" spans="6:14">
      <c r="F2974" s="136" t="s">
        <v>14195</v>
      </c>
      <c r="G2974" s="136">
        <v>2971</v>
      </c>
      <c r="H2974" s="136" t="s">
        <v>1618</v>
      </c>
      <c r="I2974" s="136" t="s">
        <v>1619</v>
      </c>
      <c r="J2974" s="136" t="s">
        <v>14196</v>
      </c>
      <c r="L2974" s="136"/>
      <c r="M2974" s="136"/>
      <c r="N2974" s="136"/>
    </row>
    <row r="2975" spans="6:14">
      <c r="F2975" s="136" t="s">
        <v>14197</v>
      </c>
      <c r="G2975" s="136">
        <v>2972</v>
      </c>
      <c r="H2975" s="136" t="s">
        <v>5205</v>
      </c>
      <c r="I2975" s="136" t="s">
        <v>5206</v>
      </c>
      <c r="J2975" s="136" t="s">
        <v>14198</v>
      </c>
      <c r="L2975" s="136"/>
      <c r="M2975" s="136"/>
      <c r="N2975" s="136"/>
    </row>
    <row r="2976" spans="6:14">
      <c r="F2976" s="136" t="s">
        <v>14199</v>
      </c>
      <c r="G2976" s="136">
        <v>2973</v>
      </c>
      <c r="H2976" s="136" t="s">
        <v>2012</v>
      </c>
      <c r="I2976" s="136" t="s">
        <v>2013</v>
      </c>
      <c r="J2976" s="136" t="s">
        <v>14200</v>
      </c>
      <c r="L2976" s="136"/>
      <c r="M2976" s="136"/>
      <c r="N2976" s="136"/>
    </row>
    <row r="2977" spans="6:14">
      <c r="F2977" s="136" t="s">
        <v>14201</v>
      </c>
      <c r="G2977" s="136">
        <v>2974</v>
      </c>
      <c r="H2977" s="136" t="s">
        <v>1102</v>
      </c>
      <c r="I2977" s="136" t="s">
        <v>1103</v>
      </c>
      <c r="J2977" s="136" t="s">
        <v>14202</v>
      </c>
      <c r="L2977" s="136"/>
      <c r="M2977" s="136"/>
      <c r="N2977" s="136"/>
    </row>
    <row r="2978" spans="6:14">
      <c r="F2978" s="136" t="s">
        <v>14203</v>
      </c>
      <c r="G2978" s="136">
        <v>2975</v>
      </c>
      <c r="H2978" s="136" t="s">
        <v>11485</v>
      </c>
      <c r="I2978" s="136" t="s">
        <v>7006</v>
      </c>
      <c r="J2978" s="136" t="s">
        <v>14204</v>
      </c>
      <c r="L2978" s="136"/>
      <c r="M2978" s="136"/>
      <c r="N2978" s="136"/>
    </row>
    <row r="2979" spans="6:14">
      <c r="F2979" s="136" t="s">
        <v>14205</v>
      </c>
      <c r="G2979" s="136">
        <v>2976</v>
      </c>
      <c r="H2979" s="136" t="s">
        <v>14206</v>
      </c>
      <c r="I2979" s="136" t="s">
        <v>14207</v>
      </c>
      <c r="J2979" s="136" t="s">
        <v>14208</v>
      </c>
      <c r="L2979" s="136"/>
      <c r="M2979" s="136"/>
      <c r="N2979" s="136"/>
    </row>
    <row r="2980" spans="6:14">
      <c r="F2980" s="136" t="s">
        <v>14209</v>
      </c>
      <c r="G2980" s="136">
        <v>2977</v>
      </c>
      <c r="H2980" s="136" t="s">
        <v>12679</v>
      </c>
      <c r="I2980" s="136" t="s">
        <v>12680</v>
      </c>
      <c r="J2980" s="136" t="s">
        <v>14210</v>
      </c>
      <c r="L2980" s="136"/>
      <c r="M2980" s="136"/>
      <c r="N2980" s="136"/>
    </row>
    <row r="2981" spans="6:14">
      <c r="F2981" s="136" t="s">
        <v>14211</v>
      </c>
      <c r="G2981" s="136">
        <v>2978</v>
      </c>
      <c r="H2981" s="136" t="s">
        <v>14212</v>
      </c>
      <c r="I2981" s="136" t="s">
        <v>14213</v>
      </c>
      <c r="J2981" s="136" t="s">
        <v>14214</v>
      </c>
      <c r="L2981" s="136"/>
      <c r="M2981" s="136"/>
      <c r="N2981" s="136"/>
    </row>
    <row r="2982" spans="6:14">
      <c r="F2982" s="136" t="s">
        <v>14215</v>
      </c>
      <c r="G2982" s="136">
        <v>2979</v>
      </c>
      <c r="H2982" s="136" t="s">
        <v>3178</v>
      </c>
      <c r="I2982" s="136" t="s">
        <v>3179</v>
      </c>
      <c r="J2982" s="136" t="s">
        <v>14216</v>
      </c>
      <c r="L2982" s="136"/>
      <c r="M2982" s="136"/>
      <c r="N2982" s="136"/>
    </row>
    <row r="2983" spans="6:14">
      <c r="F2983" s="136" t="s">
        <v>14217</v>
      </c>
      <c r="G2983" s="136">
        <v>2980</v>
      </c>
      <c r="H2983" s="136" t="s">
        <v>995</v>
      </c>
      <c r="I2983" s="136" t="s">
        <v>995</v>
      </c>
      <c r="J2983" s="136" t="s">
        <v>14218</v>
      </c>
      <c r="L2983" s="136"/>
      <c r="M2983" s="136"/>
      <c r="N2983" s="136"/>
    </row>
    <row r="2984" spans="6:14">
      <c r="F2984" s="136" t="s">
        <v>14219</v>
      </c>
      <c r="G2984" s="136">
        <v>2981</v>
      </c>
      <c r="H2984" s="136" t="s">
        <v>14220</v>
      </c>
      <c r="I2984" s="136" t="s">
        <v>14221</v>
      </c>
      <c r="J2984" s="136" t="s">
        <v>14222</v>
      </c>
      <c r="L2984" s="136"/>
      <c r="M2984" s="136"/>
      <c r="N2984" s="136"/>
    </row>
    <row r="2985" spans="6:14">
      <c r="F2985" s="136" t="s">
        <v>14223</v>
      </c>
      <c r="G2985" s="136">
        <v>2982</v>
      </c>
      <c r="H2985" s="136" t="s">
        <v>3731</v>
      </c>
      <c r="I2985" s="136" t="s">
        <v>3731</v>
      </c>
      <c r="J2985" s="136" t="s">
        <v>14224</v>
      </c>
      <c r="L2985" s="136"/>
      <c r="M2985" s="136"/>
      <c r="N2985" s="136"/>
    </row>
    <row r="2986" spans="6:14">
      <c r="F2986" s="136" t="s">
        <v>14225</v>
      </c>
      <c r="G2986" s="136">
        <v>2983</v>
      </c>
      <c r="H2986" s="136" t="s">
        <v>14226</v>
      </c>
      <c r="I2986" s="136" t="s">
        <v>14227</v>
      </c>
      <c r="J2986" s="136" t="s">
        <v>14228</v>
      </c>
      <c r="L2986" s="136"/>
      <c r="M2986" s="136"/>
      <c r="N2986" s="136"/>
    </row>
    <row r="2987" spans="6:14">
      <c r="F2987" s="136" t="s">
        <v>14229</v>
      </c>
      <c r="G2987" s="136">
        <v>2984</v>
      </c>
      <c r="H2987" s="136" t="s">
        <v>128</v>
      </c>
      <c r="I2987" s="136" t="s">
        <v>128</v>
      </c>
      <c r="J2987" s="136" t="s">
        <v>14230</v>
      </c>
      <c r="L2987" s="136"/>
      <c r="M2987" s="136"/>
      <c r="N2987" s="136"/>
    </row>
    <row r="2988" spans="6:14">
      <c r="F2988" s="136" t="s">
        <v>14231</v>
      </c>
      <c r="G2988" s="136">
        <v>2985</v>
      </c>
      <c r="H2988" s="136" t="s">
        <v>4962</v>
      </c>
      <c r="I2988" s="136" t="s">
        <v>4963</v>
      </c>
      <c r="J2988" s="136" t="s">
        <v>14232</v>
      </c>
      <c r="L2988" s="136"/>
      <c r="M2988" s="136"/>
      <c r="N2988" s="136"/>
    </row>
    <row r="2989" spans="6:14">
      <c r="F2989" s="136" t="s">
        <v>14233</v>
      </c>
      <c r="G2989" s="136">
        <v>2986</v>
      </c>
      <c r="H2989" s="136" t="s">
        <v>14234</v>
      </c>
      <c r="I2989" s="136" t="s">
        <v>14235</v>
      </c>
      <c r="J2989" s="136" t="s">
        <v>14236</v>
      </c>
      <c r="L2989" s="136"/>
      <c r="M2989" s="136"/>
      <c r="N2989" s="136"/>
    </row>
    <row r="2990" spans="6:14">
      <c r="F2990" s="136" t="s">
        <v>14237</v>
      </c>
      <c r="G2990" s="136">
        <v>2987</v>
      </c>
      <c r="H2990" s="136" t="s">
        <v>4742</v>
      </c>
      <c r="I2990" s="136" t="s">
        <v>4743</v>
      </c>
      <c r="J2990" s="136" t="s">
        <v>14238</v>
      </c>
      <c r="L2990" s="136"/>
      <c r="M2990" s="136"/>
      <c r="N2990" s="136"/>
    </row>
    <row r="2991" spans="6:14">
      <c r="F2991" s="136" t="s">
        <v>14239</v>
      </c>
      <c r="G2991" s="136">
        <v>2988</v>
      </c>
      <c r="H2991" s="136" t="s">
        <v>14240</v>
      </c>
      <c r="I2991" s="136" t="s">
        <v>14241</v>
      </c>
      <c r="J2991" s="136" t="s">
        <v>14242</v>
      </c>
      <c r="L2991" s="136"/>
      <c r="M2991" s="136"/>
      <c r="N2991" s="136"/>
    </row>
    <row r="2992" spans="6:14">
      <c r="F2992" s="136" t="s">
        <v>14243</v>
      </c>
      <c r="G2992" s="136">
        <v>2989</v>
      </c>
      <c r="H2992" s="136" t="s">
        <v>4916</v>
      </c>
      <c r="I2992" s="136" t="s">
        <v>4917</v>
      </c>
      <c r="J2992" s="136" t="s">
        <v>14244</v>
      </c>
      <c r="L2992" s="136"/>
      <c r="M2992" s="136"/>
      <c r="N2992" s="136"/>
    </row>
    <row r="2993" spans="6:14">
      <c r="F2993" s="136" t="s">
        <v>14245</v>
      </c>
      <c r="G2993" s="136">
        <v>2990</v>
      </c>
      <c r="H2993" s="136" t="s">
        <v>14246</v>
      </c>
      <c r="I2993" s="136" t="s">
        <v>14247</v>
      </c>
      <c r="J2993" s="136" t="s">
        <v>14248</v>
      </c>
      <c r="L2993" s="136"/>
      <c r="M2993" s="136"/>
      <c r="N2993" s="136"/>
    </row>
    <row r="2994" spans="6:14">
      <c r="F2994" s="136" t="s">
        <v>14249</v>
      </c>
      <c r="G2994" s="136">
        <v>2991</v>
      </c>
      <c r="H2994" s="136" t="s">
        <v>14250</v>
      </c>
      <c r="I2994" s="136" t="s">
        <v>14251</v>
      </c>
      <c r="J2994" s="136" t="s">
        <v>14252</v>
      </c>
      <c r="L2994" s="136"/>
      <c r="M2994" s="136"/>
      <c r="N2994" s="136"/>
    </row>
    <row r="2995" spans="6:14">
      <c r="F2995" s="136" t="s">
        <v>14253</v>
      </c>
      <c r="G2995" s="136">
        <v>2992</v>
      </c>
      <c r="H2995" s="136" t="s">
        <v>2566</v>
      </c>
      <c r="I2995" s="136" t="s">
        <v>2567</v>
      </c>
      <c r="J2995" s="136" t="s">
        <v>14254</v>
      </c>
      <c r="L2995" s="136"/>
      <c r="M2995" s="136"/>
      <c r="N2995" s="136"/>
    </row>
    <row r="2996" spans="6:14">
      <c r="F2996" s="136" t="s">
        <v>14255</v>
      </c>
      <c r="G2996" s="136">
        <v>2993</v>
      </c>
      <c r="H2996" s="136" t="s">
        <v>722</v>
      </c>
      <c r="I2996" s="136" t="s">
        <v>722</v>
      </c>
      <c r="J2996" s="136" t="s">
        <v>14256</v>
      </c>
      <c r="L2996" s="136"/>
      <c r="M2996" s="136"/>
      <c r="N2996" s="136"/>
    </row>
    <row r="2997" spans="6:14">
      <c r="F2997" s="136" t="s">
        <v>14257</v>
      </c>
      <c r="G2997" s="136">
        <v>2994</v>
      </c>
      <c r="H2997" s="136" t="s">
        <v>14258</v>
      </c>
      <c r="I2997" s="136" t="s">
        <v>14259</v>
      </c>
      <c r="J2997" s="136" t="s">
        <v>14260</v>
      </c>
      <c r="L2997" s="136"/>
      <c r="M2997" s="136"/>
      <c r="N2997" s="136"/>
    </row>
    <row r="2998" spans="6:14">
      <c r="F2998" s="136" t="s">
        <v>14261</v>
      </c>
      <c r="G2998" s="136">
        <v>2995</v>
      </c>
      <c r="H2998" s="136" t="s">
        <v>5709</v>
      </c>
      <c r="I2998" s="136" t="s">
        <v>5709</v>
      </c>
      <c r="J2998" s="136" t="s">
        <v>14262</v>
      </c>
      <c r="L2998" s="136"/>
      <c r="M2998" s="136"/>
      <c r="N2998" s="136"/>
    </row>
    <row r="2999" spans="6:14">
      <c r="F2999" s="136" t="s">
        <v>14263</v>
      </c>
      <c r="G2999" s="136">
        <v>2996</v>
      </c>
      <c r="H2999" s="136" t="s">
        <v>14264</v>
      </c>
      <c r="I2999" s="136" t="s">
        <v>14265</v>
      </c>
      <c r="J2999" s="136" t="s">
        <v>14266</v>
      </c>
      <c r="L2999" s="136"/>
      <c r="M2999" s="136"/>
      <c r="N2999" s="136"/>
    </row>
    <row r="3000" spans="6:14">
      <c r="F3000" s="136" t="s">
        <v>14267</v>
      </c>
      <c r="G3000" s="136">
        <v>2997</v>
      </c>
      <c r="H3000" s="136" t="s">
        <v>14268</v>
      </c>
      <c r="I3000" s="136" t="s">
        <v>14269</v>
      </c>
      <c r="J3000" s="136" t="s">
        <v>14270</v>
      </c>
      <c r="L3000" s="136"/>
      <c r="M3000" s="136"/>
      <c r="N3000" s="136"/>
    </row>
    <row r="3001" spans="6:14">
      <c r="F3001" s="136" t="s">
        <v>14271</v>
      </c>
      <c r="G3001" s="136">
        <v>2998</v>
      </c>
      <c r="H3001" s="136" t="s">
        <v>4878</v>
      </c>
      <c r="I3001" s="136" t="s">
        <v>4879</v>
      </c>
      <c r="J3001" s="136" t="s">
        <v>14272</v>
      </c>
      <c r="L3001" s="136"/>
      <c r="M3001" s="136"/>
      <c r="N3001" s="136"/>
    </row>
    <row r="3002" spans="6:14">
      <c r="F3002" s="136" t="s">
        <v>14273</v>
      </c>
      <c r="G3002" s="136">
        <v>2999</v>
      </c>
      <c r="H3002" s="136" t="s">
        <v>4652</v>
      </c>
      <c r="I3002" s="136" t="s">
        <v>4653</v>
      </c>
      <c r="J3002" s="136" t="s">
        <v>14274</v>
      </c>
      <c r="L3002" s="136"/>
      <c r="M3002" s="136"/>
      <c r="N3002" s="136"/>
    </row>
    <row r="3003" spans="6:14">
      <c r="F3003" s="136" t="s">
        <v>14275</v>
      </c>
      <c r="G3003" s="136">
        <v>3000</v>
      </c>
      <c r="H3003" s="136" t="s">
        <v>4810</v>
      </c>
      <c r="I3003" s="136" t="s">
        <v>4249</v>
      </c>
      <c r="J3003" s="136" t="s">
        <v>14276</v>
      </c>
      <c r="L3003" s="136"/>
      <c r="M3003" s="136"/>
      <c r="N3003" s="136"/>
    </row>
    <row r="3004" spans="6:14">
      <c r="F3004" s="136" t="s">
        <v>14277</v>
      </c>
      <c r="G3004" s="136">
        <v>3001</v>
      </c>
      <c r="H3004" s="136" t="s">
        <v>2414</v>
      </c>
      <c r="I3004" s="136" t="s">
        <v>2415</v>
      </c>
      <c r="J3004" s="136" t="s">
        <v>14278</v>
      </c>
      <c r="L3004" s="136"/>
      <c r="M3004" s="136"/>
      <c r="N3004" s="136"/>
    </row>
    <row r="3005" spans="6:14">
      <c r="F3005" s="136" t="s">
        <v>14279</v>
      </c>
      <c r="G3005" s="136">
        <v>3002</v>
      </c>
      <c r="H3005" s="136" t="s">
        <v>3592</v>
      </c>
      <c r="I3005" s="136" t="s">
        <v>3592</v>
      </c>
      <c r="J3005" s="136" t="s">
        <v>14280</v>
      </c>
      <c r="L3005" s="136"/>
      <c r="M3005" s="136"/>
      <c r="N3005" s="136"/>
    </row>
    <row r="3006" spans="6:14">
      <c r="F3006" s="136" t="s">
        <v>14281</v>
      </c>
      <c r="G3006" s="136">
        <v>3003</v>
      </c>
      <c r="H3006" s="136" t="s">
        <v>14282</v>
      </c>
      <c r="I3006" s="136" t="s">
        <v>14283</v>
      </c>
      <c r="J3006" s="136" t="s">
        <v>14284</v>
      </c>
      <c r="L3006" s="136"/>
      <c r="M3006" s="136"/>
      <c r="N3006" s="136"/>
    </row>
    <row r="3007" spans="6:14">
      <c r="F3007" s="136" t="s">
        <v>14285</v>
      </c>
      <c r="G3007" s="136">
        <v>3004</v>
      </c>
      <c r="H3007" s="136" t="s">
        <v>5173</v>
      </c>
      <c r="I3007" s="136" t="s">
        <v>5173</v>
      </c>
      <c r="J3007" s="136" t="s">
        <v>14286</v>
      </c>
      <c r="L3007" s="136"/>
      <c r="M3007" s="136"/>
      <c r="N3007" s="136"/>
    </row>
    <row r="3008" spans="6:14">
      <c r="F3008" s="136" t="s">
        <v>14287</v>
      </c>
      <c r="G3008" s="136">
        <v>3005</v>
      </c>
      <c r="H3008" s="136" t="s">
        <v>14288</v>
      </c>
      <c r="I3008" s="136" t="s">
        <v>14289</v>
      </c>
      <c r="J3008" s="136" t="s">
        <v>14290</v>
      </c>
      <c r="L3008" s="136"/>
      <c r="M3008" s="136"/>
      <c r="N3008" s="136"/>
    </row>
    <row r="3009" spans="6:14">
      <c r="F3009" s="136" t="s">
        <v>14291</v>
      </c>
      <c r="G3009" s="136">
        <v>3006</v>
      </c>
      <c r="H3009" s="136" t="s">
        <v>14292</v>
      </c>
      <c r="I3009" s="136" t="s">
        <v>14293</v>
      </c>
      <c r="J3009" s="136" t="s">
        <v>14294</v>
      </c>
      <c r="L3009" s="136"/>
      <c r="M3009" s="136"/>
      <c r="N3009" s="136"/>
    </row>
    <row r="3010" spans="6:14">
      <c r="F3010" s="136" t="s">
        <v>14295</v>
      </c>
      <c r="G3010" s="136">
        <v>3007</v>
      </c>
      <c r="H3010" s="136" t="s">
        <v>14296</v>
      </c>
      <c r="I3010" s="136" t="s">
        <v>14297</v>
      </c>
      <c r="J3010" s="136" t="s">
        <v>14298</v>
      </c>
      <c r="L3010" s="136"/>
      <c r="M3010" s="136"/>
      <c r="N3010" s="136"/>
    </row>
    <row r="3011" spans="6:14">
      <c r="F3011" s="136" t="s">
        <v>14299</v>
      </c>
      <c r="G3011" s="136">
        <v>3008</v>
      </c>
      <c r="H3011" s="136" t="s">
        <v>14300</v>
      </c>
      <c r="I3011" s="136" t="s">
        <v>14301</v>
      </c>
      <c r="J3011" s="136" t="s">
        <v>14302</v>
      </c>
      <c r="L3011" s="136"/>
      <c r="M3011" s="136"/>
      <c r="N3011" s="136"/>
    </row>
    <row r="3012" spans="6:14">
      <c r="F3012" s="136" t="s">
        <v>14303</v>
      </c>
      <c r="G3012" s="136">
        <v>3009</v>
      </c>
      <c r="H3012" s="136" t="s">
        <v>14304</v>
      </c>
      <c r="I3012" s="136" t="s">
        <v>14305</v>
      </c>
      <c r="J3012" s="136" t="s">
        <v>14306</v>
      </c>
      <c r="L3012" s="136"/>
      <c r="M3012" s="136"/>
      <c r="N3012" s="136"/>
    </row>
    <row r="3013" spans="6:14">
      <c r="F3013" s="136" t="s">
        <v>14307</v>
      </c>
      <c r="G3013" s="136">
        <v>3010</v>
      </c>
      <c r="H3013" s="136" t="s">
        <v>1251</v>
      </c>
      <c r="I3013" s="136" t="s">
        <v>1251</v>
      </c>
      <c r="J3013" s="136" t="s">
        <v>14308</v>
      </c>
      <c r="L3013" s="136"/>
      <c r="M3013" s="136"/>
      <c r="N3013" s="136"/>
    </row>
    <row r="3014" spans="6:14">
      <c r="F3014" s="136" t="s">
        <v>14309</v>
      </c>
      <c r="G3014" s="136"/>
      <c r="H3014" s="136" t="s">
        <v>5736</v>
      </c>
      <c r="I3014" s="136" t="s">
        <v>5737</v>
      </c>
      <c r="J3014" s="136" t="s">
        <v>14310</v>
      </c>
      <c r="L3014" s="136"/>
      <c r="M3014" s="136"/>
      <c r="N3014" s="136"/>
    </row>
    <row r="3015" spans="6:14">
      <c r="F3015" s="136" t="s">
        <v>14311</v>
      </c>
      <c r="G3015" s="136">
        <v>3012</v>
      </c>
      <c r="H3015" s="136" t="s">
        <v>14312</v>
      </c>
      <c r="I3015" s="136" t="s">
        <v>14313</v>
      </c>
      <c r="J3015" s="136" t="s">
        <v>14314</v>
      </c>
      <c r="L3015" s="136"/>
      <c r="M3015" s="136"/>
      <c r="N3015" s="136"/>
    </row>
    <row r="3016" spans="6:14">
      <c r="F3016" s="136" t="s">
        <v>14315</v>
      </c>
      <c r="G3016" s="136">
        <v>3013</v>
      </c>
      <c r="H3016" s="136" t="s">
        <v>3065</v>
      </c>
      <c r="I3016" s="136" t="s">
        <v>3066</v>
      </c>
      <c r="J3016" s="136" t="s">
        <v>14316</v>
      </c>
      <c r="L3016" s="136"/>
      <c r="M3016" s="136"/>
      <c r="N3016" s="136"/>
    </row>
    <row r="3017" spans="6:14">
      <c r="F3017" s="136" t="s">
        <v>14317</v>
      </c>
      <c r="G3017" s="136">
        <v>3014</v>
      </c>
      <c r="H3017" s="136" t="s">
        <v>6037</v>
      </c>
      <c r="I3017" s="136" t="s">
        <v>6038</v>
      </c>
      <c r="J3017" s="136" t="s">
        <v>14318</v>
      </c>
      <c r="L3017" s="136"/>
      <c r="M3017" s="136"/>
      <c r="N3017" s="136"/>
    </row>
    <row r="3018" spans="6:14">
      <c r="F3018" s="136" t="s">
        <v>14319</v>
      </c>
      <c r="G3018" s="136">
        <v>3015</v>
      </c>
      <c r="H3018" s="136" t="s">
        <v>5651</v>
      </c>
      <c r="I3018" s="136" t="s">
        <v>5652</v>
      </c>
      <c r="J3018" s="136" t="s">
        <v>14320</v>
      </c>
      <c r="L3018" s="136"/>
      <c r="M3018" s="136"/>
      <c r="N3018" s="136"/>
    </row>
    <row r="3019" spans="6:14">
      <c r="F3019" s="136" t="s">
        <v>14321</v>
      </c>
      <c r="G3019" s="136">
        <v>3016</v>
      </c>
      <c r="H3019" s="136" t="s">
        <v>5616</v>
      </c>
      <c r="I3019" s="136" t="s">
        <v>5617</v>
      </c>
      <c r="J3019" s="136" t="s">
        <v>14322</v>
      </c>
      <c r="L3019" s="136"/>
      <c r="M3019" s="136"/>
      <c r="N3019" s="136"/>
    </row>
    <row r="3020" spans="6:14">
      <c r="F3020" s="136" t="s">
        <v>14323</v>
      </c>
      <c r="G3020" s="136">
        <v>3017</v>
      </c>
      <c r="H3020" s="136" t="s">
        <v>5984</v>
      </c>
      <c r="I3020" s="136" t="s">
        <v>5985</v>
      </c>
      <c r="J3020" s="136" t="s">
        <v>14324</v>
      </c>
      <c r="L3020" s="136"/>
      <c r="M3020" s="136"/>
      <c r="N3020" s="136"/>
    </row>
    <row r="3021" spans="6:14">
      <c r="F3021" s="136" t="s">
        <v>14325</v>
      </c>
      <c r="G3021" s="136">
        <v>3018</v>
      </c>
      <c r="H3021" s="136" t="s">
        <v>14326</v>
      </c>
      <c r="I3021" s="136" t="s">
        <v>14327</v>
      </c>
      <c r="J3021" s="136" t="s">
        <v>14328</v>
      </c>
      <c r="L3021" s="136"/>
      <c r="M3021" s="136"/>
      <c r="N3021" s="136"/>
    </row>
    <row r="3022" spans="6:14">
      <c r="F3022" s="136" t="s">
        <v>14329</v>
      </c>
      <c r="G3022" s="136">
        <v>3019</v>
      </c>
      <c r="H3022" s="136" t="s">
        <v>70</v>
      </c>
      <c r="I3022" s="136" t="s">
        <v>71</v>
      </c>
      <c r="J3022" s="136" t="s">
        <v>14330</v>
      </c>
      <c r="L3022" s="136"/>
      <c r="M3022" s="136"/>
      <c r="N3022" s="136"/>
    </row>
    <row r="3023" spans="6:14">
      <c r="F3023" s="136" t="s">
        <v>14331</v>
      </c>
      <c r="G3023" s="136">
        <v>3020</v>
      </c>
      <c r="H3023" s="136" t="s">
        <v>3533</v>
      </c>
      <c r="I3023" s="136" t="s">
        <v>3534</v>
      </c>
      <c r="J3023" s="136" t="s">
        <v>14332</v>
      </c>
      <c r="L3023" s="136"/>
      <c r="M3023" s="136"/>
      <c r="N3023" s="136"/>
    </row>
    <row r="3024" spans="6:14">
      <c r="F3024" s="136" t="s">
        <v>14333</v>
      </c>
      <c r="G3024" s="136">
        <v>3021</v>
      </c>
      <c r="H3024" s="136" t="s">
        <v>14334</v>
      </c>
      <c r="I3024" s="136" t="s">
        <v>14335</v>
      </c>
      <c r="J3024" s="136" t="s">
        <v>14336</v>
      </c>
      <c r="L3024" s="136"/>
      <c r="M3024" s="136"/>
      <c r="N3024" s="136"/>
    </row>
    <row r="3025" spans="6:14">
      <c r="F3025" s="136" t="s">
        <v>14337</v>
      </c>
      <c r="G3025" s="136">
        <v>3022</v>
      </c>
      <c r="H3025" s="136" t="s">
        <v>100</v>
      </c>
      <c r="I3025" s="136" t="s">
        <v>101</v>
      </c>
      <c r="J3025" s="136" t="s">
        <v>14338</v>
      </c>
      <c r="L3025" s="136"/>
      <c r="M3025" s="136"/>
      <c r="N3025" s="136"/>
    </row>
    <row r="3026" spans="6:14">
      <c r="F3026" s="136" t="s">
        <v>14339</v>
      </c>
      <c r="G3026" s="136">
        <v>3023</v>
      </c>
      <c r="H3026" s="136" t="s">
        <v>5683</v>
      </c>
      <c r="I3026" s="136" t="s">
        <v>5683</v>
      </c>
      <c r="J3026" s="136" t="s">
        <v>14340</v>
      </c>
      <c r="L3026" s="136"/>
      <c r="M3026" s="136"/>
      <c r="N3026" s="136"/>
    </row>
    <row r="3027" spans="6:14">
      <c r="F3027" s="136" t="s">
        <v>14341</v>
      </c>
      <c r="G3027" s="136">
        <v>3024</v>
      </c>
      <c r="H3027" s="136" t="s">
        <v>4342</v>
      </c>
      <c r="I3027" s="136" t="s">
        <v>4342</v>
      </c>
      <c r="J3027" s="136" t="s">
        <v>14342</v>
      </c>
      <c r="L3027" s="136"/>
      <c r="M3027" s="136"/>
      <c r="N3027" s="136"/>
    </row>
    <row r="3028" spans="6:14">
      <c r="F3028" s="136" t="s">
        <v>14343</v>
      </c>
      <c r="G3028" s="136">
        <v>3025</v>
      </c>
      <c r="H3028" s="136" t="s">
        <v>4083</v>
      </c>
      <c r="I3028" s="136" t="s">
        <v>4084</v>
      </c>
      <c r="J3028" s="136" t="s">
        <v>14344</v>
      </c>
      <c r="L3028" s="136"/>
      <c r="M3028" s="136"/>
      <c r="N3028" s="136"/>
    </row>
    <row r="3029" spans="6:14">
      <c r="F3029" s="136" t="s">
        <v>14345</v>
      </c>
      <c r="G3029" s="136">
        <v>3026</v>
      </c>
      <c r="H3029" s="136" t="s">
        <v>1504</v>
      </c>
      <c r="I3029" s="136" t="s">
        <v>1505</v>
      </c>
      <c r="J3029" s="136" t="s">
        <v>14346</v>
      </c>
      <c r="L3029" s="136"/>
      <c r="M3029" s="136"/>
      <c r="N3029" s="136"/>
    </row>
    <row r="3030" spans="6:14">
      <c r="F3030" s="136" t="s">
        <v>14347</v>
      </c>
      <c r="G3030" s="136">
        <v>3027</v>
      </c>
      <c r="H3030" s="136" t="s">
        <v>350</v>
      </c>
      <c r="I3030" s="136" t="s">
        <v>351</v>
      </c>
      <c r="J3030" s="136" t="s">
        <v>14348</v>
      </c>
      <c r="L3030" s="136"/>
      <c r="M3030" s="136"/>
      <c r="N3030" s="136"/>
    </row>
    <row r="3031" spans="6:14">
      <c r="F3031" s="136" t="s">
        <v>14349</v>
      </c>
      <c r="G3031" s="136">
        <v>3028</v>
      </c>
      <c r="H3031" s="136" t="s">
        <v>1068</v>
      </c>
      <c r="I3031" s="136" t="s">
        <v>1069</v>
      </c>
      <c r="J3031" s="136" t="s">
        <v>14350</v>
      </c>
      <c r="L3031" s="136"/>
      <c r="M3031" s="136"/>
      <c r="N3031" s="136"/>
    </row>
    <row r="3032" spans="6:14">
      <c r="F3032" s="136" t="s">
        <v>14351</v>
      </c>
      <c r="G3032" s="136">
        <v>3029</v>
      </c>
      <c r="H3032" s="136" t="s">
        <v>14352</v>
      </c>
      <c r="I3032" s="136" t="s">
        <v>14353</v>
      </c>
      <c r="J3032" s="136" t="s">
        <v>14354</v>
      </c>
      <c r="L3032" s="136"/>
      <c r="M3032" s="136"/>
      <c r="N3032" s="136"/>
    </row>
    <row r="3033" spans="6:14">
      <c r="F3033" s="136" t="s">
        <v>14355</v>
      </c>
      <c r="G3033" s="136">
        <v>3030</v>
      </c>
      <c r="H3033" s="136" t="s">
        <v>4499</v>
      </c>
      <c r="I3033" s="136" t="s">
        <v>4500</v>
      </c>
      <c r="J3033" s="136" t="s">
        <v>14356</v>
      </c>
      <c r="L3033" s="136"/>
      <c r="M3033" s="136"/>
      <c r="N3033" s="136"/>
    </row>
    <row r="3034" spans="6:14">
      <c r="F3034" s="136" t="s">
        <v>14357</v>
      </c>
      <c r="G3034" s="136">
        <v>3031</v>
      </c>
      <c r="H3034" s="136" t="s">
        <v>1498</v>
      </c>
      <c r="I3034" s="136" t="s">
        <v>1498</v>
      </c>
      <c r="J3034" s="136" t="s">
        <v>14358</v>
      </c>
      <c r="L3034" s="136"/>
      <c r="M3034" s="136"/>
      <c r="N3034" s="136"/>
    </row>
    <row r="3035" spans="6:14">
      <c r="F3035" s="136" t="s">
        <v>14359</v>
      </c>
      <c r="G3035" s="136">
        <v>3032</v>
      </c>
      <c r="H3035" s="136" t="s">
        <v>281</v>
      </c>
      <c r="I3035" s="136" t="s">
        <v>282</v>
      </c>
      <c r="J3035" s="136" t="s">
        <v>14360</v>
      </c>
      <c r="L3035" s="136"/>
      <c r="M3035" s="136"/>
      <c r="N3035" s="136"/>
    </row>
    <row r="3036" spans="6:14">
      <c r="F3036" s="136" t="s">
        <v>14361</v>
      </c>
      <c r="G3036" s="136">
        <v>3033</v>
      </c>
      <c r="H3036" s="136" t="s">
        <v>4059</v>
      </c>
      <c r="I3036" s="136" t="s">
        <v>4060</v>
      </c>
      <c r="J3036" s="136" t="s">
        <v>14362</v>
      </c>
      <c r="L3036" s="136"/>
      <c r="M3036" s="136"/>
      <c r="N3036" s="136"/>
    </row>
    <row r="3037" spans="6:14">
      <c r="F3037" s="136" t="s">
        <v>14363</v>
      </c>
      <c r="G3037" s="136">
        <v>3034</v>
      </c>
      <c r="H3037" s="136" t="s">
        <v>14364</v>
      </c>
      <c r="I3037" s="136" t="s">
        <v>14365</v>
      </c>
      <c r="J3037" s="136" t="s">
        <v>14366</v>
      </c>
      <c r="L3037" s="136"/>
      <c r="M3037" s="136"/>
      <c r="N3037" s="136"/>
    </row>
    <row r="3038" spans="6:14">
      <c r="F3038" s="136" t="s">
        <v>14367</v>
      </c>
      <c r="G3038" s="136">
        <v>3035</v>
      </c>
      <c r="H3038" s="136" t="s">
        <v>3466</v>
      </c>
      <c r="I3038" s="136" t="s">
        <v>3466</v>
      </c>
      <c r="J3038" s="136" t="s">
        <v>14368</v>
      </c>
      <c r="L3038" s="136"/>
      <c r="M3038" s="136"/>
      <c r="N3038" s="136"/>
    </row>
    <row r="3039" spans="6:14">
      <c r="F3039" s="136" t="s">
        <v>14369</v>
      </c>
      <c r="G3039" s="136">
        <v>3036</v>
      </c>
      <c r="H3039" s="136" t="s">
        <v>14370</v>
      </c>
      <c r="I3039" s="136" t="s">
        <v>14371</v>
      </c>
      <c r="J3039" s="136" t="s">
        <v>14372</v>
      </c>
      <c r="L3039" s="136"/>
      <c r="M3039" s="136"/>
      <c r="N3039" s="136"/>
    </row>
    <row r="3040" spans="6:14">
      <c r="F3040" s="136" t="s">
        <v>14373</v>
      </c>
      <c r="G3040" s="136">
        <v>3037</v>
      </c>
      <c r="H3040" s="136" t="s">
        <v>14374</v>
      </c>
      <c r="I3040" s="136" t="s">
        <v>14375</v>
      </c>
      <c r="J3040" s="136" t="s">
        <v>14376</v>
      </c>
      <c r="L3040" s="136"/>
      <c r="M3040" s="136"/>
      <c r="N3040" s="136"/>
    </row>
    <row r="3041" spans="6:14">
      <c r="F3041" s="136" t="s">
        <v>14377</v>
      </c>
      <c r="G3041" s="136">
        <v>3038</v>
      </c>
      <c r="H3041" s="136" t="s">
        <v>14378</v>
      </c>
      <c r="I3041" s="136" t="s">
        <v>14379</v>
      </c>
      <c r="J3041" s="136" t="s">
        <v>14380</v>
      </c>
      <c r="L3041" s="136"/>
      <c r="M3041" s="136"/>
      <c r="N3041" s="136"/>
    </row>
    <row r="3042" spans="6:14">
      <c r="F3042" s="136" t="s">
        <v>14381</v>
      </c>
      <c r="G3042" s="136">
        <v>3039</v>
      </c>
      <c r="H3042" s="136" t="s">
        <v>3542</v>
      </c>
      <c r="I3042" s="136" t="s">
        <v>3543</v>
      </c>
      <c r="J3042" s="136" t="s">
        <v>14382</v>
      </c>
      <c r="L3042" s="136"/>
      <c r="M3042" s="136"/>
      <c r="N3042" s="136"/>
    </row>
    <row r="3043" spans="6:14">
      <c r="F3043" s="136" t="s">
        <v>14383</v>
      </c>
      <c r="G3043" s="136">
        <v>3040</v>
      </c>
      <c r="H3043" s="136" t="s">
        <v>4182</v>
      </c>
      <c r="I3043" s="136" t="s">
        <v>1317</v>
      </c>
      <c r="J3043" s="136" t="s">
        <v>14384</v>
      </c>
      <c r="L3043" s="136"/>
      <c r="M3043" s="136"/>
      <c r="N3043" s="136"/>
    </row>
    <row r="3044" spans="6:14">
      <c r="F3044" s="136" t="s">
        <v>14385</v>
      </c>
      <c r="G3044" s="136">
        <v>3041</v>
      </c>
      <c r="H3044" s="136" t="s">
        <v>6228</v>
      </c>
      <c r="I3044" s="136" t="s">
        <v>6227</v>
      </c>
      <c r="J3044" s="136" t="s">
        <v>14386</v>
      </c>
      <c r="L3044" s="136"/>
      <c r="M3044" s="136"/>
      <c r="N3044" s="136"/>
    </row>
    <row r="3045" spans="6:14">
      <c r="F3045" s="136" t="s">
        <v>14387</v>
      </c>
      <c r="G3045" s="136">
        <v>3042</v>
      </c>
      <c r="H3045" s="136" t="s">
        <v>14388</v>
      </c>
      <c r="I3045" s="136" t="s">
        <v>14389</v>
      </c>
      <c r="J3045" s="136" t="s">
        <v>14390</v>
      </c>
      <c r="L3045" s="136"/>
      <c r="M3045" s="136"/>
      <c r="N3045" s="136"/>
    </row>
    <row r="3046" spans="6:14">
      <c r="F3046" s="136" t="s">
        <v>14391</v>
      </c>
      <c r="G3046" s="136">
        <v>3043</v>
      </c>
      <c r="H3046" s="136" t="s">
        <v>4418</v>
      </c>
      <c r="I3046" s="136" t="s">
        <v>4419</v>
      </c>
      <c r="J3046" s="136" t="s">
        <v>14392</v>
      </c>
      <c r="L3046" s="136"/>
      <c r="M3046" s="136"/>
      <c r="N3046" s="136"/>
    </row>
    <row r="3047" spans="6:14">
      <c r="F3047" s="136" t="s">
        <v>14393</v>
      </c>
      <c r="G3047" s="136">
        <v>3044</v>
      </c>
      <c r="H3047" s="136" t="s">
        <v>4033</v>
      </c>
      <c r="I3047" s="136" t="s">
        <v>4033</v>
      </c>
      <c r="J3047" s="136" t="s">
        <v>14394</v>
      </c>
      <c r="L3047" s="136"/>
      <c r="M3047" s="136"/>
      <c r="N3047" s="136"/>
    </row>
    <row r="3048" spans="6:14">
      <c r="F3048" s="136" t="s">
        <v>14395</v>
      </c>
      <c r="G3048" s="136">
        <v>3045</v>
      </c>
      <c r="H3048" s="136" t="s">
        <v>14396</v>
      </c>
      <c r="I3048" s="136" t="s">
        <v>11734</v>
      </c>
      <c r="J3048" s="136" t="s">
        <v>14397</v>
      </c>
      <c r="L3048" s="136"/>
      <c r="M3048" s="136"/>
      <c r="N3048" s="136"/>
    </row>
    <row r="3049" spans="6:14">
      <c r="F3049" s="136" t="s">
        <v>14398</v>
      </c>
      <c r="G3049" s="136">
        <v>3046</v>
      </c>
      <c r="H3049" s="136" t="s">
        <v>2818</v>
      </c>
      <c r="I3049" s="136" t="s">
        <v>14399</v>
      </c>
      <c r="J3049" s="136" t="s">
        <v>14400</v>
      </c>
      <c r="L3049" s="136"/>
      <c r="M3049" s="136"/>
      <c r="N3049" s="136"/>
    </row>
    <row r="3050" spans="6:14">
      <c r="F3050" s="136" t="s">
        <v>14401</v>
      </c>
      <c r="G3050" s="136">
        <v>3047</v>
      </c>
      <c r="H3050" s="136" t="s">
        <v>14402</v>
      </c>
      <c r="I3050" s="136" t="s">
        <v>14403</v>
      </c>
      <c r="J3050" s="136" t="s">
        <v>14404</v>
      </c>
      <c r="L3050" s="136"/>
      <c r="M3050" s="136"/>
      <c r="N3050" s="136"/>
    </row>
    <row r="3051" spans="6:14">
      <c r="F3051" s="136" t="s">
        <v>14405</v>
      </c>
      <c r="G3051" s="136">
        <v>3048</v>
      </c>
      <c r="H3051" s="136" t="s">
        <v>14406</v>
      </c>
      <c r="I3051" s="136" t="s">
        <v>14407</v>
      </c>
      <c r="J3051" s="136" t="s">
        <v>14408</v>
      </c>
      <c r="L3051" s="136"/>
      <c r="M3051" s="136"/>
      <c r="N3051" s="136"/>
    </row>
    <row r="3052" spans="6:14">
      <c r="F3052" s="136" t="s">
        <v>14409</v>
      </c>
      <c r="G3052" s="136">
        <v>3049</v>
      </c>
      <c r="H3052" s="136" t="s">
        <v>14410</v>
      </c>
      <c r="I3052" s="136" t="s">
        <v>14411</v>
      </c>
      <c r="J3052" s="136" t="s">
        <v>14412</v>
      </c>
      <c r="L3052" s="136"/>
      <c r="M3052" s="136"/>
      <c r="N3052" s="136"/>
    </row>
    <row r="3053" spans="6:14">
      <c r="F3053" s="136" t="s">
        <v>14413</v>
      </c>
      <c r="G3053" s="136">
        <v>3050</v>
      </c>
      <c r="H3053" s="136" t="s">
        <v>4988</v>
      </c>
      <c r="I3053" s="136" t="s">
        <v>4989</v>
      </c>
      <c r="J3053" s="136" t="s">
        <v>14414</v>
      </c>
      <c r="L3053" s="136"/>
      <c r="M3053" s="136"/>
      <c r="N3053" s="136"/>
    </row>
    <row r="3054" spans="6:14">
      <c r="F3054" s="136" t="s">
        <v>14415</v>
      </c>
      <c r="G3054" s="136">
        <v>3051</v>
      </c>
      <c r="H3054" s="136" t="s">
        <v>14416</v>
      </c>
      <c r="I3054" s="136" t="s">
        <v>14417</v>
      </c>
      <c r="J3054" s="136" t="s">
        <v>14418</v>
      </c>
      <c r="L3054" s="136"/>
      <c r="M3054" s="136"/>
      <c r="N3054" s="136"/>
    </row>
    <row r="3055" spans="6:14">
      <c r="F3055" s="136" t="s">
        <v>14419</v>
      </c>
      <c r="G3055" s="136">
        <v>3052</v>
      </c>
      <c r="H3055" s="136" t="s">
        <v>3740</v>
      </c>
      <c r="I3055" s="136" t="s">
        <v>3740</v>
      </c>
      <c r="J3055" s="136" t="s">
        <v>14420</v>
      </c>
      <c r="L3055" s="136"/>
      <c r="M3055" s="136"/>
      <c r="N3055" s="136"/>
    </row>
    <row r="3056" spans="6:14">
      <c r="F3056" s="136" t="s">
        <v>14421</v>
      </c>
      <c r="G3056" s="136">
        <v>3053</v>
      </c>
      <c r="H3056" s="136" t="s">
        <v>1119</v>
      </c>
      <c r="I3056" s="136" t="s">
        <v>1120</v>
      </c>
      <c r="J3056" s="136" t="s">
        <v>14422</v>
      </c>
      <c r="L3056" s="136"/>
      <c r="M3056" s="136"/>
      <c r="N3056" s="136"/>
    </row>
    <row r="3057" spans="6:14">
      <c r="F3057" s="136" t="s">
        <v>14423</v>
      </c>
      <c r="G3057" s="136">
        <v>3054</v>
      </c>
      <c r="H3057" s="136" t="s">
        <v>725</v>
      </c>
      <c r="I3057" s="136" t="s">
        <v>726</v>
      </c>
      <c r="J3057" s="136" t="s">
        <v>14424</v>
      </c>
      <c r="L3057" s="136"/>
      <c r="M3057" s="136"/>
      <c r="N3057" s="136"/>
    </row>
    <row r="3058" spans="6:14">
      <c r="F3058" s="136" t="s">
        <v>14425</v>
      </c>
      <c r="G3058" s="136">
        <v>3055</v>
      </c>
      <c r="H3058" s="136" t="s">
        <v>2885</v>
      </c>
      <c r="I3058" s="136" t="s">
        <v>2887</v>
      </c>
      <c r="J3058" s="136" t="s">
        <v>14426</v>
      </c>
      <c r="L3058" s="136"/>
      <c r="M3058" s="136"/>
      <c r="N3058" s="136"/>
    </row>
    <row r="3059" spans="6:14">
      <c r="F3059" s="136" t="s">
        <v>14427</v>
      </c>
      <c r="G3059" s="136">
        <v>3056</v>
      </c>
      <c r="H3059" s="136" t="s">
        <v>14428</v>
      </c>
      <c r="I3059" s="136" t="s">
        <v>14429</v>
      </c>
      <c r="J3059" s="136" t="s">
        <v>14430</v>
      </c>
      <c r="L3059" s="136"/>
      <c r="M3059" s="136"/>
      <c r="N3059" s="136"/>
    </row>
    <row r="3060" spans="6:14">
      <c r="F3060" s="136" t="s">
        <v>14431</v>
      </c>
      <c r="G3060" s="136">
        <v>3057</v>
      </c>
      <c r="H3060" s="136" t="s">
        <v>14432</v>
      </c>
      <c r="I3060" s="136" t="s">
        <v>14433</v>
      </c>
      <c r="J3060" s="136" t="s">
        <v>14434</v>
      </c>
      <c r="L3060" s="136"/>
      <c r="M3060" s="136"/>
      <c r="N3060" s="136"/>
    </row>
    <row r="3061" spans="6:14">
      <c r="F3061" s="136" t="s">
        <v>14435</v>
      </c>
      <c r="G3061" s="136">
        <v>3058</v>
      </c>
      <c r="H3061" s="136" t="s">
        <v>9046</v>
      </c>
      <c r="I3061" s="136" t="s">
        <v>9060</v>
      </c>
      <c r="J3061" s="136" t="s">
        <v>14436</v>
      </c>
      <c r="L3061" s="136"/>
      <c r="M3061" s="136"/>
      <c r="N3061" s="136"/>
    </row>
    <row r="3062" spans="6:14">
      <c r="F3062" s="136" t="s">
        <v>14437</v>
      </c>
      <c r="G3062" s="136">
        <v>3059</v>
      </c>
      <c r="H3062" s="136" t="s">
        <v>5040</v>
      </c>
      <c r="I3062" s="136" t="s">
        <v>5041</v>
      </c>
      <c r="J3062" s="136" t="s">
        <v>14438</v>
      </c>
      <c r="L3062" s="136"/>
      <c r="M3062" s="136"/>
      <c r="N3062" s="136"/>
    </row>
    <row r="3063" spans="6:14">
      <c r="F3063" s="136" t="s">
        <v>14439</v>
      </c>
      <c r="G3063" s="136">
        <v>3060</v>
      </c>
      <c r="H3063" s="136" t="s">
        <v>3692</v>
      </c>
      <c r="I3063" s="136" t="s">
        <v>3692</v>
      </c>
      <c r="J3063" s="136" t="s">
        <v>14440</v>
      </c>
      <c r="L3063" s="136"/>
      <c r="M3063" s="136"/>
      <c r="N3063" s="136"/>
    </row>
    <row r="3064" spans="6:14">
      <c r="F3064" s="136" t="s">
        <v>14441</v>
      </c>
      <c r="G3064" s="136">
        <v>3061</v>
      </c>
      <c r="H3064" s="136" t="s">
        <v>14442</v>
      </c>
      <c r="I3064" s="136" t="s">
        <v>14443</v>
      </c>
      <c r="J3064" s="136" t="s">
        <v>14444</v>
      </c>
      <c r="L3064" s="136"/>
      <c r="M3064" s="136"/>
      <c r="N3064" s="136"/>
    </row>
    <row r="3065" spans="6:14">
      <c r="F3065" s="136" t="s">
        <v>14445</v>
      </c>
      <c r="G3065" s="136">
        <v>3062</v>
      </c>
      <c r="H3065" s="136" t="s">
        <v>5655</v>
      </c>
      <c r="I3065" s="136" t="s">
        <v>5656</v>
      </c>
      <c r="J3065" s="136" t="s">
        <v>14446</v>
      </c>
      <c r="L3065" s="136"/>
      <c r="M3065" s="136"/>
      <c r="N3065" s="136"/>
    </row>
    <row r="3066" spans="6:14">
      <c r="F3066" s="136" t="s">
        <v>14447</v>
      </c>
      <c r="G3066" s="136">
        <v>3063</v>
      </c>
      <c r="H3066" s="136" t="s">
        <v>14448</v>
      </c>
      <c r="I3066" s="136" t="s">
        <v>14449</v>
      </c>
      <c r="J3066" s="136" t="s">
        <v>14450</v>
      </c>
      <c r="L3066" s="136"/>
      <c r="M3066" s="136"/>
      <c r="N3066" s="136"/>
    </row>
    <row r="3067" spans="6:14">
      <c r="F3067" s="136" t="s">
        <v>14451</v>
      </c>
      <c r="G3067" s="136">
        <v>3064</v>
      </c>
      <c r="H3067" s="136" t="s">
        <v>1208</v>
      </c>
      <c r="I3067" s="136" t="s">
        <v>1208</v>
      </c>
      <c r="J3067" s="136" t="s">
        <v>14452</v>
      </c>
      <c r="L3067" s="136"/>
      <c r="M3067" s="136"/>
      <c r="N3067" s="136"/>
    </row>
    <row r="3068" spans="6:14">
      <c r="F3068" s="136" t="s">
        <v>14453</v>
      </c>
      <c r="G3068" s="136">
        <v>3065</v>
      </c>
      <c r="H3068" s="136" t="s">
        <v>4210</v>
      </c>
      <c r="I3068" s="136" t="s">
        <v>4211</v>
      </c>
      <c r="J3068" s="136" t="s">
        <v>14454</v>
      </c>
      <c r="L3068" s="136"/>
      <c r="M3068" s="136"/>
      <c r="N3068" s="136"/>
    </row>
    <row r="3069" spans="6:14">
      <c r="F3069" s="136" t="s">
        <v>14455</v>
      </c>
      <c r="G3069" s="136">
        <v>3066</v>
      </c>
      <c r="H3069" s="136" t="s">
        <v>6020</v>
      </c>
      <c r="I3069" s="136" t="s">
        <v>6021</v>
      </c>
      <c r="J3069" s="136" t="s">
        <v>14456</v>
      </c>
      <c r="L3069" s="136"/>
      <c r="M3069" s="136"/>
      <c r="N3069" s="136"/>
    </row>
    <row r="3070" spans="6:14">
      <c r="F3070" s="136" t="s">
        <v>14457</v>
      </c>
      <c r="G3070" s="136">
        <v>3067</v>
      </c>
      <c r="H3070" s="136" t="s">
        <v>2058</v>
      </c>
      <c r="I3070" s="136" t="s">
        <v>2059</v>
      </c>
      <c r="J3070" s="136" t="s">
        <v>14458</v>
      </c>
      <c r="L3070" s="136"/>
      <c r="M3070" s="136"/>
      <c r="N3070" s="136"/>
    </row>
    <row r="3071" spans="6:14">
      <c r="F3071" s="136" t="s">
        <v>14459</v>
      </c>
      <c r="G3071" s="136">
        <v>3068</v>
      </c>
      <c r="H3071" s="136" t="s">
        <v>14460</v>
      </c>
      <c r="I3071" s="136" t="s">
        <v>14461</v>
      </c>
      <c r="J3071" s="136" t="s">
        <v>14462</v>
      </c>
      <c r="L3071" s="136"/>
      <c r="M3071" s="136"/>
      <c r="N3071" s="136"/>
    </row>
    <row r="3072" spans="6:14">
      <c r="F3072" s="136" t="s">
        <v>14463</v>
      </c>
      <c r="G3072" s="136">
        <v>3069</v>
      </c>
      <c r="H3072" s="136" t="s">
        <v>2861</v>
      </c>
      <c r="I3072" s="136" t="s">
        <v>2862</v>
      </c>
      <c r="J3072" s="136" t="s">
        <v>14464</v>
      </c>
      <c r="L3072" s="136"/>
      <c r="M3072" s="136"/>
      <c r="N3072" s="136"/>
    </row>
    <row r="3073" spans="6:14">
      <c r="F3073" s="136" t="s">
        <v>14465</v>
      </c>
      <c r="G3073" s="136">
        <v>3070</v>
      </c>
      <c r="H3073" s="136" t="s">
        <v>1899</v>
      </c>
      <c r="I3073" s="136" t="s">
        <v>1905</v>
      </c>
      <c r="J3073" s="136" t="s">
        <v>14466</v>
      </c>
      <c r="L3073" s="136"/>
      <c r="M3073" s="136"/>
      <c r="N3073" s="136"/>
    </row>
    <row r="3074" spans="6:14">
      <c r="F3074" s="136" t="s">
        <v>14467</v>
      </c>
      <c r="G3074" s="136">
        <v>3071</v>
      </c>
      <c r="H3074" s="136" t="s">
        <v>14468</v>
      </c>
      <c r="I3074" s="136" t="s">
        <v>14469</v>
      </c>
      <c r="J3074" s="136" t="s">
        <v>14470</v>
      </c>
      <c r="L3074" s="136"/>
      <c r="M3074" s="136"/>
      <c r="N3074" s="136"/>
    </row>
    <row r="3075" spans="6:14">
      <c r="F3075" s="136" t="s">
        <v>14471</v>
      </c>
      <c r="G3075" s="136">
        <v>3072</v>
      </c>
      <c r="H3075" s="136" t="s">
        <v>2164</v>
      </c>
      <c r="I3075" s="136" t="s">
        <v>2165</v>
      </c>
      <c r="J3075" s="136" t="s">
        <v>14472</v>
      </c>
      <c r="L3075" s="136"/>
      <c r="M3075" s="136"/>
      <c r="N3075" s="136"/>
    </row>
    <row r="3076" spans="6:14">
      <c r="F3076" s="136" t="s">
        <v>14473</v>
      </c>
      <c r="G3076" s="136">
        <v>3073</v>
      </c>
      <c r="H3076" s="136" t="s">
        <v>3597</v>
      </c>
      <c r="I3076" s="136" t="s">
        <v>3597</v>
      </c>
      <c r="J3076" s="136" t="s">
        <v>14474</v>
      </c>
      <c r="L3076" s="136"/>
      <c r="M3076" s="136"/>
      <c r="N3076" s="136"/>
    </row>
    <row r="3077" spans="6:14">
      <c r="F3077" s="136" t="s">
        <v>14475</v>
      </c>
      <c r="G3077" s="136">
        <v>3074</v>
      </c>
      <c r="H3077" s="136" t="s">
        <v>5011</v>
      </c>
      <c r="I3077" s="136" t="s">
        <v>5012</v>
      </c>
      <c r="J3077" s="136" t="s">
        <v>14476</v>
      </c>
      <c r="L3077" s="136"/>
      <c r="M3077" s="136"/>
      <c r="N3077" s="136"/>
    </row>
    <row r="3078" spans="6:14">
      <c r="F3078" s="136" t="s">
        <v>14477</v>
      </c>
      <c r="G3078" s="136">
        <v>3075</v>
      </c>
      <c r="H3078" s="136" t="s">
        <v>2795</v>
      </c>
      <c r="I3078" s="136" t="s">
        <v>2796</v>
      </c>
      <c r="J3078" s="136" t="s">
        <v>14478</v>
      </c>
      <c r="L3078" s="136"/>
      <c r="M3078" s="136"/>
      <c r="N3078" s="136"/>
    </row>
    <row r="3079" spans="6:14">
      <c r="F3079" s="136" t="s">
        <v>14479</v>
      </c>
      <c r="G3079" s="136">
        <v>3076</v>
      </c>
      <c r="H3079" s="136" t="s">
        <v>1936</v>
      </c>
      <c r="I3079" s="136" t="s">
        <v>1938</v>
      </c>
      <c r="J3079" s="136" t="s">
        <v>14480</v>
      </c>
      <c r="L3079" s="136"/>
      <c r="M3079" s="136"/>
      <c r="N3079" s="136"/>
    </row>
    <row r="3080" spans="6:14">
      <c r="F3080" s="136" t="s">
        <v>14481</v>
      </c>
      <c r="G3080" s="136">
        <v>3077</v>
      </c>
      <c r="H3080" s="136" t="s">
        <v>2320</v>
      </c>
      <c r="I3080" s="136" t="s">
        <v>2321</v>
      </c>
      <c r="J3080" s="136" t="s">
        <v>14482</v>
      </c>
      <c r="L3080" s="136"/>
      <c r="M3080" s="136"/>
      <c r="N3080" s="136"/>
    </row>
    <row r="3081" spans="6:14">
      <c r="F3081" s="136" t="s">
        <v>14483</v>
      </c>
      <c r="G3081" s="136">
        <v>3078</v>
      </c>
      <c r="H3081" s="136" t="s">
        <v>14484</v>
      </c>
      <c r="I3081" s="136" t="s">
        <v>14485</v>
      </c>
      <c r="J3081" s="136" t="s">
        <v>14486</v>
      </c>
      <c r="L3081" s="136"/>
      <c r="M3081" s="136"/>
      <c r="N3081" s="136"/>
    </row>
    <row r="3082" spans="6:14">
      <c r="F3082" s="136" t="s">
        <v>14487</v>
      </c>
      <c r="G3082" s="136">
        <v>3079</v>
      </c>
      <c r="H3082" s="136" t="s">
        <v>14488</v>
      </c>
      <c r="I3082" s="136" t="s">
        <v>14489</v>
      </c>
      <c r="J3082" s="136" t="s">
        <v>14490</v>
      </c>
      <c r="L3082" s="136"/>
      <c r="M3082" s="136"/>
      <c r="N3082" s="136"/>
    </row>
    <row r="3083" spans="6:14">
      <c r="F3083" s="136" t="s">
        <v>14491</v>
      </c>
      <c r="G3083" s="136">
        <v>3080</v>
      </c>
      <c r="H3083" s="136" t="s">
        <v>14492</v>
      </c>
      <c r="I3083" s="136" t="s">
        <v>14493</v>
      </c>
      <c r="J3083" s="136" t="s">
        <v>14494</v>
      </c>
      <c r="L3083" s="136"/>
      <c r="M3083" s="136"/>
      <c r="N3083" s="136"/>
    </row>
    <row r="3084" spans="6:14">
      <c r="F3084" s="136" t="s">
        <v>14495</v>
      </c>
      <c r="G3084" s="136">
        <v>3081</v>
      </c>
      <c r="H3084" s="136" t="s">
        <v>2622</v>
      </c>
      <c r="I3084" s="136" t="s">
        <v>2623</v>
      </c>
      <c r="J3084" s="136" t="s">
        <v>14496</v>
      </c>
      <c r="L3084" s="136"/>
      <c r="M3084" s="136"/>
      <c r="N3084" s="136"/>
    </row>
    <row r="3085" spans="6:14">
      <c r="F3085" s="136" t="s">
        <v>14497</v>
      </c>
      <c r="G3085" s="136">
        <v>3082</v>
      </c>
      <c r="H3085" s="136" t="s">
        <v>2383</v>
      </c>
      <c r="I3085" s="136" t="s">
        <v>2385</v>
      </c>
      <c r="J3085" s="136" t="s">
        <v>14498</v>
      </c>
      <c r="L3085" s="136"/>
      <c r="M3085" s="136"/>
      <c r="N3085" s="136"/>
    </row>
    <row r="3086" spans="6:14">
      <c r="F3086" s="136" t="s">
        <v>14499</v>
      </c>
      <c r="G3086" s="136">
        <v>3083</v>
      </c>
      <c r="H3086" s="136" t="s">
        <v>14500</v>
      </c>
      <c r="I3086" s="136" t="s">
        <v>14501</v>
      </c>
      <c r="J3086" s="136" t="s">
        <v>14502</v>
      </c>
      <c r="L3086" s="136"/>
      <c r="M3086" s="136"/>
      <c r="N3086" s="136"/>
    </row>
    <row r="3087" spans="6:14">
      <c r="F3087" s="136" t="s">
        <v>14503</v>
      </c>
      <c r="G3087" s="136">
        <v>3084</v>
      </c>
      <c r="H3087" s="136" t="s">
        <v>14504</v>
      </c>
      <c r="I3087" s="136" t="s">
        <v>14505</v>
      </c>
      <c r="J3087" s="136" t="s">
        <v>14506</v>
      </c>
      <c r="L3087" s="136"/>
      <c r="M3087" s="136"/>
      <c r="N3087" s="136"/>
    </row>
    <row r="3088" spans="6:14">
      <c r="F3088" s="136" t="s">
        <v>14507</v>
      </c>
      <c r="G3088" s="136">
        <v>3085</v>
      </c>
      <c r="H3088" s="136" t="s">
        <v>14508</v>
      </c>
      <c r="I3088" s="136" t="s">
        <v>14509</v>
      </c>
      <c r="J3088" s="136" t="s">
        <v>14510</v>
      </c>
      <c r="L3088" s="136"/>
      <c r="M3088" s="136"/>
      <c r="N3088" s="136"/>
    </row>
    <row r="3089" spans="6:14">
      <c r="F3089" s="136" t="s">
        <v>14511</v>
      </c>
      <c r="G3089" s="136">
        <v>3086</v>
      </c>
      <c r="H3089" s="136" t="s">
        <v>14512</v>
      </c>
      <c r="I3089" s="136" t="s">
        <v>14513</v>
      </c>
      <c r="J3089" s="136" t="s">
        <v>14514</v>
      </c>
      <c r="L3089" s="136"/>
      <c r="M3089" s="136"/>
      <c r="N3089" s="136"/>
    </row>
    <row r="3090" spans="6:14">
      <c r="F3090" s="136" t="s">
        <v>14515</v>
      </c>
      <c r="G3090" s="136">
        <v>3087</v>
      </c>
      <c r="H3090" s="136" t="s">
        <v>7261</v>
      </c>
      <c r="I3090" s="136" t="s">
        <v>7262</v>
      </c>
      <c r="J3090" s="136" t="s">
        <v>14516</v>
      </c>
      <c r="L3090" s="136"/>
      <c r="M3090" s="136"/>
      <c r="N3090" s="136"/>
    </row>
    <row r="3091" spans="6:14">
      <c r="F3091" s="136" t="s">
        <v>14517</v>
      </c>
      <c r="G3091" s="136">
        <v>3088</v>
      </c>
      <c r="H3091" s="136" t="s">
        <v>14518</v>
      </c>
      <c r="I3091" s="136" t="s">
        <v>14519</v>
      </c>
      <c r="J3091" s="136" t="s">
        <v>14520</v>
      </c>
      <c r="L3091" s="136"/>
      <c r="M3091" s="136"/>
      <c r="N3091" s="136"/>
    </row>
    <row r="3092" spans="6:14">
      <c r="F3092" s="136" t="s">
        <v>14521</v>
      </c>
      <c r="G3092" s="136">
        <v>3089</v>
      </c>
      <c r="H3092" s="136" t="s">
        <v>13267</v>
      </c>
      <c r="I3092" s="136" t="s">
        <v>13267</v>
      </c>
      <c r="J3092" s="136" t="s">
        <v>14522</v>
      </c>
      <c r="L3092" s="136"/>
      <c r="M3092" s="136"/>
      <c r="N3092" s="136"/>
    </row>
    <row r="3093" spans="6:14">
      <c r="F3093" s="136" t="s">
        <v>14523</v>
      </c>
      <c r="G3093" s="136">
        <v>3090</v>
      </c>
      <c r="H3093" s="136" t="s">
        <v>2714</v>
      </c>
      <c r="I3093" s="136" t="s">
        <v>2715</v>
      </c>
      <c r="J3093" s="136" t="s">
        <v>14524</v>
      </c>
      <c r="L3093" s="136"/>
      <c r="M3093" s="136"/>
      <c r="N3093" s="136"/>
    </row>
    <row r="3094" spans="6:14">
      <c r="F3094" s="136" t="s">
        <v>14525</v>
      </c>
      <c r="G3094" s="136">
        <v>3091</v>
      </c>
      <c r="H3094" s="136" t="s">
        <v>14526</v>
      </c>
      <c r="I3094" s="136" t="s">
        <v>14527</v>
      </c>
      <c r="J3094" s="136" t="s">
        <v>14528</v>
      </c>
      <c r="L3094" s="136"/>
      <c r="M3094" s="136"/>
      <c r="N3094" s="136"/>
    </row>
    <row r="3095" spans="6:14">
      <c r="F3095" s="136" t="s">
        <v>14529</v>
      </c>
      <c r="G3095" s="136">
        <v>3092</v>
      </c>
      <c r="H3095" s="136" t="s">
        <v>14530</v>
      </c>
      <c r="I3095" s="136" t="s">
        <v>5402</v>
      </c>
      <c r="J3095" s="136" t="s">
        <v>14531</v>
      </c>
      <c r="L3095" s="136"/>
      <c r="M3095" s="136"/>
      <c r="N3095" s="136"/>
    </row>
    <row r="3096" spans="6:14">
      <c r="F3096" s="136" t="s">
        <v>14532</v>
      </c>
      <c r="G3096" s="136">
        <v>3093</v>
      </c>
      <c r="H3096" s="136" t="s">
        <v>14533</v>
      </c>
      <c r="I3096" s="136" t="s">
        <v>14534</v>
      </c>
      <c r="J3096" s="136" t="s">
        <v>14535</v>
      </c>
      <c r="L3096" s="136"/>
      <c r="M3096" s="136"/>
      <c r="N3096" s="136"/>
    </row>
    <row r="3097" spans="6:14">
      <c r="F3097" s="136" t="s">
        <v>14536</v>
      </c>
      <c r="G3097" s="136">
        <v>3094</v>
      </c>
      <c r="H3097" s="136" t="s">
        <v>14537</v>
      </c>
      <c r="I3097" s="136" t="s">
        <v>14538</v>
      </c>
      <c r="J3097" s="136" t="s">
        <v>14539</v>
      </c>
      <c r="L3097" s="136"/>
      <c r="M3097" s="136"/>
      <c r="N3097" s="136"/>
    </row>
    <row r="3098" spans="6:14">
      <c r="F3098" s="136" t="s">
        <v>14540</v>
      </c>
      <c r="G3098" s="136">
        <v>3095</v>
      </c>
      <c r="H3098" s="136" t="s">
        <v>5939</v>
      </c>
      <c r="I3098" s="136" t="s">
        <v>5940</v>
      </c>
      <c r="J3098" s="136" t="s">
        <v>14541</v>
      </c>
      <c r="L3098" s="136"/>
      <c r="M3098" s="136"/>
      <c r="N3098" s="136"/>
    </row>
    <row r="3099" spans="6:14">
      <c r="F3099" s="136" t="s">
        <v>14542</v>
      </c>
      <c r="G3099" s="136">
        <v>3096</v>
      </c>
      <c r="H3099" s="136" t="s">
        <v>2532</v>
      </c>
      <c r="I3099" s="136" t="s">
        <v>2532</v>
      </c>
      <c r="J3099" s="136" t="s">
        <v>14543</v>
      </c>
      <c r="L3099" s="136"/>
      <c r="M3099" s="136"/>
      <c r="N3099" s="136"/>
    </row>
    <row r="3100" spans="6:14">
      <c r="F3100" s="136" t="s">
        <v>14544</v>
      </c>
      <c r="G3100" s="136">
        <v>3097</v>
      </c>
      <c r="H3100" s="136" t="s">
        <v>9642</v>
      </c>
      <c r="I3100" s="136" t="s">
        <v>14545</v>
      </c>
      <c r="J3100" s="136" t="s">
        <v>14546</v>
      </c>
      <c r="L3100" s="136"/>
      <c r="M3100" s="136"/>
      <c r="N3100" s="136"/>
    </row>
    <row r="3101" spans="6:14">
      <c r="F3101" s="136" t="s">
        <v>14547</v>
      </c>
      <c r="G3101" s="136">
        <v>3098</v>
      </c>
      <c r="H3101" s="136" t="s">
        <v>14548</v>
      </c>
      <c r="I3101" s="136" t="s">
        <v>14549</v>
      </c>
      <c r="J3101" s="136" t="s">
        <v>14550</v>
      </c>
      <c r="L3101" s="136"/>
      <c r="M3101" s="136"/>
      <c r="N3101" s="136"/>
    </row>
    <row r="3102" spans="6:14">
      <c r="F3102" s="136" t="s">
        <v>14551</v>
      </c>
      <c r="G3102" s="136">
        <v>3099</v>
      </c>
      <c r="H3102" s="136" t="s">
        <v>2239</v>
      </c>
      <c r="I3102" s="136" t="s">
        <v>2240</v>
      </c>
      <c r="J3102" s="136" t="s">
        <v>14552</v>
      </c>
      <c r="L3102" s="136"/>
      <c r="M3102" s="136"/>
      <c r="N3102" s="136"/>
    </row>
    <row r="3103" spans="6:14">
      <c r="F3103" s="136" t="s">
        <v>14553</v>
      </c>
      <c r="G3103" s="136">
        <v>3100</v>
      </c>
      <c r="H3103" s="136" t="s">
        <v>2271</v>
      </c>
      <c r="I3103" s="136" t="s">
        <v>2271</v>
      </c>
      <c r="J3103" s="136" t="s">
        <v>14554</v>
      </c>
      <c r="L3103" s="136"/>
      <c r="M3103" s="136"/>
      <c r="N3103" s="136"/>
    </row>
    <row r="3104" spans="6:14">
      <c r="F3104" s="136" t="s">
        <v>14555</v>
      </c>
      <c r="G3104" s="136">
        <v>3101</v>
      </c>
      <c r="H3104" s="136" t="s">
        <v>979</v>
      </c>
      <c r="I3104" s="136" t="s">
        <v>979</v>
      </c>
      <c r="J3104" s="136" t="s">
        <v>14556</v>
      </c>
      <c r="L3104" s="136"/>
      <c r="M3104" s="136"/>
      <c r="N3104" s="136"/>
    </row>
    <row r="3105" spans="6:14">
      <c r="F3105" s="136" t="s">
        <v>14557</v>
      </c>
      <c r="G3105" s="136">
        <v>3102</v>
      </c>
      <c r="H3105" s="136" t="s">
        <v>14558</v>
      </c>
      <c r="I3105" s="136" t="s">
        <v>14559</v>
      </c>
      <c r="J3105" s="136" t="s">
        <v>14560</v>
      </c>
      <c r="L3105" s="136"/>
      <c r="M3105" s="136"/>
      <c r="N3105" s="136"/>
    </row>
    <row r="3106" spans="6:14">
      <c r="F3106" s="136" t="s">
        <v>14561</v>
      </c>
      <c r="G3106" s="136">
        <v>3103</v>
      </c>
      <c r="H3106" s="136" t="s">
        <v>14562</v>
      </c>
      <c r="I3106" s="136" t="s">
        <v>14563</v>
      </c>
      <c r="J3106" s="136" t="s">
        <v>14564</v>
      </c>
      <c r="L3106" s="136"/>
      <c r="M3106" s="136"/>
      <c r="N3106" s="136"/>
    </row>
    <row r="3107" spans="6:14">
      <c r="F3107" s="136" t="s">
        <v>14565</v>
      </c>
      <c r="G3107" s="136">
        <v>3104</v>
      </c>
      <c r="H3107" s="136" t="s">
        <v>4306</v>
      </c>
      <c r="I3107" s="136" t="s">
        <v>4307</v>
      </c>
      <c r="J3107" s="136" t="s">
        <v>14566</v>
      </c>
      <c r="L3107" s="136"/>
      <c r="M3107" s="136"/>
      <c r="N3107" s="136"/>
    </row>
    <row r="3108" spans="6:14">
      <c r="F3108" s="136" t="s">
        <v>14567</v>
      </c>
      <c r="G3108" s="136">
        <v>3105</v>
      </c>
      <c r="H3108" s="136" t="s">
        <v>14568</v>
      </c>
      <c r="I3108" s="136" t="s">
        <v>14569</v>
      </c>
      <c r="J3108" s="136" t="s">
        <v>14570</v>
      </c>
      <c r="L3108" s="136"/>
      <c r="M3108" s="136"/>
      <c r="N3108" s="136"/>
    </row>
    <row r="3109" spans="6:14">
      <c r="F3109" s="136" t="s">
        <v>14571</v>
      </c>
      <c r="G3109" s="136">
        <v>3106</v>
      </c>
      <c r="H3109" s="136" t="s">
        <v>14572</v>
      </c>
      <c r="I3109" s="136" t="s">
        <v>14573</v>
      </c>
      <c r="J3109" s="136" t="s">
        <v>14574</v>
      </c>
      <c r="L3109" s="136"/>
      <c r="M3109" s="136"/>
      <c r="N3109" s="136"/>
    </row>
    <row r="3110" spans="6:14">
      <c r="F3110" s="136" t="s">
        <v>14575</v>
      </c>
      <c r="G3110" s="136">
        <v>3107</v>
      </c>
      <c r="H3110" s="136" t="s">
        <v>2514</v>
      </c>
      <c r="I3110" s="136" t="s">
        <v>2515</v>
      </c>
      <c r="J3110" s="136" t="s">
        <v>14576</v>
      </c>
      <c r="L3110" s="136"/>
      <c r="M3110" s="136"/>
      <c r="N3110" s="136"/>
    </row>
    <row r="3111" spans="6:14">
      <c r="F3111" s="136" t="s">
        <v>14577</v>
      </c>
      <c r="G3111" s="136">
        <v>3108</v>
      </c>
      <c r="H3111" s="136" t="s">
        <v>14578</v>
      </c>
      <c r="I3111" s="136" t="s">
        <v>14579</v>
      </c>
      <c r="J3111" s="136" t="s">
        <v>14580</v>
      </c>
      <c r="L3111" s="136"/>
      <c r="M3111" s="136"/>
      <c r="N3111" s="136"/>
    </row>
    <row r="3112" spans="6:14">
      <c r="F3112" s="136" t="s">
        <v>14581</v>
      </c>
      <c r="G3112" s="136">
        <v>3109</v>
      </c>
      <c r="H3112" s="136" t="s">
        <v>3451</v>
      </c>
      <c r="I3112" s="136" t="s">
        <v>3452</v>
      </c>
      <c r="J3112" s="136" t="s">
        <v>14582</v>
      </c>
      <c r="L3112" s="136"/>
      <c r="M3112" s="136"/>
      <c r="N3112" s="136"/>
    </row>
    <row r="3113" spans="6:14">
      <c r="F3113" s="136" t="s">
        <v>14583</v>
      </c>
      <c r="G3113" s="136">
        <v>3110</v>
      </c>
      <c r="H3113" s="136" t="s">
        <v>14584</v>
      </c>
      <c r="I3113" s="136" t="s">
        <v>14585</v>
      </c>
      <c r="J3113" s="136" t="s">
        <v>14586</v>
      </c>
      <c r="L3113" s="136"/>
      <c r="M3113" s="136"/>
      <c r="N3113" s="136"/>
    </row>
    <row r="3114" spans="6:14">
      <c r="F3114" s="136" t="s">
        <v>14587</v>
      </c>
      <c r="G3114" s="136">
        <v>3111</v>
      </c>
      <c r="H3114" s="136" t="s">
        <v>13267</v>
      </c>
      <c r="I3114" s="136" t="s">
        <v>13267</v>
      </c>
      <c r="J3114" s="136" t="s">
        <v>14588</v>
      </c>
      <c r="L3114" s="136"/>
      <c r="M3114" s="136"/>
      <c r="N3114" s="136"/>
    </row>
    <row r="3115" spans="6:14">
      <c r="F3115" s="136" t="s">
        <v>14589</v>
      </c>
      <c r="G3115" s="136">
        <v>3112</v>
      </c>
      <c r="H3115" s="136" t="s">
        <v>1138</v>
      </c>
      <c r="I3115" s="136" t="s">
        <v>1139</v>
      </c>
      <c r="J3115" s="136" t="s">
        <v>14590</v>
      </c>
      <c r="L3115" s="136"/>
      <c r="M3115" s="136"/>
      <c r="N3115" s="136"/>
    </row>
    <row r="3116" spans="6:14">
      <c r="F3116" s="136" t="s">
        <v>14591</v>
      </c>
      <c r="G3116" s="136">
        <v>3113</v>
      </c>
      <c r="H3116" s="136" t="s">
        <v>14592</v>
      </c>
      <c r="I3116" s="136" t="s">
        <v>14593</v>
      </c>
      <c r="J3116" s="136" t="s">
        <v>14594</v>
      </c>
      <c r="L3116" s="136"/>
      <c r="M3116" s="136"/>
      <c r="N3116" s="136"/>
    </row>
    <row r="3117" spans="6:14">
      <c r="F3117" s="136" t="s">
        <v>14595</v>
      </c>
      <c r="G3117" s="136">
        <v>3114</v>
      </c>
      <c r="H3117" s="136" t="s">
        <v>1956</v>
      </c>
      <c r="I3117" s="136" t="s">
        <v>1957</v>
      </c>
      <c r="J3117" s="136" t="s">
        <v>14596</v>
      </c>
      <c r="L3117" s="136"/>
      <c r="M3117" s="136"/>
      <c r="N3117" s="136"/>
    </row>
    <row r="3118" spans="6:14">
      <c r="F3118" s="136" t="s">
        <v>14597</v>
      </c>
      <c r="G3118" s="136">
        <v>3115</v>
      </c>
      <c r="H3118" s="136" t="s">
        <v>14598</v>
      </c>
      <c r="I3118" s="136" t="s">
        <v>14599</v>
      </c>
      <c r="J3118" s="136" t="s">
        <v>14600</v>
      </c>
      <c r="L3118" s="136"/>
      <c r="M3118" s="136"/>
      <c r="N3118" s="136"/>
    </row>
    <row r="3119" spans="6:14">
      <c r="F3119" s="136" t="s">
        <v>14601</v>
      </c>
      <c r="G3119" s="136">
        <v>3116</v>
      </c>
      <c r="H3119" s="136" t="s">
        <v>14602</v>
      </c>
      <c r="I3119" s="136" t="s">
        <v>14603</v>
      </c>
      <c r="J3119" s="136" t="s">
        <v>14604</v>
      </c>
      <c r="L3119" s="136"/>
      <c r="M3119" s="136"/>
      <c r="N3119" s="136"/>
    </row>
    <row r="3120" spans="6:14">
      <c r="F3120" s="136" t="s">
        <v>14605</v>
      </c>
      <c r="G3120" s="136">
        <v>3117</v>
      </c>
      <c r="H3120" s="136" t="s">
        <v>14606</v>
      </c>
      <c r="I3120" s="136" t="s">
        <v>14607</v>
      </c>
      <c r="J3120" s="136" t="s">
        <v>14608</v>
      </c>
      <c r="L3120" s="136"/>
      <c r="M3120" s="136"/>
      <c r="N3120" s="136"/>
    </row>
    <row r="3121" spans="6:14">
      <c r="F3121" s="136" t="s">
        <v>14609</v>
      </c>
      <c r="G3121" s="136">
        <v>3118</v>
      </c>
      <c r="H3121" s="136" t="s">
        <v>22296</v>
      </c>
      <c r="I3121" s="136" t="s">
        <v>22297</v>
      </c>
      <c r="J3121" s="136" t="s">
        <v>14610</v>
      </c>
      <c r="L3121" s="136"/>
      <c r="M3121" s="136"/>
      <c r="N3121" s="136"/>
    </row>
    <row r="3122" spans="6:14">
      <c r="F3122" s="136" t="s">
        <v>14611</v>
      </c>
      <c r="G3122" s="136">
        <v>3119</v>
      </c>
      <c r="H3122" s="136" t="s">
        <v>14612</v>
      </c>
      <c r="I3122" s="136" t="s">
        <v>14613</v>
      </c>
      <c r="J3122" s="136" t="s">
        <v>14614</v>
      </c>
      <c r="L3122" s="136"/>
      <c r="M3122" s="136"/>
      <c r="N3122" s="136"/>
    </row>
    <row r="3123" spans="6:14">
      <c r="F3123" s="136" t="s">
        <v>14615</v>
      </c>
      <c r="G3123" s="136">
        <v>3120</v>
      </c>
      <c r="H3123" s="136" t="s">
        <v>14616</v>
      </c>
      <c r="I3123" s="136" t="s">
        <v>14616</v>
      </c>
      <c r="J3123" s="136" t="s">
        <v>14617</v>
      </c>
      <c r="L3123" s="136"/>
      <c r="M3123" s="136"/>
      <c r="N3123" s="136"/>
    </row>
    <row r="3124" spans="6:14">
      <c r="F3124" s="136" t="s">
        <v>14618</v>
      </c>
      <c r="G3124" s="136">
        <v>3121</v>
      </c>
      <c r="H3124" s="136" t="s">
        <v>14619</v>
      </c>
      <c r="I3124" s="136" t="s">
        <v>14620</v>
      </c>
      <c r="J3124" s="136" t="s">
        <v>14621</v>
      </c>
      <c r="L3124" s="136"/>
      <c r="M3124" s="136"/>
      <c r="N3124" s="136"/>
    </row>
    <row r="3125" spans="6:14">
      <c r="F3125" s="136" t="s">
        <v>14622</v>
      </c>
      <c r="G3125" s="136">
        <v>3122</v>
      </c>
      <c r="H3125" s="136" t="s">
        <v>14623</v>
      </c>
      <c r="I3125" s="136" t="s">
        <v>14624</v>
      </c>
      <c r="J3125" s="136" t="s">
        <v>14625</v>
      </c>
      <c r="L3125" s="136"/>
      <c r="M3125" s="136"/>
      <c r="N3125" s="136"/>
    </row>
    <row r="3126" spans="6:14">
      <c r="F3126" s="136" t="s">
        <v>14626</v>
      </c>
      <c r="G3126" s="136">
        <v>3123</v>
      </c>
      <c r="H3126" s="136" t="s">
        <v>1015</v>
      </c>
      <c r="I3126" s="136" t="s">
        <v>1016</v>
      </c>
      <c r="J3126" s="136" t="s">
        <v>14627</v>
      </c>
      <c r="L3126" s="136"/>
      <c r="M3126" s="136"/>
      <c r="N3126" s="136"/>
    </row>
    <row r="3127" spans="6:14">
      <c r="F3127" s="136" t="s">
        <v>14628</v>
      </c>
      <c r="G3127" s="136">
        <v>3124</v>
      </c>
      <c r="H3127" s="136" t="s">
        <v>2901</v>
      </c>
      <c r="I3127" s="136" t="s">
        <v>2902</v>
      </c>
      <c r="J3127" s="136" t="s">
        <v>14629</v>
      </c>
      <c r="L3127" s="136"/>
      <c r="M3127" s="136"/>
      <c r="N3127" s="136"/>
    </row>
    <row r="3128" spans="6:14">
      <c r="F3128" s="136" t="s">
        <v>14630</v>
      </c>
      <c r="G3128" s="136">
        <v>3125</v>
      </c>
      <c r="H3128" s="136" t="s">
        <v>14631</v>
      </c>
      <c r="I3128" s="136" t="s">
        <v>14632</v>
      </c>
      <c r="J3128" s="136" t="s">
        <v>14633</v>
      </c>
      <c r="L3128" s="136"/>
      <c r="M3128" s="136"/>
      <c r="N3128" s="136"/>
    </row>
    <row r="3129" spans="6:14">
      <c r="F3129" s="136" t="s">
        <v>14634</v>
      </c>
      <c r="G3129" s="136">
        <v>3126</v>
      </c>
      <c r="H3129" s="136" t="s">
        <v>4016</v>
      </c>
      <c r="I3129" s="136" t="s">
        <v>4017</v>
      </c>
      <c r="J3129" s="136" t="s">
        <v>14635</v>
      </c>
      <c r="L3129" s="136"/>
      <c r="M3129" s="136"/>
      <c r="N3129" s="136"/>
    </row>
    <row r="3130" spans="6:14">
      <c r="F3130" s="136" t="s">
        <v>14636</v>
      </c>
      <c r="G3130" s="136">
        <v>3127</v>
      </c>
      <c r="H3130" s="136" t="s">
        <v>14637</v>
      </c>
      <c r="I3130" s="136" t="s">
        <v>14638</v>
      </c>
      <c r="J3130" s="136" t="s">
        <v>14639</v>
      </c>
      <c r="L3130" s="136"/>
      <c r="M3130" s="136"/>
      <c r="N3130" s="136"/>
    </row>
    <row r="3131" spans="6:14">
      <c r="F3131" s="136" t="s">
        <v>14640</v>
      </c>
      <c r="G3131" s="136">
        <v>3128</v>
      </c>
      <c r="H3131" s="136" t="s">
        <v>3385</v>
      </c>
      <c r="I3131" s="136" t="s">
        <v>3386</v>
      </c>
      <c r="J3131" s="136" t="s">
        <v>14641</v>
      </c>
      <c r="L3131" s="136"/>
      <c r="M3131" s="136"/>
      <c r="N3131" s="136"/>
    </row>
    <row r="3132" spans="6:14">
      <c r="F3132" s="136" t="s">
        <v>14642</v>
      </c>
      <c r="G3132" s="136">
        <v>3129</v>
      </c>
      <c r="H3132" s="136" t="s">
        <v>14643</v>
      </c>
      <c r="I3132" s="136" t="s">
        <v>14644</v>
      </c>
      <c r="J3132" s="136" t="s">
        <v>14645</v>
      </c>
      <c r="L3132" s="136"/>
      <c r="M3132" s="136"/>
      <c r="N3132" s="136"/>
    </row>
    <row r="3133" spans="6:14">
      <c r="F3133" s="136" t="s">
        <v>14646</v>
      </c>
      <c r="G3133" s="136">
        <v>3130</v>
      </c>
      <c r="H3133" s="136" t="s">
        <v>14647</v>
      </c>
      <c r="I3133" s="136" t="s">
        <v>14648</v>
      </c>
      <c r="J3133" s="136" t="s">
        <v>14649</v>
      </c>
      <c r="L3133" s="136"/>
      <c r="M3133" s="136"/>
      <c r="N3133" s="136"/>
    </row>
    <row r="3134" spans="6:14">
      <c r="F3134" s="136" t="s">
        <v>14650</v>
      </c>
      <c r="G3134" s="136">
        <v>3131</v>
      </c>
      <c r="H3134" s="136" t="s">
        <v>985</v>
      </c>
      <c r="I3134" s="136" t="s">
        <v>985</v>
      </c>
      <c r="J3134" s="136" t="s">
        <v>14651</v>
      </c>
      <c r="L3134" s="136"/>
      <c r="M3134" s="136"/>
      <c r="N3134" s="136"/>
    </row>
    <row r="3135" spans="6:14">
      <c r="F3135" s="136" t="s">
        <v>14652</v>
      </c>
      <c r="G3135" s="136">
        <v>3132</v>
      </c>
      <c r="H3135" s="136" t="s">
        <v>2168</v>
      </c>
      <c r="I3135" s="136" t="s">
        <v>1061</v>
      </c>
      <c r="J3135" s="136" t="s">
        <v>14653</v>
      </c>
      <c r="L3135" s="136"/>
      <c r="M3135" s="136"/>
      <c r="N3135" s="136"/>
    </row>
    <row r="3136" spans="6:14">
      <c r="F3136" s="136" t="s">
        <v>14654</v>
      </c>
      <c r="G3136" s="136">
        <v>3133</v>
      </c>
      <c r="H3136" s="136" t="s">
        <v>14655</v>
      </c>
      <c r="I3136" s="136" t="s">
        <v>14656</v>
      </c>
      <c r="J3136" s="136" t="s">
        <v>14657</v>
      </c>
      <c r="L3136" s="136"/>
      <c r="M3136" s="136"/>
      <c r="N3136" s="136"/>
    </row>
    <row r="3137" spans="6:14">
      <c r="F3137" s="136" t="s">
        <v>14658</v>
      </c>
      <c r="G3137" s="136">
        <v>3134</v>
      </c>
      <c r="H3137" s="136" t="s">
        <v>14659</v>
      </c>
      <c r="I3137" s="136" t="s">
        <v>14660</v>
      </c>
      <c r="J3137" s="136" t="s">
        <v>14661</v>
      </c>
      <c r="L3137" s="136"/>
      <c r="M3137" s="136"/>
      <c r="N3137" s="136"/>
    </row>
    <row r="3138" spans="6:14">
      <c r="F3138" s="136" t="s">
        <v>14662</v>
      </c>
      <c r="G3138" s="136">
        <v>3135</v>
      </c>
      <c r="H3138" s="136" t="s">
        <v>14663</v>
      </c>
      <c r="I3138" s="136" t="s">
        <v>14664</v>
      </c>
      <c r="J3138" s="136" t="s">
        <v>14665</v>
      </c>
      <c r="L3138" s="136"/>
      <c r="M3138" s="136"/>
      <c r="N3138" s="136"/>
    </row>
    <row r="3139" spans="6:14">
      <c r="F3139" s="136" t="s">
        <v>14666</v>
      </c>
      <c r="G3139" s="136">
        <v>3136</v>
      </c>
      <c r="H3139" s="136" t="s">
        <v>2698</v>
      </c>
      <c r="I3139" s="136" t="s">
        <v>2699</v>
      </c>
      <c r="J3139" s="136" t="s">
        <v>14667</v>
      </c>
      <c r="L3139" s="136"/>
      <c r="M3139" s="136"/>
      <c r="N3139" s="136"/>
    </row>
    <row r="3140" spans="6:14">
      <c r="F3140" s="136" t="s">
        <v>14668</v>
      </c>
      <c r="G3140" s="136">
        <v>3137</v>
      </c>
      <c r="H3140" s="136" t="s">
        <v>14669</v>
      </c>
      <c r="I3140" s="136" t="s">
        <v>14670</v>
      </c>
      <c r="J3140" s="136" t="s">
        <v>14671</v>
      </c>
      <c r="L3140" s="136"/>
      <c r="M3140" s="136"/>
      <c r="N3140" s="136"/>
    </row>
    <row r="3141" spans="6:14">
      <c r="F3141" s="136" t="s">
        <v>14672</v>
      </c>
      <c r="G3141" s="136">
        <v>3138</v>
      </c>
      <c r="H3141" s="136" t="s">
        <v>14673</v>
      </c>
      <c r="I3141" s="136" t="s">
        <v>14674</v>
      </c>
      <c r="J3141" s="136" t="s">
        <v>14675</v>
      </c>
      <c r="L3141" s="136"/>
      <c r="M3141" s="136"/>
      <c r="N3141" s="136"/>
    </row>
    <row r="3142" spans="6:14">
      <c r="F3142" s="136" t="s">
        <v>14676</v>
      </c>
      <c r="G3142" s="136">
        <v>3139</v>
      </c>
      <c r="H3142" s="136" t="s">
        <v>5963</v>
      </c>
      <c r="I3142" s="136" t="s">
        <v>5964</v>
      </c>
      <c r="J3142" s="136" t="s">
        <v>14677</v>
      </c>
      <c r="L3142" s="136"/>
      <c r="M3142" s="136"/>
      <c r="N3142" s="136"/>
    </row>
    <row r="3143" spans="6:14">
      <c r="F3143" s="136" t="s">
        <v>14678</v>
      </c>
      <c r="G3143" s="136">
        <v>3140</v>
      </c>
      <c r="H3143" s="136" t="s">
        <v>4960</v>
      </c>
      <c r="I3143" s="136" t="s">
        <v>4960</v>
      </c>
      <c r="J3143" s="136" t="s">
        <v>14679</v>
      </c>
      <c r="L3143" s="136"/>
      <c r="M3143" s="136"/>
      <c r="N3143" s="136"/>
    </row>
    <row r="3144" spans="6:14">
      <c r="F3144" s="136" t="s">
        <v>14680</v>
      </c>
      <c r="G3144" s="136">
        <v>3141</v>
      </c>
      <c r="H3144" s="136" t="s">
        <v>14681</v>
      </c>
      <c r="I3144" s="136" t="s">
        <v>14682</v>
      </c>
      <c r="J3144" s="136" t="s">
        <v>14683</v>
      </c>
      <c r="L3144" s="136"/>
      <c r="M3144" s="136"/>
      <c r="N3144" s="136"/>
    </row>
    <row r="3145" spans="6:14">
      <c r="F3145" s="136" t="s">
        <v>14684</v>
      </c>
      <c r="G3145" s="136">
        <v>3142</v>
      </c>
      <c r="H3145" s="136" t="s">
        <v>14685</v>
      </c>
      <c r="I3145" s="136" t="s">
        <v>14686</v>
      </c>
      <c r="J3145" s="136" t="s">
        <v>14687</v>
      </c>
      <c r="L3145" s="136"/>
      <c r="M3145" s="136"/>
      <c r="N3145" s="136"/>
    </row>
    <row r="3146" spans="6:14">
      <c r="F3146" s="136" t="s">
        <v>14688</v>
      </c>
      <c r="G3146" s="136">
        <v>3143</v>
      </c>
      <c r="H3146" s="136" t="s">
        <v>548</v>
      </c>
      <c r="I3146" s="136" t="s">
        <v>590</v>
      </c>
      <c r="J3146" s="136" t="s">
        <v>14689</v>
      </c>
      <c r="L3146" s="136"/>
      <c r="M3146" s="136"/>
      <c r="N3146" s="136"/>
    </row>
    <row r="3147" spans="6:14">
      <c r="F3147" s="136" t="s">
        <v>14690</v>
      </c>
      <c r="G3147" s="136">
        <v>3144</v>
      </c>
      <c r="H3147" s="136" t="s">
        <v>14691</v>
      </c>
      <c r="I3147" s="136" t="s">
        <v>14692</v>
      </c>
      <c r="J3147" s="136" t="s">
        <v>14693</v>
      </c>
      <c r="L3147" s="136"/>
      <c r="M3147" s="136"/>
      <c r="N3147" s="136"/>
    </row>
    <row r="3148" spans="6:14">
      <c r="F3148" s="136" t="s">
        <v>14694</v>
      </c>
      <c r="G3148" s="136">
        <v>3145</v>
      </c>
      <c r="H3148" s="136" t="s">
        <v>14074</v>
      </c>
      <c r="I3148" s="136" t="s">
        <v>14075</v>
      </c>
      <c r="J3148" s="136" t="s">
        <v>14695</v>
      </c>
      <c r="L3148" s="136"/>
      <c r="M3148" s="136"/>
      <c r="N3148" s="136"/>
    </row>
    <row r="3149" spans="6:14">
      <c r="F3149" s="136" t="s">
        <v>14696</v>
      </c>
      <c r="G3149" s="136">
        <v>3146</v>
      </c>
      <c r="H3149" s="136" t="s">
        <v>803</v>
      </c>
      <c r="I3149" s="136" t="s">
        <v>804</v>
      </c>
      <c r="J3149" s="136" t="s">
        <v>14697</v>
      </c>
      <c r="L3149" s="136"/>
      <c r="M3149" s="136"/>
      <c r="N3149" s="136"/>
    </row>
    <row r="3150" spans="6:14">
      <c r="F3150" s="136" t="s">
        <v>14698</v>
      </c>
      <c r="G3150" s="136">
        <v>3147</v>
      </c>
      <c r="H3150" s="136" t="s">
        <v>14699</v>
      </c>
      <c r="I3150" s="136" t="s">
        <v>14700</v>
      </c>
      <c r="J3150" s="136" t="s">
        <v>14701</v>
      </c>
      <c r="L3150" s="136"/>
      <c r="M3150" s="136"/>
      <c r="N3150" s="136"/>
    </row>
    <row r="3151" spans="6:14">
      <c r="F3151" s="136" t="s">
        <v>14702</v>
      </c>
      <c r="G3151" s="136">
        <v>3148</v>
      </c>
      <c r="H3151" s="136" t="s">
        <v>14703</v>
      </c>
      <c r="I3151" s="136" t="s">
        <v>14703</v>
      </c>
      <c r="J3151" s="136" t="s">
        <v>14704</v>
      </c>
      <c r="L3151" s="136"/>
      <c r="M3151" s="136"/>
      <c r="N3151" s="136"/>
    </row>
    <row r="3152" spans="6:14">
      <c r="F3152" s="136" t="s">
        <v>14705</v>
      </c>
      <c r="G3152" s="136">
        <v>3149</v>
      </c>
      <c r="H3152" s="136" t="s">
        <v>5516</v>
      </c>
      <c r="I3152" s="136" t="s">
        <v>5517</v>
      </c>
      <c r="J3152" s="136" t="s">
        <v>14706</v>
      </c>
      <c r="L3152" s="136"/>
      <c r="M3152" s="136"/>
      <c r="N3152" s="136"/>
    </row>
    <row r="3153" spans="6:14">
      <c r="F3153" s="136" t="s">
        <v>14707</v>
      </c>
      <c r="G3153" s="136">
        <v>3150</v>
      </c>
      <c r="H3153" s="136" t="s">
        <v>920</v>
      </c>
      <c r="I3153" s="136" t="s">
        <v>921</v>
      </c>
      <c r="J3153" s="136" t="s">
        <v>14708</v>
      </c>
      <c r="L3153" s="136"/>
      <c r="M3153" s="136"/>
      <c r="N3153" s="136"/>
    </row>
    <row r="3154" spans="6:14">
      <c r="F3154" s="136" t="s">
        <v>14709</v>
      </c>
      <c r="G3154" s="136">
        <v>3151</v>
      </c>
      <c r="H3154" s="136" t="s">
        <v>14710</v>
      </c>
      <c r="I3154" s="136" t="s">
        <v>14711</v>
      </c>
      <c r="J3154" s="136" t="s">
        <v>14712</v>
      </c>
      <c r="L3154" s="136"/>
      <c r="M3154" s="136"/>
      <c r="N3154" s="136"/>
    </row>
    <row r="3155" spans="6:14">
      <c r="F3155" s="136" t="s">
        <v>14713</v>
      </c>
      <c r="G3155" s="136">
        <v>3152</v>
      </c>
      <c r="H3155" s="136" t="s">
        <v>3502</v>
      </c>
      <c r="I3155" s="136" t="s">
        <v>3503</v>
      </c>
      <c r="J3155" s="136" t="s">
        <v>14714</v>
      </c>
      <c r="L3155" s="136"/>
      <c r="M3155" s="136"/>
      <c r="N3155" s="136"/>
    </row>
    <row r="3156" spans="6:14">
      <c r="F3156" s="136" t="s">
        <v>14715</v>
      </c>
      <c r="G3156" s="136">
        <v>3153</v>
      </c>
      <c r="H3156" s="136" t="s">
        <v>5216</v>
      </c>
      <c r="I3156" s="136" t="s">
        <v>5216</v>
      </c>
      <c r="J3156" s="136" t="s">
        <v>14716</v>
      </c>
      <c r="L3156" s="136"/>
      <c r="M3156" s="136"/>
      <c r="N3156" s="136"/>
    </row>
    <row r="3157" spans="6:14">
      <c r="F3157" s="136" t="s">
        <v>14717</v>
      </c>
      <c r="G3157" s="136">
        <v>3154</v>
      </c>
      <c r="H3157" s="136" t="s">
        <v>14718</v>
      </c>
      <c r="I3157" s="136" t="s">
        <v>14719</v>
      </c>
      <c r="J3157" s="136" t="s">
        <v>14720</v>
      </c>
      <c r="L3157" s="136"/>
      <c r="M3157" s="136"/>
      <c r="N3157" s="136"/>
    </row>
    <row r="3158" spans="6:14">
      <c r="F3158" s="136" t="s">
        <v>14721</v>
      </c>
      <c r="G3158" s="136">
        <v>3155</v>
      </c>
      <c r="H3158" s="136" t="s">
        <v>14722</v>
      </c>
      <c r="I3158" s="136" t="s">
        <v>14723</v>
      </c>
      <c r="J3158" s="136" t="s">
        <v>14724</v>
      </c>
      <c r="L3158" s="136"/>
      <c r="M3158" s="136"/>
      <c r="N3158" s="136"/>
    </row>
    <row r="3159" spans="6:14">
      <c r="F3159" s="136" t="s">
        <v>14725</v>
      </c>
      <c r="G3159" s="136">
        <v>3156</v>
      </c>
      <c r="H3159" s="136" t="s">
        <v>14703</v>
      </c>
      <c r="I3159" s="136" t="s">
        <v>14703</v>
      </c>
      <c r="J3159" s="136" t="s">
        <v>14726</v>
      </c>
      <c r="L3159" s="136"/>
      <c r="M3159" s="136"/>
      <c r="N3159" s="136"/>
    </row>
    <row r="3160" spans="6:14">
      <c r="F3160" s="136" t="s">
        <v>14727</v>
      </c>
      <c r="G3160" s="136">
        <v>3157</v>
      </c>
      <c r="H3160" s="136" t="s">
        <v>14728</v>
      </c>
      <c r="I3160" s="136" t="s">
        <v>14729</v>
      </c>
      <c r="J3160" s="136" t="s">
        <v>14730</v>
      </c>
      <c r="L3160" s="136"/>
      <c r="M3160" s="136"/>
      <c r="N3160" s="136"/>
    </row>
    <row r="3161" spans="6:14">
      <c r="F3161" s="136" t="s">
        <v>14731</v>
      </c>
      <c r="G3161" s="136">
        <v>3158</v>
      </c>
      <c r="H3161" s="136" t="s">
        <v>3861</v>
      </c>
      <c r="I3161" s="136" t="s">
        <v>3862</v>
      </c>
      <c r="J3161" s="136" t="s">
        <v>14732</v>
      </c>
      <c r="L3161" s="136"/>
      <c r="M3161" s="136"/>
      <c r="N3161" s="136"/>
    </row>
    <row r="3162" spans="6:14">
      <c r="F3162" s="136" t="s">
        <v>14733</v>
      </c>
      <c r="G3162" s="136">
        <v>3159</v>
      </c>
      <c r="H3162" s="136" t="s">
        <v>14734</v>
      </c>
      <c r="I3162" s="136" t="s">
        <v>14735</v>
      </c>
      <c r="J3162" s="136" t="s">
        <v>14736</v>
      </c>
      <c r="L3162" s="136"/>
      <c r="M3162" s="136"/>
      <c r="N3162" s="136"/>
    </row>
    <row r="3163" spans="6:14">
      <c r="F3163" s="136" t="s">
        <v>14737</v>
      </c>
      <c r="G3163" s="136">
        <v>3160</v>
      </c>
      <c r="H3163" s="136" t="s">
        <v>2996</v>
      </c>
      <c r="I3163" s="136" t="s">
        <v>2996</v>
      </c>
      <c r="J3163" s="136" t="s">
        <v>14738</v>
      </c>
      <c r="L3163" s="136"/>
      <c r="M3163" s="136"/>
      <c r="N3163" s="136"/>
    </row>
    <row r="3164" spans="6:14">
      <c r="F3164" s="136" t="s">
        <v>14739</v>
      </c>
      <c r="G3164" s="136">
        <v>3161</v>
      </c>
      <c r="H3164" s="136" t="s">
        <v>2248</v>
      </c>
      <c r="I3164" s="136" t="s">
        <v>2248</v>
      </c>
      <c r="J3164" s="136" t="s">
        <v>14740</v>
      </c>
      <c r="L3164" s="136"/>
      <c r="M3164" s="136"/>
      <c r="N3164" s="136"/>
    </row>
    <row r="3165" spans="6:14">
      <c r="F3165" s="136" t="s">
        <v>14741</v>
      </c>
      <c r="G3165" s="136">
        <v>3162</v>
      </c>
      <c r="H3165" s="136" t="s">
        <v>950</v>
      </c>
      <c r="I3165" s="136" t="s">
        <v>951</v>
      </c>
      <c r="J3165" s="136" t="s">
        <v>14742</v>
      </c>
      <c r="L3165" s="136"/>
      <c r="M3165" s="136"/>
      <c r="N3165" s="136"/>
    </row>
    <row r="3166" spans="6:14">
      <c r="F3166" s="136" t="s">
        <v>14743</v>
      </c>
      <c r="G3166" s="136">
        <v>3163</v>
      </c>
      <c r="H3166" s="136" t="s">
        <v>5526</v>
      </c>
      <c r="I3166" s="136" t="s">
        <v>5527</v>
      </c>
      <c r="J3166" s="136" t="s">
        <v>14744</v>
      </c>
      <c r="L3166" s="136"/>
      <c r="M3166" s="136"/>
      <c r="N3166" s="136"/>
    </row>
    <row r="3167" spans="6:14">
      <c r="F3167" s="136" t="s">
        <v>14745</v>
      </c>
      <c r="G3167" s="136">
        <v>3164</v>
      </c>
      <c r="H3167" s="136" t="s">
        <v>3569</v>
      </c>
      <c r="I3167" s="136" t="s">
        <v>3570</v>
      </c>
      <c r="J3167" s="136" t="s">
        <v>14746</v>
      </c>
      <c r="L3167" s="136"/>
      <c r="M3167" s="136"/>
      <c r="N3167" s="136"/>
    </row>
    <row r="3168" spans="6:14">
      <c r="F3168" s="136" t="s">
        <v>14747</v>
      </c>
      <c r="G3168" s="136">
        <v>3165</v>
      </c>
      <c r="H3168" s="136" t="s">
        <v>4900</v>
      </c>
      <c r="I3168" s="136" t="s">
        <v>4901</v>
      </c>
      <c r="J3168" s="136" t="s">
        <v>14748</v>
      </c>
      <c r="L3168" s="136"/>
      <c r="M3168" s="136"/>
      <c r="N3168" s="136"/>
    </row>
    <row r="3169" spans="6:14">
      <c r="F3169" s="136" t="s">
        <v>14749</v>
      </c>
      <c r="G3169" s="136">
        <v>3166</v>
      </c>
      <c r="H3169" s="136" t="s">
        <v>13267</v>
      </c>
      <c r="I3169" s="136" t="s">
        <v>13267</v>
      </c>
      <c r="J3169" s="136" t="s">
        <v>14750</v>
      </c>
      <c r="L3169" s="136"/>
      <c r="M3169" s="136"/>
      <c r="N3169" s="136"/>
    </row>
    <row r="3170" spans="6:14">
      <c r="F3170" s="136" t="s">
        <v>14751</v>
      </c>
      <c r="G3170" s="136">
        <v>3167</v>
      </c>
      <c r="H3170" s="136" t="s">
        <v>325</v>
      </c>
      <c r="I3170" s="136" t="s">
        <v>326</v>
      </c>
      <c r="J3170" s="136" t="s">
        <v>14752</v>
      </c>
      <c r="L3170" s="136"/>
      <c r="M3170" s="136"/>
      <c r="N3170" s="136"/>
    </row>
    <row r="3171" spans="6:14">
      <c r="F3171" s="136" t="s">
        <v>14753</v>
      </c>
      <c r="G3171" s="136">
        <v>3168</v>
      </c>
      <c r="H3171" s="136" t="s">
        <v>14754</v>
      </c>
      <c r="I3171" s="136" t="s">
        <v>14755</v>
      </c>
      <c r="J3171" s="136" t="s">
        <v>14756</v>
      </c>
      <c r="L3171" s="136"/>
      <c r="M3171" s="136"/>
      <c r="N3171" s="136"/>
    </row>
    <row r="3172" spans="6:14">
      <c r="F3172" s="136" t="s">
        <v>14757</v>
      </c>
      <c r="G3172" s="136">
        <v>3169</v>
      </c>
      <c r="H3172" s="136" t="s">
        <v>40</v>
      </c>
      <c r="I3172" s="136" t="s">
        <v>40</v>
      </c>
      <c r="J3172" s="136" t="s">
        <v>14758</v>
      </c>
      <c r="L3172" s="136"/>
      <c r="M3172" s="136"/>
      <c r="N3172" s="136"/>
    </row>
    <row r="3173" spans="6:14">
      <c r="F3173" s="136" t="s">
        <v>14759</v>
      </c>
      <c r="G3173" s="136">
        <v>3170</v>
      </c>
      <c r="H3173" s="136" t="s">
        <v>2602</v>
      </c>
      <c r="I3173" s="136" t="s">
        <v>2603</v>
      </c>
      <c r="J3173" s="136" t="s">
        <v>14760</v>
      </c>
      <c r="L3173" s="136"/>
      <c r="M3173" s="136"/>
      <c r="N3173" s="136"/>
    </row>
    <row r="3174" spans="6:14">
      <c r="F3174" s="136" t="s">
        <v>14761</v>
      </c>
      <c r="G3174" s="136">
        <v>3171</v>
      </c>
      <c r="H3174" s="136" t="s">
        <v>1786</v>
      </c>
      <c r="I3174" s="136" t="s">
        <v>1787</v>
      </c>
      <c r="J3174" s="136" t="s">
        <v>14762</v>
      </c>
      <c r="L3174" s="136"/>
      <c r="M3174" s="136"/>
      <c r="N3174" s="136"/>
    </row>
    <row r="3175" spans="6:14">
      <c r="F3175" s="136" t="s">
        <v>14763</v>
      </c>
      <c r="G3175" s="136">
        <v>3172</v>
      </c>
      <c r="H3175" s="136" t="s">
        <v>2684</v>
      </c>
      <c r="I3175" s="136" t="s">
        <v>2685</v>
      </c>
      <c r="J3175" s="136" t="s">
        <v>14764</v>
      </c>
      <c r="L3175" s="136"/>
      <c r="M3175" s="136"/>
      <c r="N3175" s="136"/>
    </row>
    <row r="3176" spans="6:14">
      <c r="F3176" s="136" t="s">
        <v>14765</v>
      </c>
      <c r="G3176" s="136">
        <v>3173</v>
      </c>
      <c r="H3176" s="136" t="s">
        <v>3001</v>
      </c>
      <c r="I3176" s="136" t="s">
        <v>3002</v>
      </c>
      <c r="J3176" s="136" t="s">
        <v>14766</v>
      </c>
      <c r="L3176" s="136"/>
      <c r="M3176" s="136"/>
      <c r="N3176" s="136"/>
    </row>
    <row r="3177" spans="6:14">
      <c r="F3177" s="136" t="s">
        <v>14767</v>
      </c>
      <c r="G3177" s="136">
        <v>3174</v>
      </c>
      <c r="H3177" s="136" t="s">
        <v>6174</v>
      </c>
      <c r="I3177" s="136" t="s">
        <v>6175</v>
      </c>
      <c r="J3177" s="136" t="s">
        <v>14768</v>
      </c>
      <c r="L3177" s="136"/>
      <c r="M3177" s="136"/>
      <c r="N3177" s="136"/>
    </row>
    <row r="3178" spans="6:14">
      <c r="F3178" s="136" t="s">
        <v>14769</v>
      </c>
      <c r="G3178" s="136">
        <v>3175</v>
      </c>
      <c r="H3178" s="136" t="s">
        <v>3134</v>
      </c>
      <c r="I3178" s="136" t="s">
        <v>3135</v>
      </c>
      <c r="J3178" s="136" t="s">
        <v>14770</v>
      </c>
      <c r="L3178" s="136"/>
      <c r="M3178" s="136"/>
      <c r="N3178" s="136"/>
    </row>
    <row r="3179" spans="6:14">
      <c r="F3179" s="136" t="s">
        <v>14771</v>
      </c>
      <c r="G3179" s="136">
        <v>3176</v>
      </c>
      <c r="H3179" s="136" t="s">
        <v>14772</v>
      </c>
      <c r="I3179" s="136" t="s">
        <v>14773</v>
      </c>
      <c r="J3179" s="136" t="s">
        <v>14774</v>
      </c>
      <c r="L3179" s="136"/>
      <c r="M3179" s="136"/>
      <c r="N3179" s="136"/>
    </row>
    <row r="3180" spans="6:14">
      <c r="F3180" s="136" t="s">
        <v>14775</v>
      </c>
      <c r="G3180" s="136">
        <v>3177</v>
      </c>
      <c r="H3180" s="136" t="s">
        <v>938</v>
      </c>
      <c r="I3180" s="136" t="s">
        <v>939</v>
      </c>
      <c r="J3180" s="136" t="s">
        <v>14776</v>
      </c>
      <c r="L3180" s="136"/>
      <c r="M3180" s="136"/>
      <c r="N3180" s="136"/>
    </row>
    <row r="3181" spans="6:14">
      <c r="F3181" s="136" t="s">
        <v>14777</v>
      </c>
      <c r="G3181" s="136">
        <v>3178</v>
      </c>
      <c r="H3181" s="136" t="s">
        <v>4270</v>
      </c>
      <c r="I3181" s="136" t="s">
        <v>4271</v>
      </c>
      <c r="J3181" s="136" t="s">
        <v>14778</v>
      </c>
      <c r="L3181" s="136"/>
      <c r="M3181" s="136"/>
      <c r="N3181" s="136"/>
    </row>
    <row r="3182" spans="6:14">
      <c r="F3182" s="136" t="s">
        <v>14779</v>
      </c>
      <c r="G3182" s="136">
        <v>3179</v>
      </c>
      <c r="H3182" s="136" t="s">
        <v>14780</v>
      </c>
      <c r="I3182" s="136" t="s">
        <v>14781</v>
      </c>
      <c r="J3182" s="136" t="s">
        <v>14782</v>
      </c>
      <c r="L3182" s="136"/>
      <c r="M3182" s="136"/>
      <c r="N3182" s="136"/>
    </row>
    <row r="3183" spans="6:14">
      <c r="F3183" s="136" t="s">
        <v>14783</v>
      </c>
      <c r="G3183" s="136">
        <v>3180</v>
      </c>
      <c r="H3183" s="136" t="s">
        <v>12988</v>
      </c>
      <c r="I3183" s="136" t="s">
        <v>14784</v>
      </c>
      <c r="J3183" s="136" t="s">
        <v>14785</v>
      </c>
      <c r="L3183" s="136"/>
      <c r="M3183" s="136"/>
      <c r="N3183" s="136"/>
    </row>
    <row r="3184" spans="6:14">
      <c r="F3184" s="136" t="s">
        <v>14786</v>
      </c>
      <c r="G3184" s="136">
        <v>3181</v>
      </c>
      <c r="H3184" s="136" t="s">
        <v>3390</v>
      </c>
      <c r="I3184" s="136" t="s">
        <v>3390</v>
      </c>
      <c r="J3184" s="136" t="s">
        <v>14787</v>
      </c>
      <c r="L3184" s="136"/>
      <c r="M3184" s="136"/>
      <c r="N3184" s="136"/>
    </row>
    <row r="3185" spans="6:14">
      <c r="F3185" s="136" t="s">
        <v>14788</v>
      </c>
      <c r="G3185" s="136">
        <v>3182</v>
      </c>
      <c r="H3185" s="136" t="s">
        <v>36</v>
      </c>
      <c r="I3185" s="136" t="s">
        <v>37</v>
      </c>
      <c r="J3185" s="136" t="s">
        <v>14789</v>
      </c>
      <c r="L3185" s="136"/>
      <c r="M3185" s="136"/>
      <c r="N3185" s="136"/>
    </row>
    <row r="3186" spans="6:14">
      <c r="F3186" s="136" t="s">
        <v>14790</v>
      </c>
      <c r="G3186" s="136">
        <v>3183</v>
      </c>
      <c r="H3186" s="136" t="s">
        <v>3116</v>
      </c>
      <c r="I3186" s="136" t="s">
        <v>3117</v>
      </c>
      <c r="J3186" s="136" t="s">
        <v>14791</v>
      </c>
      <c r="L3186" s="136"/>
      <c r="M3186" s="136"/>
      <c r="N3186" s="136"/>
    </row>
    <row r="3187" spans="6:14">
      <c r="F3187" s="136" t="s">
        <v>14792</v>
      </c>
      <c r="G3187" s="136">
        <v>3184</v>
      </c>
      <c r="H3187" s="136" t="s">
        <v>400</v>
      </c>
      <c r="I3187" s="136" t="s">
        <v>401</v>
      </c>
      <c r="J3187" s="136" t="s">
        <v>14793</v>
      </c>
      <c r="L3187" s="136"/>
      <c r="M3187" s="136"/>
      <c r="N3187" s="136"/>
    </row>
    <row r="3188" spans="6:14">
      <c r="F3188" s="136" t="s">
        <v>14794</v>
      </c>
      <c r="G3188" s="136">
        <v>3185</v>
      </c>
      <c r="H3188" s="136" t="s">
        <v>3387</v>
      </c>
      <c r="I3188" s="136" t="s">
        <v>3388</v>
      </c>
      <c r="J3188" s="136" t="s">
        <v>14795</v>
      </c>
      <c r="L3188" s="136"/>
      <c r="M3188" s="136"/>
      <c r="N3188" s="136"/>
    </row>
    <row r="3189" spans="6:14">
      <c r="F3189" s="136" t="s">
        <v>14796</v>
      </c>
      <c r="G3189" s="136">
        <v>3186</v>
      </c>
      <c r="H3189" s="136" t="s">
        <v>14797</v>
      </c>
      <c r="I3189" s="136" t="s">
        <v>14798</v>
      </c>
      <c r="J3189" s="136" t="s">
        <v>14799</v>
      </c>
      <c r="L3189" s="136"/>
      <c r="M3189" s="136"/>
      <c r="N3189" s="136"/>
    </row>
    <row r="3190" spans="6:14">
      <c r="F3190" s="136" t="s">
        <v>14800</v>
      </c>
      <c r="G3190" s="136">
        <v>3187</v>
      </c>
      <c r="H3190" s="136" t="s">
        <v>1983</v>
      </c>
      <c r="I3190" s="136" t="s">
        <v>1984</v>
      </c>
      <c r="J3190" s="136" t="s">
        <v>14801</v>
      </c>
      <c r="L3190" s="136"/>
      <c r="M3190" s="136"/>
      <c r="N3190" s="136"/>
    </row>
    <row r="3191" spans="6:14">
      <c r="F3191" s="136" t="s">
        <v>14802</v>
      </c>
      <c r="G3191" s="136">
        <v>3188</v>
      </c>
      <c r="H3191" s="136" t="s">
        <v>4680</v>
      </c>
      <c r="I3191" s="136" t="s">
        <v>4681</v>
      </c>
      <c r="J3191" s="136" t="s">
        <v>14803</v>
      </c>
      <c r="L3191" s="136"/>
      <c r="M3191" s="136"/>
      <c r="N3191" s="136"/>
    </row>
    <row r="3192" spans="6:14">
      <c r="F3192" s="136" t="s">
        <v>14804</v>
      </c>
      <c r="G3192" s="136">
        <v>3189</v>
      </c>
      <c r="H3192" s="136" t="s">
        <v>4040</v>
      </c>
      <c r="I3192" s="136" t="s">
        <v>4040</v>
      </c>
      <c r="J3192" s="136" t="s">
        <v>14805</v>
      </c>
      <c r="L3192" s="136"/>
      <c r="M3192" s="136"/>
      <c r="N3192" s="136"/>
    </row>
    <row r="3193" spans="6:14">
      <c r="F3193" s="136" t="s">
        <v>14806</v>
      </c>
      <c r="G3193" s="136">
        <v>3190</v>
      </c>
      <c r="H3193" s="136" t="s">
        <v>14807</v>
      </c>
      <c r="I3193" s="136" t="s">
        <v>14807</v>
      </c>
      <c r="J3193" s="136" t="s">
        <v>14808</v>
      </c>
      <c r="L3193" s="136"/>
      <c r="M3193" s="136"/>
      <c r="N3193" s="136"/>
    </row>
    <row r="3194" spans="6:14">
      <c r="F3194" s="136" t="s">
        <v>14809</v>
      </c>
      <c r="G3194" s="136">
        <v>3191</v>
      </c>
      <c r="H3194" s="136" t="s">
        <v>2171</v>
      </c>
      <c r="I3194" s="136" t="s">
        <v>2172</v>
      </c>
      <c r="J3194" s="136" t="s">
        <v>14810</v>
      </c>
      <c r="L3194" s="136"/>
      <c r="M3194" s="136"/>
      <c r="N3194" s="136"/>
    </row>
    <row r="3195" spans="6:14">
      <c r="F3195" s="136" t="s">
        <v>14811</v>
      </c>
      <c r="G3195" s="136">
        <v>3192</v>
      </c>
      <c r="H3195" s="136" t="s">
        <v>4227</v>
      </c>
      <c r="I3195" s="136" t="s">
        <v>4228</v>
      </c>
      <c r="J3195" s="136" t="s">
        <v>14812</v>
      </c>
      <c r="L3195" s="136"/>
      <c r="M3195" s="136"/>
      <c r="N3195" s="136"/>
    </row>
    <row r="3196" spans="6:14">
      <c r="F3196" s="136" t="s">
        <v>14813</v>
      </c>
      <c r="G3196" s="136">
        <v>3193</v>
      </c>
      <c r="H3196" s="136" t="s">
        <v>14814</v>
      </c>
      <c r="I3196" s="136" t="s">
        <v>14815</v>
      </c>
      <c r="J3196" s="136" t="s">
        <v>14816</v>
      </c>
      <c r="L3196" s="136"/>
      <c r="M3196" s="136"/>
      <c r="N3196" s="136"/>
    </row>
    <row r="3197" spans="6:14">
      <c r="F3197" s="136" t="s">
        <v>14817</v>
      </c>
      <c r="G3197" s="136">
        <v>3194</v>
      </c>
      <c r="H3197" s="136" t="s">
        <v>13326</v>
      </c>
      <c r="I3197" s="136" t="s">
        <v>14818</v>
      </c>
      <c r="J3197" s="136" t="s">
        <v>14819</v>
      </c>
      <c r="L3197" s="136"/>
      <c r="M3197" s="136"/>
      <c r="N3197" s="136"/>
    </row>
    <row r="3198" spans="6:14">
      <c r="F3198" s="136" t="s">
        <v>14820</v>
      </c>
      <c r="G3198" s="136">
        <v>3195</v>
      </c>
      <c r="H3198" s="136" t="s">
        <v>14821</v>
      </c>
      <c r="I3198" s="136" t="s">
        <v>14822</v>
      </c>
      <c r="J3198" s="136" t="s">
        <v>14823</v>
      </c>
      <c r="L3198" s="136"/>
      <c r="M3198" s="136"/>
      <c r="N3198" s="136"/>
    </row>
    <row r="3199" spans="6:14">
      <c r="F3199" s="136" t="s">
        <v>14824</v>
      </c>
      <c r="G3199" s="136">
        <v>3196</v>
      </c>
      <c r="H3199" s="136" t="s">
        <v>2207</v>
      </c>
      <c r="I3199" s="136" t="s">
        <v>2208</v>
      </c>
      <c r="J3199" s="136" t="s">
        <v>14825</v>
      </c>
      <c r="L3199" s="136"/>
      <c r="M3199" s="136"/>
      <c r="N3199" s="136"/>
    </row>
    <row r="3200" spans="6:14">
      <c r="F3200" s="136" t="s">
        <v>14826</v>
      </c>
      <c r="G3200" s="136">
        <v>3197</v>
      </c>
      <c r="H3200" s="136" t="s">
        <v>687</v>
      </c>
      <c r="I3200" s="136" t="s">
        <v>690</v>
      </c>
      <c r="J3200" s="136" t="s">
        <v>14827</v>
      </c>
      <c r="L3200" s="136"/>
      <c r="M3200" s="136"/>
      <c r="N3200" s="136"/>
    </row>
    <row r="3201" spans="6:14">
      <c r="F3201" s="136" t="s">
        <v>14828</v>
      </c>
      <c r="G3201" s="136">
        <v>3198</v>
      </c>
      <c r="H3201" s="136" t="s">
        <v>3593</v>
      </c>
      <c r="I3201" s="136" t="s">
        <v>3594</v>
      </c>
      <c r="J3201" s="136" t="s">
        <v>14829</v>
      </c>
      <c r="L3201" s="136"/>
      <c r="M3201" s="136"/>
      <c r="N3201" s="136"/>
    </row>
    <row r="3202" spans="6:14">
      <c r="F3202" s="136" t="s">
        <v>14830</v>
      </c>
      <c r="G3202" s="136">
        <v>3199</v>
      </c>
      <c r="H3202" s="136" t="s">
        <v>14831</v>
      </c>
      <c r="I3202" s="136" t="s">
        <v>14832</v>
      </c>
      <c r="J3202" s="136" t="s">
        <v>14833</v>
      </c>
      <c r="L3202" s="136"/>
      <c r="M3202" s="136"/>
      <c r="N3202" s="136"/>
    </row>
    <row r="3203" spans="6:14">
      <c r="F3203" s="136" t="s">
        <v>14834</v>
      </c>
      <c r="G3203" s="136">
        <v>3200</v>
      </c>
      <c r="H3203" s="136" t="s">
        <v>727</v>
      </c>
      <c r="I3203" s="136" t="s">
        <v>728</v>
      </c>
      <c r="J3203" s="136" t="s">
        <v>14835</v>
      </c>
      <c r="L3203" s="136"/>
      <c r="M3203" s="136"/>
      <c r="N3203" s="136"/>
    </row>
    <row r="3204" spans="6:14">
      <c r="F3204" s="136" t="s">
        <v>14836</v>
      </c>
      <c r="G3204" s="136">
        <v>3201</v>
      </c>
      <c r="H3204" s="136" t="s">
        <v>1617</v>
      </c>
      <c r="I3204" s="136" t="s">
        <v>1617</v>
      </c>
      <c r="J3204" s="136" t="s">
        <v>14837</v>
      </c>
      <c r="L3204" s="136"/>
      <c r="M3204" s="136"/>
      <c r="N3204" s="136"/>
    </row>
    <row r="3205" spans="6:14">
      <c r="F3205" s="136" t="s">
        <v>14838</v>
      </c>
      <c r="G3205" s="136">
        <v>3202</v>
      </c>
      <c r="H3205" s="136" t="s">
        <v>1093</v>
      </c>
      <c r="I3205" s="136" t="s">
        <v>1093</v>
      </c>
      <c r="J3205" s="136" t="s">
        <v>14839</v>
      </c>
      <c r="L3205" s="136"/>
      <c r="M3205" s="136"/>
      <c r="N3205" s="136"/>
    </row>
    <row r="3206" spans="6:14">
      <c r="F3206" s="136" t="s">
        <v>14840</v>
      </c>
      <c r="G3206" s="136">
        <v>3203</v>
      </c>
      <c r="H3206" s="136" t="s">
        <v>4043</v>
      </c>
      <c r="I3206" s="136" t="s">
        <v>4044</v>
      </c>
      <c r="J3206" s="136" t="s">
        <v>14841</v>
      </c>
      <c r="L3206" s="136"/>
      <c r="M3206" s="136"/>
      <c r="N3206" s="136"/>
    </row>
    <row r="3207" spans="6:14">
      <c r="F3207" s="136" t="s">
        <v>14842</v>
      </c>
      <c r="G3207" s="136">
        <v>3204</v>
      </c>
      <c r="H3207" s="136" t="s">
        <v>2973</v>
      </c>
      <c r="I3207" s="136" t="s">
        <v>2973</v>
      </c>
      <c r="J3207" s="136" t="s">
        <v>14843</v>
      </c>
      <c r="L3207" s="136"/>
      <c r="M3207" s="136"/>
      <c r="N3207" s="136"/>
    </row>
    <row r="3208" spans="6:14">
      <c r="F3208" s="136" t="s">
        <v>14844</v>
      </c>
      <c r="G3208" s="136">
        <v>3205</v>
      </c>
      <c r="H3208" s="136" t="s">
        <v>1502</v>
      </c>
      <c r="I3208" s="136" t="s">
        <v>1503</v>
      </c>
      <c r="J3208" s="136" t="s">
        <v>14845</v>
      </c>
      <c r="L3208" s="136"/>
      <c r="M3208" s="136"/>
      <c r="N3208" s="136"/>
    </row>
    <row r="3209" spans="6:14">
      <c r="F3209" s="136" t="s">
        <v>14846</v>
      </c>
      <c r="G3209" s="136">
        <v>3206</v>
      </c>
      <c r="H3209" s="136" t="s">
        <v>5502</v>
      </c>
      <c r="I3209" s="136" t="s">
        <v>5503</v>
      </c>
      <c r="J3209" s="136" t="s">
        <v>14847</v>
      </c>
      <c r="L3209" s="136"/>
      <c r="M3209" s="136"/>
      <c r="N3209" s="136"/>
    </row>
    <row r="3210" spans="6:14">
      <c r="F3210" s="136" t="s">
        <v>14848</v>
      </c>
      <c r="G3210" s="136">
        <v>3207</v>
      </c>
      <c r="H3210" s="136" t="s">
        <v>946</v>
      </c>
      <c r="I3210" s="136" t="s">
        <v>947</v>
      </c>
      <c r="J3210" s="136" t="s">
        <v>14849</v>
      </c>
      <c r="L3210" s="136"/>
      <c r="M3210" s="136"/>
      <c r="N3210" s="136"/>
    </row>
    <row r="3211" spans="6:14">
      <c r="F3211" s="136" t="s">
        <v>14850</v>
      </c>
      <c r="G3211" s="136">
        <v>3208</v>
      </c>
      <c r="H3211" s="136" t="s">
        <v>1636</v>
      </c>
      <c r="I3211" s="136" t="s">
        <v>1642</v>
      </c>
      <c r="J3211" s="136" t="s">
        <v>14851</v>
      </c>
      <c r="L3211" s="136"/>
      <c r="M3211" s="136"/>
      <c r="N3211" s="136"/>
    </row>
    <row r="3212" spans="6:14">
      <c r="F3212" s="136" t="s">
        <v>14852</v>
      </c>
      <c r="G3212" s="136">
        <v>3209</v>
      </c>
      <c r="H3212" s="136" t="s">
        <v>1633</v>
      </c>
      <c r="I3212" s="136" t="s">
        <v>1634</v>
      </c>
      <c r="J3212" s="136" t="s">
        <v>14853</v>
      </c>
      <c r="L3212" s="136"/>
      <c r="M3212" s="136"/>
      <c r="N3212" s="136"/>
    </row>
    <row r="3213" spans="6:14">
      <c r="F3213" s="136" t="s">
        <v>14854</v>
      </c>
      <c r="G3213" s="136">
        <v>3210</v>
      </c>
      <c r="H3213" s="136" t="s">
        <v>14855</v>
      </c>
      <c r="I3213" s="136" t="s">
        <v>14856</v>
      </c>
      <c r="J3213" s="136" t="s">
        <v>14857</v>
      </c>
      <c r="L3213" s="136"/>
      <c r="M3213" s="136"/>
      <c r="N3213" s="136"/>
    </row>
    <row r="3214" spans="6:14">
      <c r="F3214" s="136" t="s">
        <v>14858</v>
      </c>
      <c r="G3214" s="136">
        <v>3211</v>
      </c>
      <c r="H3214" s="136" t="s">
        <v>2023</v>
      </c>
      <c r="I3214" s="136" t="s">
        <v>2024</v>
      </c>
      <c r="J3214" s="136" t="s">
        <v>14859</v>
      </c>
      <c r="L3214" s="136"/>
      <c r="M3214" s="136"/>
      <c r="N3214" s="136"/>
    </row>
    <row r="3215" spans="6:14">
      <c r="F3215" s="136" t="s">
        <v>14860</v>
      </c>
      <c r="G3215" s="136">
        <v>3212</v>
      </c>
      <c r="H3215" s="136" t="s">
        <v>14861</v>
      </c>
      <c r="I3215" s="136" t="s">
        <v>14862</v>
      </c>
      <c r="J3215" s="136" t="s">
        <v>14863</v>
      </c>
      <c r="L3215" s="136"/>
      <c r="M3215" s="136"/>
      <c r="N3215" s="136"/>
    </row>
    <row r="3216" spans="6:14">
      <c r="F3216" s="136" t="s">
        <v>14864</v>
      </c>
      <c r="G3216" s="136">
        <v>3213</v>
      </c>
      <c r="H3216" s="136" t="s">
        <v>14865</v>
      </c>
      <c r="I3216" s="136" t="s">
        <v>14866</v>
      </c>
      <c r="J3216" s="136" t="s">
        <v>14867</v>
      </c>
      <c r="L3216" s="136"/>
      <c r="M3216" s="136"/>
      <c r="N3216" s="136"/>
    </row>
    <row r="3217" spans="6:14">
      <c r="F3217" s="136" t="s">
        <v>14868</v>
      </c>
      <c r="G3217" s="136">
        <v>3214</v>
      </c>
      <c r="H3217" s="136" t="s">
        <v>14869</v>
      </c>
      <c r="I3217" s="136" t="s">
        <v>14870</v>
      </c>
      <c r="J3217" s="136" t="s">
        <v>14871</v>
      </c>
      <c r="L3217" s="136"/>
      <c r="M3217" s="136"/>
      <c r="N3217" s="136"/>
    </row>
    <row r="3218" spans="6:14">
      <c r="F3218" s="136" t="s">
        <v>14872</v>
      </c>
      <c r="G3218" s="136">
        <v>3215</v>
      </c>
      <c r="H3218" s="136" t="s">
        <v>9046</v>
      </c>
      <c r="I3218" s="136" t="s">
        <v>9046</v>
      </c>
      <c r="J3218" s="136" t="s">
        <v>14873</v>
      </c>
      <c r="L3218" s="136"/>
      <c r="M3218" s="136"/>
      <c r="N3218" s="136"/>
    </row>
    <row r="3219" spans="6:14">
      <c r="F3219" s="136" t="s">
        <v>14874</v>
      </c>
      <c r="G3219" s="136">
        <v>3216</v>
      </c>
      <c r="H3219" s="136" t="s">
        <v>14875</v>
      </c>
      <c r="I3219" s="136" t="s">
        <v>14876</v>
      </c>
      <c r="J3219" s="136" t="s">
        <v>14877</v>
      </c>
      <c r="L3219" s="136"/>
      <c r="M3219" s="136"/>
      <c r="N3219" s="136"/>
    </row>
    <row r="3220" spans="6:14">
      <c r="F3220" s="136" t="s">
        <v>14878</v>
      </c>
      <c r="G3220" s="136">
        <v>3217</v>
      </c>
      <c r="H3220" s="136" t="s">
        <v>5028</v>
      </c>
      <c r="I3220" s="136" t="s">
        <v>5028</v>
      </c>
      <c r="J3220" s="136" t="s">
        <v>14879</v>
      </c>
      <c r="L3220" s="136"/>
      <c r="M3220" s="136"/>
      <c r="N3220" s="136"/>
    </row>
    <row r="3221" spans="6:14">
      <c r="F3221" s="136" t="s">
        <v>14880</v>
      </c>
      <c r="G3221" s="136">
        <v>3218</v>
      </c>
      <c r="H3221" s="136" t="s">
        <v>14881</v>
      </c>
      <c r="I3221" s="136" t="s">
        <v>14882</v>
      </c>
      <c r="J3221" s="136" t="s">
        <v>14883</v>
      </c>
      <c r="L3221" s="136"/>
      <c r="M3221" s="136"/>
      <c r="N3221" s="136"/>
    </row>
    <row r="3222" spans="6:14">
      <c r="F3222" s="136" t="s">
        <v>14884</v>
      </c>
      <c r="G3222" s="136">
        <v>3219</v>
      </c>
      <c r="H3222" s="136" t="s">
        <v>2193</v>
      </c>
      <c r="I3222" s="136" t="s">
        <v>2194</v>
      </c>
      <c r="J3222" s="136" t="s">
        <v>14885</v>
      </c>
      <c r="L3222" s="136"/>
      <c r="M3222" s="136"/>
      <c r="N3222" s="136"/>
    </row>
    <row r="3223" spans="6:14">
      <c r="F3223" s="136" t="s">
        <v>14886</v>
      </c>
      <c r="G3223" s="136">
        <v>3220</v>
      </c>
      <c r="H3223" s="136" t="s">
        <v>14887</v>
      </c>
      <c r="I3223" s="136" t="s">
        <v>14888</v>
      </c>
      <c r="J3223" s="136" t="s">
        <v>14889</v>
      </c>
      <c r="L3223" s="136"/>
      <c r="M3223" s="136"/>
      <c r="N3223" s="136"/>
    </row>
    <row r="3224" spans="6:14">
      <c r="F3224" s="136" t="s">
        <v>14890</v>
      </c>
      <c r="G3224" s="136">
        <v>3221</v>
      </c>
      <c r="H3224" s="136" t="s">
        <v>4808</v>
      </c>
      <c r="I3224" s="136" t="s">
        <v>4809</v>
      </c>
      <c r="J3224" s="136" t="s">
        <v>14891</v>
      </c>
      <c r="L3224" s="136"/>
      <c r="M3224" s="136"/>
      <c r="N3224" s="136"/>
    </row>
    <row r="3225" spans="6:14">
      <c r="F3225" s="136" t="s">
        <v>14892</v>
      </c>
      <c r="G3225" s="136">
        <v>3222</v>
      </c>
      <c r="H3225" s="136" t="s">
        <v>4494</v>
      </c>
      <c r="I3225" s="136" t="s">
        <v>4495</v>
      </c>
      <c r="J3225" s="136" t="s">
        <v>14893</v>
      </c>
      <c r="L3225" s="136"/>
      <c r="M3225" s="136"/>
      <c r="N3225" s="136"/>
    </row>
    <row r="3226" spans="6:14">
      <c r="F3226" s="136" t="s">
        <v>14894</v>
      </c>
      <c r="G3226" s="136">
        <v>3223</v>
      </c>
      <c r="H3226" s="136" t="s">
        <v>14895</v>
      </c>
      <c r="I3226" s="136" t="s">
        <v>14896</v>
      </c>
      <c r="J3226" s="136" t="s">
        <v>14897</v>
      </c>
      <c r="L3226" s="136"/>
      <c r="M3226" s="136"/>
      <c r="N3226" s="136"/>
    </row>
    <row r="3227" spans="6:14">
      <c r="F3227" s="136" t="s">
        <v>14898</v>
      </c>
      <c r="G3227" s="136">
        <v>3224</v>
      </c>
      <c r="H3227" s="136" t="s">
        <v>14899</v>
      </c>
      <c r="I3227" s="136" t="s">
        <v>14900</v>
      </c>
      <c r="J3227" s="136" t="s">
        <v>14901</v>
      </c>
      <c r="L3227" s="136"/>
      <c r="M3227" s="136"/>
      <c r="N3227" s="136"/>
    </row>
    <row r="3228" spans="6:14">
      <c r="F3228" s="136" t="s">
        <v>14902</v>
      </c>
      <c r="G3228" s="136">
        <v>3225</v>
      </c>
      <c r="H3228" s="136" t="s">
        <v>14903</v>
      </c>
      <c r="I3228" s="136" t="s">
        <v>14139</v>
      </c>
      <c r="J3228" s="136" t="s">
        <v>14904</v>
      </c>
      <c r="L3228" s="136"/>
      <c r="M3228" s="136"/>
      <c r="N3228" s="136"/>
    </row>
    <row r="3229" spans="6:14">
      <c r="F3229" s="136" t="s">
        <v>14905</v>
      </c>
      <c r="G3229" s="136">
        <v>3226</v>
      </c>
      <c r="H3229" s="136" t="s">
        <v>14906</v>
      </c>
      <c r="I3229" s="136" t="s">
        <v>14907</v>
      </c>
      <c r="J3229" s="136" t="s">
        <v>14908</v>
      </c>
      <c r="L3229" s="136"/>
      <c r="M3229" s="136"/>
      <c r="N3229" s="136"/>
    </row>
    <row r="3230" spans="6:14">
      <c r="F3230" s="136" t="s">
        <v>14909</v>
      </c>
      <c r="G3230" s="136">
        <v>3227</v>
      </c>
      <c r="H3230" s="136" t="s">
        <v>14910</v>
      </c>
      <c r="I3230" s="136" t="s">
        <v>14911</v>
      </c>
      <c r="J3230" s="136" t="s">
        <v>14912</v>
      </c>
      <c r="L3230" s="136"/>
      <c r="M3230" s="136"/>
      <c r="N3230" s="136"/>
    </row>
    <row r="3231" spans="6:14">
      <c r="F3231" s="136" t="s">
        <v>14913</v>
      </c>
      <c r="G3231" s="136">
        <v>3228</v>
      </c>
      <c r="H3231" s="136" t="s">
        <v>14914</v>
      </c>
      <c r="I3231" s="136" t="s">
        <v>14915</v>
      </c>
      <c r="J3231" s="136" t="s">
        <v>14916</v>
      </c>
      <c r="L3231" s="136"/>
      <c r="M3231" s="136"/>
      <c r="N3231" s="136"/>
    </row>
    <row r="3232" spans="6:14">
      <c r="F3232" s="136" t="s">
        <v>14917</v>
      </c>
      <c r="G3232" s="136">
        <v>3229</v>
      </c>
      <c r="H3232" s="136" t="s">
        <v>14918</v>
      </c>
      <c r="I3232" s="136" t="s">
        <v>14919</v>
      </c>
      <c r="J3232" s="136" t="s">
        <v>14920</v>
      </c>
      <c r="L3232" s="136"/>
      <c r="M3232" s="136"/>
      <c r="N3232" s="136"/>
    </row>
    <row r="3233" spans="6:14">
      <c r="F3233" s="136" t="s">
        <v>14921</v>
      </c>
      <c r="G3233" s="136">
        <v>3230</v>
      </c>
      <c r="H3233" s="136" t="s">
        <v>14922</v>
      </c>
      <c r="I3233" s="136" t="s">
        <v>14923</v>
      </c>
      <c r="J3233" s="136" t="s">
        <v>14924</v>
      </c>
      <c r="L3233" s="136"/>
      <c r="M3233" s="136"/>
      <c r="N3233" s="136"/>
    </row>
    <row r="3234" spans="6:14">
      <c r="F3234" s="136" t="s">
        <v>14925</v>
      </c>
      <c r="G3234" s="136">
        <v>3231</v>
      </c>
      <c r="H3234" s="136" t="s">
        <v>14926</v>
      </c>
      <c r="I3234" s="136" t="s">
        <v>14927</v>
      </c>
      <c r="J3234" s="136" t="s">
        <v>14928</v>
      </c>
      <c r="L3234" s="136"/>
      <c r="M3234" s="136"/>
      <c r="N3234" s="136"/>
    </row>
    <row r="3235" spans="6:14">
      <c r="F3235" s="136" t="s">
        <v>14929</v>
      </c>
      <c r="G3235" s="136">
        <v>3232</v>
      </c>
      <c r="H3235" s="136" t="s">
        <v>3632</v>
      </c>
      <c r="I3235" s="136" t="s">
        <v>3633</v>
      </c>
      <c r="J3235" s="136" t="s">
        <v>14930</v>
      </c>
      <c r="L3235" s="136"/>
      <c r="M3235" s="136"/>
      <c r="N3235" s="136"/>
    </row>
    <row r="3236" spans="6:14">
      <c r="F3236" s="136" t="s">
        <v>14931</v>
      </c>
      <c r="G3236" s="136">
        <v>3233</v>
      </c>
      <c r="H3236" s="136" t="s">
        <v>2664</v>
      </c>
      <c r="I3236" s="136" t="s">
        <v>2665</v>
      </c>
      <c r="J3236" s="136" t="s">
        <v>14932</v>
      </c>
      <c r="L3236" s="136"/>
      <c r="M3236" s="136"/>
      <c r="N3236" s="136"/>
    </row>
    <row r="3237" spans="6:14">
      <c r="F3237" s="136" t="s">
        <v>14933</v>
      </c>
      <c r="G3237" s="136">
        <v>3234</v>
      </c>
      <c r="H3237" s="136" t="s">
        <v>2318</v>
      </c>
      <c r="I3237" s="136" t="s">
        <v>2319</v>
      </c>
      <c r="J3237" s="136" t="s">
        <v>14934</v>
      </c>
      <c r="L3237" s="136"/>
      <c r="M3237" s="136"/>
      <c r="N3237" s="136"/>
    </row>
    <row r="3238" spans="6:14">
      <c r="F3238" s="136" t="s">
        <v>14935</v>
      </c>
      <c r="G3238" s="136">
        <v>3235</v>
      </c>
      <c r="H3238" s="136" t="s">
        <v>5917</v>
      </c>
      <c r="I3238" s="136" t="s">
        <v>5918</v>
      </c>
      <c r="J3238" s="136" t="s">
        <v>14936</v>
      </c>
      <c r="L3238" s="136"/>
      <c r="M3238" s="136"/>
      <c r="N3238" s="136"/>
    </row>
    <row r="3239" spans="6:14">
      <c r="F3239" s="136" t="s">
        <v>14937</v>
      </c>
      <c r="G3239" s="136">
        <v>3236</v>
      </c>
      <c r="H3239" s="136" t="s">
        <v>1201</v>
      </c>
      <c r="I3239" s="136" t="s">
        <v>1202</v>
      </c>
      <c r="J3239" s="136" t="s">
        <v>14938</v>
      </c>
      <c r="L3239" s="136"/>
      <c r="M3239" s="136"/>
      <c r="N3239" s="136"/>
    </row>
    <row r="3240" spans="6:14">
      <c r="F3240" s="136" t="s">
        <v>14939</v>
      </c>
      <c r="G3240" s="136">
        <v>3237</v>
      </c>
      <c r="H3240" s="136" t="s">
        <v>192</v>
      </c>
      <c r="I3240" s="136" t="s">
        <v>193</v>
      </c>
      <c r="J3240" s="136" t="s">
        <v>14940</v>
      </c>
      <c r="L3240" s="136"/>
      <c r="M3240" s="136"/>
      <c r="N3240" s="136"/>
    </row>
    <row r="3241" spans="6:14">
      <c r="F3241" s="136" t="s">
        <v>14941</v>
      </c>
      <c r="G3241" s="136">
        <v>3238</v>
      </c>
      <c r="H3241" s="136" t="s">
        <v>3251</v>
      </c>
      <c r="I3241" s="136" t="s">
        <v>3251</v>
      </c>
      <c r="J3241" s="136" t="s">
        <v>14942</v>
      </c>
      <c r="L3241" s="136"/>
      <c r="M3241" s="136"/>
      <c r="N3241" s="136"/>
    </row>
    <row r="3242" spans="6:14">
      <c r="F3242" s="136" t="s">
        <v>14943</v>
      </c>
      <c r="G3242" s="136">
        <v>3239</v>
      </c>
      <c r="H3242" s="136" t="s">
        <v>4720</v>
      </c>
      <c r="I3242" s="136" t="s">
        <v>4721</v>
      </c>
      <c r="J3242" s="136" t="s">
        <v>14944</v>
      </c>
      <c r="L3242" s="136"/>
      <c r="M3242" s="136"/>
      <c r="N3242" s="136"/>
    </row>
    <row r="3243" spans="6:14">
      <c r="F3243" s="136" t="s">
        <v>14945</v>
      </c>
      <c r="G3243" s="136">
        <v>3240</v>
      </c>
      <c r="H3243" s="136" t="s">
        <v>5003</v>
      </c>
      <c r="I3243" s="136" t="s">
        <v>5004</v>
      </c>
      <c r="J3243" s="136" t="s">
        <v>14946</v>
      </c>
      <c r="L3243" s="136"/>
      <c r="M3243" s="136"/>
      <c r="N3243" s="136"/>
    </row>
    <row r="3244" spans="6:14">
      <c r="F3244" s="136" t="s">
        <v>14947</v>
      </c>
      <c r="G3244" s="136">
        <v>3241</v>
      </c>
      <c r="H3244" s="136" t="s">
        <v>14948</v>
      </c>
      <c r="I3244" s="136" t="s">
        <v>14949</v>
      </c>
      <c r="J3244" s="136" t="s">
        <v>14950</v>
      </c>
      <c r="L3244" s="136"/>
      <c r="M3244" s="136"/>
      <c r="N3244" s="136"/>
    </row>
    <row r="3245" spans="6:14">
      <c r="F3245" s="136" t="s">
        <v>14951</v>
      </c>
      <c r="G3245" s="136">
        <v>3242</v>
      </c>
      <c r="H3245" s="136" t="s">
        <v>2668</v>
      </c>
      <c r="I3245" s="136" t="s">
        <v>2669</v>
      </c>
      <c r="J3245" s="136" t="s">
        <v>14952</v>
      </c>
      <c r="L3245" s="136"/>
      <c r="M3245" s="136"/>
      <c r="N3245" s="136"/>
    </row>
    <row r="3246" spans="6:14">
      <c r="F3246" s="136" t="s">
        <v>14953</v>
      </c>
      <c r="G3246" s="136">
        <v>3243</v>
      </c>
      <c r="H3246" s="136" t="s">
        <v>14954</v>
      </c>
      <c r="I3246" s="136" t="s">
        <v>9863</v>
      </c>
      <c r="J3246" s="136" t="s">
        <v>14955</v>
      </c>
      <c r="L3246" s="136"/>
      <c r="M3246" s="136"/>
      <c r="N3246" s="136"/>
    </row>
    <row r="3247" spans="6:14">
      <c r="F3247" s="136" t="s">
        <v>14956</v>
      </c>
      <c r="G3247" s="136">
        <v>3244</v>
      </c>
      <c r="H3247" s="136" t="s">
        <v>14957</v>
      </c>
      <c r="I3247" s="136" t="s">
        <v>14958</v>
      </c>
      <c r="J3247" s="136" t="s">
        <v>14959</v>
      </c>
      <c r="L3247" s="136"/>
      <c r="M3247" s="136"/>
      <c r="N3247" s="136"/>
    </row>
    <row r="3248" spans="6:14">
      <c r="F3248" s="136" t="s">
        <v>14960</v>
      </c>
      <c r="G3248" s="136">
        <v>3245</v>
      </c>
      <c r="H3248" s="136" t="s">
        <v>5542</v>
      </c>
      <c r="I3248" s="136" t="s">
        <v>667</v>
      </c>
      <c r="J3248" s="136" t="s">
        <v>14961</v>
      </c>
      <c r="L3248" s="136"/>
      <c r="M3248" s="136"/>
      <c r="N3248" s="136"/>
    </row>
    <row r="3249" spans="6:14">
      <c r="F3249" s="136" t="s">
        <v>14962</v>
      </c>
      <c r="G3249" s="136">
        <v>3246</v>
      </c>
      <c r="H3249" s="136" t="s">
        <v>4619</v>
      </c>
      <c r="I3249" s="136" t="s">
        <v>4619</v>
      </c>
      <c r="J3249" s="136" t="s">
        <v>14963</v>
      </c>
      <c r="L3249" s="136"/>
      <c r="M3249" s="136"/>
      <c r="N3249" s="136"/>
    </row>
    <row r="3250" spans="6:14">
      <c r="F3250" s="136" t="s">
        <v>14964</v>
      </c>
      <c r="G3250" s="136">
        <v>3247</v>
      </c>
      <c r="H3250" s="136" t="s">
        <v>14965</v>
      </c>
      <c r="I3250" s="136" t="s">
        <v>14966</v>
      </c>
      <c r="J3250" s="136" t="s">
        <v>14967</v>
      </c>
      <c r="L3250" s="136"/>
      <c r="M3250" s="136"/>
      <c r="N3250" s="136"/>
    </row>
    <row r="3251" spans="6:14">
      <c r="F3251" s="136" t="s">
        <v>14968</v>
      </c>
      <c r="G3251" s="136">
        <v>3248</v>
      </c>
      <c r="H3251" s="136" t="s">
        <v>14969</v>
      </c>
      <c r="I3251" s="136" t="s">
        <v>14970</v>
      </c>
      <c r="J3251" s="136" t="s">
        <v>14971</v>
      </c>
      <c r="L3251" s="136"/>
      <c r="M3251" s="136"/>
      <c r="N3251" s="136"/>
    </row>
    <row r="3252" spans="6:14">
      <c r="F3252" s="136" t="s">
        <v>14972</v>
      </c>
      <c r="G3252" s="136">
        <v>3249</v>
      </c>
      <c r="H3252" s="136" t="s">
        <v>14973</v>
      </c>
      <c r="I3252" s="136" t="s">
        <v>14974</v>
      </c>
      <c r="J3252" s="136" t="s">
        <v>14975</v>
      </c>
      <c r="L3252" s="136"/>
      <c r="M3252" s="136"/>
      <c r="N3252" s="136"/>
    </row>
    <row r="3253" spans="6:14">
      <c r="F3253" s="136" t="s">
        <v>14976</v>
      </c>
      <c r="G3253" s="136">
        <v>3250</v>
      </c>
      <c r="H3253" s="136" t="s">
        <v>6206</v>
      </c>
      <c r="I3253" s="136" t="s">
        <v>6207</v>
      </c>
      <c r="J3253" s="136" t="s">
        <v>14977</v>
      </c>
      <c r="L3253" s="136"/>
      <c r="M3253" s="136"/>
      <c r="N3253" s="136"/>
    </row>
    <row r="3254" spans="6:14">
      <c r="F3254" s="136" t="s">
        <v>14978</v>
      </c>
      <c r="G3254" s="136">
        <v>3251</v>
      </c>
      <c r="H3254" s="136" t="s">
        <v>1240</v>
      </c>
      <c r="I3254" s="136" t="s">
        <v>1241</v>
      </c>
      <c r="J3254" s="136" t="s">
        <v>14979</v>
      </c>
      <c r="L3254" s="136"/>
      <c r="M3254" s="136"/>
      <c r="N3254" s="136"/>
    </row>
    <row r="3255" spans="6:14">
      <c r="F3255" s="136" t="s">
        <v>14980</v>
      </c>
      <c r="G3255" s="136">
        <v>3252</v>
      </c>
      <c r="H3255" s="136" t="s">
        <v>4535</v>
      </c>
      <c r="I3255" s="136" t="s">
        <v>4536</v>
      </c>
      <c r="J3255" s="136" t="s">
        <v>14981</v>
      </c>
      <c r="L3255" s="136"/>
      <c r="M3255" s="136"/>
      <c r="N3255" s="136"/>
    </row>
    <row r="3256" spans="6:14">
      <c r="F3256" s="136" t="s">
        <v>14982</v>
      </c>
      <c r="G3256" s="136">
        <v>3253</v>
      </c>
      <c r="H3256" s="136" t="s">
        <v>3215</v>
      </c>
      <c r="I3256" s="136" t="s">
        <v>3216</v>
      </c>
      <c r="J3256" s="136" t="s">
        <v>14983</v>
      </c>
      <c r="L3256" s="136"/>
      <c r="M3256" s="136"/>
      <c r="N3256" s="136"/>
    </row>
    <row r="3257" spans="6:14">
      <c r="F3257" s="136" t="s">
        <v>14984</v>
      </c>
      <c r="G3257" s="136">
        <v>3254</v>
      </c>
      <c r="H3257" s="136" t="s">
        <v>14985</v>
      </c>
      <c r="I3257" s="136" t="s">
        <v>14986</v>
      </c>
      <c r="J3257" s="136" t="s">
        <v>14987</v>
      </c>
      <c r="L3257" s="136"/>
      <c r="M3257" s="136"/>
      <c r="N3257" s="136"/>
    </row>
    <row r="3258" spans="6:14">
      <c r="F3258" s="136" t="s">
        <v>14988</v>
      </c>
      <c r="G3258" s="136">
        <v>3255</v>
      </c>
      <c r="H3258" s="136" t="s">
        <v>3414</v>
      </c>
      <c r="I3258" s="136" t="s">
        <v>1370</v>
      </c>
      <c r="J3258" s="136" t="s">
        <v>14989</v>
      </c>
      <c r="L3258" s="136"/>
      <c r="M3258" s="136"/>
      <c r="N3258" s="136"/>
    </row>
    <row r="3259" spans="6:14">
      <c r="F3259" s="136" t="s">
        <v>14990</v>
      </c>
      <c r="G3259" s="136">
        <v>3256</v>
      </c>
      <c r="H3259" s="136" t="s">
        <v>2859</v>
      </c>
      <c r="I3259" s="136" t="s">
        <v>2860</v>
      </c>
      <c r="J3259" s="136" t="s">
        <v>14991</v>
      </c>
      <c r="L3259" s="136"/>
      <c r="M3259" s="136"/>
      <c r="N3259" s="136"/>
    </row>
    <row r="3260" spans="6:14">
      <c r="F3260" s="136" t="s">
        <v>14992</v>
      </c>
      <c r="G3260" s="136">
        <v>3257</v>
      </c>
      <c r="H3260" s="136" t="s">
        <v>14993</v>
      </c>
      <c r="I3260" s="136" t="s">
        <v>14994</v>
      </c>
      <c r="J3260" s="136" t="s">
        <v>14995</v>
      </c>
      <c r="L3260" s="136"/>
      <c r="M3260" s="136"/>
      <c r="N3260" s="136"/>
    </row>
    <row r="3261" spans="6:14">
      <c r="F3261" s="136" t="s">
        <v>14996</v>
      </c>
      <c r="G3261" s="136">
        <v>3258</v>
      </c>
      <c r="H3261" s="136" t="s">
        <v>14997</v>
      </c>
      <c r="I3261" s="136" t="s">
        <v>14998</v>
      </c>
      <c r="J3261" s="136" t="s">
        <v>14999</v>
      </c>
      <c r="L3261" s="136"/>
      <c r="M3261" s="136"/>
      <c r="N3261" s="136"/>
    </row>
    <row r="3262" spans="6:14">
      <c r="F3262" s="136" t="s">
        <v>15000</v>
      </c>
      <c r="G3262" s="136">
        <v>3259</v>
      </c>
      <c r="H3262" s="136" t="s">
        <v>3225</v>
      </c>
      <c r="I3262" s="136" t="s">
        <v>3226</v>
      </c>
      <c r="J3262" s="136" t="s">
        <v>15001</v>
      </c>
      <c r="L3262" s="136"/>
      <c r="M3262" s="136"/>
      <c r="N3262" s="136"/>
    </row>
    <row r="3263" spans="6:14">
      <c r="F3263" s="136" t="s">
        <v>15002</v>
      </c>
      <c r="G3263" s="136">
        <v>3260</v>
      </c>
      <c r="H3263" s="136" t="s">
        <v>15003</v>
      </c>
      <c r="I3263" s="136" t="s">
        <v>15003</v>
      </c>
      <c r="J3263" s="136" t="s">
        <v>15004</v>
      </c>
      <c r="L3263" s="136"/>
      <c r="M3263" s="136"/>
      <c r="N3263" s="136"/>
    </row>
    <row r="3264" spans="6:14">
      <c r="F3264" s="136" t="s">
        <v>15005</v>
      </c>
      <c r="G3264" s="136">
        <v>3261</v>
      </c>
      <c r="H3264" s="136" t="s">
        <v>5455</v>
      </c>
      <c r="I3264" s="136" t="s">
        <v>5456</v>
      </c>
      <c r="J3264" s="136" t="s">
        <v>15006</v>
      </c>
      <c r="L3264" s="136"/>
      <c r="M3264" s="136"/>
      <c r="N3264" s="136"/>
    </row>
    <row r="3265" spans="6:14">
      <c r="F3265" s="136" t="s">
        <v>15007</v>
      </c>
      <c r="G3265" s="136">
        <v>3262</v>
      </c>
      <c r="H3265" s="136" t="s">
        <v>2431</v>
      </c>
      <c r="I3265" s="136" t="s">
        <v>2432</v>
      </c>
      <c r="J3265" s="136" t="s">
        <v>15008</v>
      </c>
      <c r="L3265" s="136"/>
      <c r="M3265" s="136"/>
      <c r="N3265" s="136"/>
    </row>
    <row r="3266" spans="6:14">
      <c r="F3266" s="136" t="s">
        <v>15009</v>
      </c>
      <c r="G3266" s="136">
        <v>3263</v>
      </c>
      <c r="H3266" s="136" t="s">
        <v>15010</v>
      </c>
      <c r="I3266" s="136" t="s">
        <v>15011</v>
      </c>
      <c r="J3266" s="136" t="s">
        <v>15012</v>
      </c>
      <c r="L3266" s="136"/>
      <c r="M3266" s="136"/>
      <c r="N3266" s="136"/>
    </row>
    <row r="3267" spans="6:14">
      <c r="F3267" s="136" t="s">
        <v>15013</v>
      </c>
      <c r="G3267" s="136">
        <v>3264</v>
      </c>
      <c r="H3267" s="136" t="s">
        <v>2185</v>
      </c>
      <c r="I3267" s="136" t="s">
        <v>2186</v>
      </c>
      <c r="J3267" s="136" t="s">
        <v>15014</v>
      </c>
      <c r="L3267" s="136"/>
      <c r="M3267" s="136"/>
      <c r="N3267" s="136"/>
    </row>
    <row r="3268" spans="6:14">
      <c r="F3268" s="136" t="s">
        <v>15015</v>
      </c>
      <c r="G3268" s="136">
        <v>3265</v>
      </c>
      <c r="H3268" s="136" t="s">
        <v>2455</v>
      </c>
      <c r="I3268" s="136" t="s">
        <v>2455</v>
      </c>
      <c r="J3268" s="136" t="s">
        <v>15016</v>
      </c>
      <c r="L3268" s="136"/>
      <c r="M3268" s="136"/>
      <c r="N3268" s="136"/>
    </row>
    <row r="3269" spans="6:14">
      <c r="F3269" s="136" t="s">
        <v>15017</v>
      </c>
      <c r="G3269" s="136">
        <v>3266</v>
      </c>
      <c r="H3269" s="136" t="s">
        <v>82</v>
      </c>
      <c r="I3269" s="136" t="s">
        <v>83</v>
      </c>
      <c r="J3269" s="136" t="s">
        <v>15018</v>
      </c>
      <c r="L3269" s="136"/>
      <c r="M3269" s="136"/>
      <c r="N3269" s="136"/>
    </row>
    <row r="3270" spans="6:14">
      <c r="F3270" s="136" t="s">
        <v>15019</v>
      </c>
      <c r="G3270" s="136">
        <v>3267</v>
      </c>
      <c r="H3270" s="136" t="s">
        <v>15020</v>
      </c>
      <c r="I3270" s="136" t="s">
        <v>15021</v>
      </c>
      <c r="J3270" s="136" t="s">
        <v>15022</v>
      </c>
      <c r="L3270" s="136"/>
      <c r="M3270" s="136"/>
      <c r="N3270" s="136"/>
    </row>
    <row r="3271" spans="6:14">
      <c r="F3271" s="136" t="s">
        <v>15023</v>
      </c>
      <c r="G3271" s="136">
        <v>3268</v>
      </c>
      <c r="H3271" s="136" t="s">
        <v>3819</v>
      </c>
      <c r="I3271" s="136" t="s">
        <v>2870</v>
      </c>
      <c r="J3271" s="136" t="s">
        <v>15024</v>
      </c>
      <c r="L3271" s="136"/>
      <c r="M3271" s="136"/>
      <c r="N3271" s="136"/>
    </row>
    <row r="3272" spans="6:14">
      <c r="F3272" s="136" t="s">
        <v>15025</v>
      </c>
      <c r="G3272" s="136">
        <v>3269</v>
      </c>
      <c r="H3272" s="136" t="s">
        <v>4945</v>
      </c>
      <c r="I3272" s="136" t="s">
        <v>4946</v>
      </c>
      <c r="J3272" s="136" t="s">
        <v>15026</v>
      </c>
      <c r="L3272" s="136"/>
      <c r="M3272" s="136"/>
      <c r="N3272" s="136"/>
    </row>
    <row r="3273" spans="6:14">
      <c r="F3273" s="136" t="s">
        <v>15027</v>
      </c>
      <c r="G3273" s="136">
        <v>3270</v>
      </c>
      <c r="H3273" s="136" t="s">
        <v>15028</v>
      </c>
      <c r="I3273" s="136" t="s">
        <v>15029</v>
      </c>
      <c r="J3273" s="136" t="s">
        <v>15030</v>
      </c>
      <c r="L3273" s="136"/>
      <c r="M3273" s="136"/>
      <c r="N3273" s="136"/>
    </row>
    <row r="3274" spans="6:14">
      <c r="F3274" s="136" t="s">
        <v>15031</v>
      </c>
      <c r="G3274" s="136">
        <v>3271</v>
      </c>
      <c r="H3274" s="136" t="s">
        <v>15032</v>
      </c>
      <c r="I3274" s="136" t="s">
        <v>15033</v>
      </c>
      <c r="J3274" s="136" t="s">
        <v>15034</v>
      </c>
      <c r="L3274" s="136"/>
      <c r="M3274" s="136"/>
      <c r="N3274" s="136"/>
    </row>
    <row r="3275" spans="6:14">
      <c r="F3275" s="136" t="s">
        <v>15035</v>
      </c>
      <c r="G3275" s="136">
        <v>3272</v>
      </c>
      <c r="H3275" s="136" t="s">
        <v>15036</v>
      </c>
      <c r="I3275" s="136" t="s">
        <v>15037</v>
      </c>
      <c r="J3275" s="136" t="s">
        <v>15038</v>
      </c>
      <c r="L3275" s="136"/>
      <c r="M3275" s="136"/>
      <c r="N3275" s="136"/>
    </row>
    <row r="3276" spans="6:14">
      <c r="F3276" s="136" t="s">
        <v>15039</v>
      </c>
      <c r="G3276" s="136">
        <v>3273</v>
      </c>
      <c r="H3276" s="136" t="s">
        <v>15040</v>
      </c>
      <c r="I3276" s="136" t="s">
        <v>15041</v>
      </c>
      <c r="J3276" s="136" t="s">
        <v>15042</v>
      </c>
      <c r="L3276" s="136"/>
      <c r="M3276" s="136"/>
      <c r="N3276" s="136"/>
    </row>
    <row r="3277" spans="6:14">
      <c r="F3277" s="136" t="s">
        <v>15043</v>
      </c>
      <c r="G3277" s="136">
        <v>3274</v>
      </c>
      <c r="H3277" s="136" t="s">
        <v>2008</v>
      </c>
      <c r="I3277" s="136" t="s">
        <v>2009</v>
      </c>
      <c r="J3277" s="136" t="s">
        <v>15044</v>
      </c>
      <c r="L3277" s="136"/>
      <c r="M3277" s="136"/>
      <c r="N3277" s="136"/>
    </row>
    <row r="3278" spans="6:14">
      <c r="F3278" s="136" t="s">
        <v>15045</v>
      </c>
      <c r="G3278" s="136">
        <v>3275</v>
      </c>
      <c r="H3278" s="136" t="s">
        <v>5042</v>
      </c>
      <c r="I3278" s="136" t="s">
        <v>5043</v>
      </c>
      <c r="J3278" s="136" t="s">
        <v>15046</v>
      </c>
      <c r="L3278" s="136"/>
      <c r="M3278" s="136"/>
      <c r="N3278" s="136"/>
    </row>
    <row r="3279" spans="6:14">
      <c r="F3279" s="136" t="s">
        <v>15047</v>
      </c>
      <c r="G3279" s="136">
        <v>3276</v>
      </c>
      <c r="H3279" s="136" t="s">
        <v>15048</v>
      </c>
      <c r="I3279" s="136" t="s">
        <v>15049</v>
      </c>
      <c r="J3279" s="136" t="s">
        <v>15050</v>
      </c>
      <c r="L3279" s="136"/>
      <c r="M3279" s="136"/>
      <c r="N3279" s="136"/>
    </row>
    <row r="3280" spans="6:14">
      <c r="F3280" s="136" t="s">
        <v>15051</v>
      </c>
      <c r="G3280" s="136">
        <v>3277</v>
      </c>
      <c r="H3280" s="136" t="s">
        <v>5052</v>
      </c>
      <c r="I3280" s="136" t="s">
        <v>5053</v>
      </c>
      <c r="J3280" s="136" t="s">
        <v>15052</v>
      </c>
      <c r="L3280" s="136"/>
      <c r="M3280" s="136"/>
      <c r="N3280" s="136"/>
    </row>
    <row r="3281" spans="6:14">
      <c r="F3281" s="136" t="s">
        <v>15053</v>
      </c>
      <c r="G3281" s="136">
        <v>3278</v>
      </c>
      <c r="H3281" s="136" t="s">
        <v>15054</v>
      </c>
      <c r="I3281" s="136" t="s">
        <v>15055</v>
      </c>
      <c r="J3281" s="136" t="s">
        <v>15056</v>
      </c>
      <c r="L3281" s="136"/>
      <c r="M3281" s="136"/>
      <c r="N3281" s="136"/>
    </row>
    <row r="3282" spans="6:14">
      <c r="F3282" s="136" t="s">
        <v>15057</v>
      </c>
      <c r="G3282" s="136">
        <v>3279</v>
      </c>
      <c r="H3282" s="136" t="s">
        <v>15058</v>
      </c>
      <c r="I3282" s="136" t="s">
        <v>15059</v>
      </c>
      <c r="J3282" s="136" t="s">
        <v>15060</v>
      </c>
      <c r="L3282" s="136"/>
      <c r="M3282" s="136"/>
      <c r="N3282" s="136"/>
    </row>
    <row r="3283" spans="6:14">
      <c r="F3283" s="136" t="s">
        <v>15061</v>
      </c>
      <c r="G3283" s="136">
        <v>3280</v>
      </c>
      <c r="H3283" s="136" t="s">
        <v>4484</v>
      </c>
      <c r="I3283" s="136" t="s">
        <v>4485</v>
      </c>
      <c r="J3283" s="136" t="s">
        <v>15062</v>
      </c>
      <c r="L3283" s="136"/>
      <c r="M3283" s="136"/>
      <c r="N3283" s="136"/>
    </row>
    <row r="3284" spans="6:14">
      <c r="F3284" s="136" t="s">
        <v>15063</v>
      </c>
      <c r="G3284" s="136">
        <v>3281</v>
      </c>
      <c r="H3284" s="136" t="s">
        <v>1420</v>
      </c>
      <c r="I3284" s="136" t="s">
        <v>1421</v>
      </c>
      <c r="J3284" s="136" t="s">
        <v>15064</v>
      </c>
      <c r="L3284" s="136"/>
      <c r="M3284" s="136"/>
      <c r="N3284" s="136"/>
    </row>
    <row r="3285" spans="6:14">
      <c r="F3285" s="136" t="s">
        <v>15065</v>
      </c>
      <c r="G3285" s="136">
        <v>3282</v>
      </c>
      <c r="H3285" s="136" t="s">
        <v>15066</v>
      </c>
      <c r="I3285" s="136" t="s">
        <v>15067</v>
      </c>
      <c r="J3285" s="136" t="s">
        <v>15068</v>
      </c>
      <c r="L3285" s="136"/>
      <c r="M3285" s="136"/>
      <c r="N3285" s="136"/>
    </row>
    <row r="3286" spans="6:14">
      <c r="F3286" s="136" t="s">
        <v>15069</v>
      </c>
      <c r="G3286" s="136">
        <v>3283</v>
      </c>
      <c r="H3286" s="136" t="s">
        <v>15070</v>
      </c>
      <c r="I3286" s="136" t="s">
        <v>15071</v>
      </c>
      <c r="J3286" s="136" t="s">
        <v>15072</v>
      </c>
      <c r="L3286" s="136"/>
      <c r="M3286" s="136"/>
      <c r="N3286" s="136"/>
    </row>
    <row r="3287" spans="6:14">
      <c r="F3287" s="136" t="s">
        <v>15073</v>
      </c>
      <c r="G3287" s="136">
        <v>3284</v>
      </c>
      <c r="H3287" s="136" t="s">
        <v>6003</v>
      </c>
      <c r="I3287" s="136" t="s">
        <v>6003</v>
      </c>
      <c r="J3287" s="136" t="s">
        <v>15074</v>
      </c>
      <c r="L3287" s="136"/>
      <c r="M3287" s="136"/>
      <c r="N3287" s="136"/>
    </row>
    <row r="3288" spans="6:14">
      <c r="F3288" s="136" t="s">
        <v>15075</v>
      </c>
      <c r="G3288" s="136">
        <v>3285</v>
      </c>
      <c r="H3288" s="136" t="s">
        <v>5897</v>
      </c>
      <c r="I3288" s="136" t="s">
        <v>5898</v>
      </c>
      <c r="J3288" s="136" t="s">
        <v>15076</v>
      </c>
      <c r="L3288" s="136"/>
      <c r="M3288" s="136"/>
      <c r="N3288" s="136"/>
    </row>
    <row r="3289" spans="6:14">
      <c r="F3289" s="136" t="s">
        <v>15077</v>
      </c>
      <c r="G3289" s="136">
        <v>3286</v>
      </c>
      <c r="H3289" s="136" t="s">
        <v>3426</v>
      </c>
      <c r="I3289" s="136" t="s">
        <v>3427</v>
      </c>
      <c r="J3289" s="136" t="s">
        <v>15078</v>
      </c>
      <c r="L3289" s="136"/>
      <c r="M3289" s="136"/>
      <c r="N3289" s="136"/>
    </row>
    <row r="3290" spans="6:14">
      <c r="F3290" s="136" t="s">
        <v>15079</v>
      </c>
      <c r="G3290" s="136">
        <v>3287</v>
      </c>
      <c r="H3290" s="136" t="s">
        <v>4758</v>
      </c>
      <c r="I3290" s="136" t="s">
        <v>4759</v>
      </c>
      <c r="J3290" s="136" t="s">
        <v>15080</v>
      </c>
      <c r="L3290" s="136"/>
      <c r="M3290" s="136"/>
      <c r="N3290" s="136"/>
    </row>
    <row r="3291" spans="6:14">
      <c r="F3291" s="136" t="s">
        <v>15081</v>
      </c>
      <c r="G3291" s="136">
        <v>3288</v>
      </c>
      <c r="H3291" s="136" t="s">
        <v>2756</v>
      </c>
      <c r="I3291" s="136" t="s">
        <v>2757</v>
      </c>
      <c r="J3291" s="136" t="s">
        <v>15082</v>
      </c>
      <c r="L3291" s="136"/>
      <c r="M3291" s="136"/>
      <c r="N3291" s="136"/>
    </row>
    <row r="3292" spans="6:14">
      <c r="F3292" s="136" t="s">
        <v>15083</v>
      </c>
      <c r="G3292" s="136">
        <v>3289</v>
      </c>
      <c r="H3292" s="136" t="s">
        <v>4699</v>
      </c>
      <c r="I3292" s="136" t="s">
        <v>4700</v>
      </c>
      <c r="J3292" s="136" t="s">
        <v>15084</v>
      </c>
      <c r="L3292" s="136"/>
      <c r="M3292" s="136"/>
      <c r="N3292" s="136"/>
    </row>
    <row r="3293" spans="6:14">
      <c r="F3293" s="136" t="s">
        <v>15085</v>
      </c>
      <c r="G3293" s="136">
        <v>3290</v>
      </c>
      <c r="H3293" s="136" t="s">
        <v>5275</v>
      </c>
      <c r="I3293" s="136" t="s">
        <v>5275</v>
      </c>
      <c r="J3293" s="136" t="s">
        <v>15086</v>
      </c>
      <c r="L3293" s="136"/>
      <c r="M3293" s="136"/>
      <c r="N3293" s="136"/>
    </row>
    <row r="3294" spans="6:14">
      <c r="F3294" s="136" t="s">
        <v>15087</v>
      </c>
      <c r="G3294" s="136">
        <v>3291</v>
      </c>
      <c r="H3294" s="136" t="s">
        <v>2502</v>
      </c>
      <c r="I3294" s="136" t="s">
        <v>2503</v>
      </c>
      <c r="J3294" s="136" t="s">
        <v>15088</v>
      </c>
      <c r="L3294" s="136"/>
      <c r="M3294" s="136"/>
      <c r="N3294" s="136"/>
    </row>
    <row r="3295" spans="6:14">
      <c r="F3295" s="136" t="s">
        <v>15089</v>
      </c>
      <c r="G3295" s="136">
        <v>3292</v>
      </c>
      <c r="H3295" s="136" t="s">
        <v>14869</v>
      </c>
      <c r="I3295" s="136" t="s">
        <v>15090</v>
      </c>
      <c r="J3295" s="136" t="s">
        <v>15091</v>
      </c>
      <c r="L3295" s="136"/>
      <c r="M3295" s="136"/>
      <c r="N3295" s="136"/>
    </row>
    <row r="3296" spans="6:14">
      <c r="F3296" s="136" t="s">
        <v>15092</v>
      </c>
      <c r="G3296" s="136">
        <v>3293</v>
      </c>
      <c r="H3296" s="136" t="s">
        <v>2230</v>
      </c>
      <c r="I3296" s="136" t="s">
        <v>2231</v>
      </c>
      <c r="J3296" s="136" t="s">
        <v>15093</v>
      </c>
      <c r="L3296" s="136"/>
      <c r="M3296" s="136"/>
      <c r="N3296" s="136"/>
    </row>
    <row r="3297" spans="6:14">
      <c r="F3297" s="136" t="s">
        <v>15094</v>
      </c>
      <c r="G3297" s="136">
        <v>3294</v>
      </c>
      <c r="H3297" s="136" t="s">
        <v>1707</v>
      </c>
      <c r="I3297" s="136" t="s">
        <v>1708</v>
      </c>
      <c r="J3297" s="136" t="s">
        <v>15095</v>
      </c>
      <c r="L3297" s="136"/>
      <c r="M3297" s="136"/>
      <c r="N3297" s="136"/>
    </row>
    <row r="3298" spans="6:14">
      <c r="F3298" s="136" t="s">
        <v>15096</v>
      </c>
      <c r="G3298" s="136">
        <v>3295</v>
      </c>
      <c r="H3298" s="136" t="s">
        <v>304</v>
      </c>
      <c r="I3298" s="136" t="s">
        <v>305</v>
      </c>
      <c r="J3298" s="136" t="s">
        <v>15097</v>
      </c>
      <c r="L3298" s="136"/>
      <c r="M3298" s="136"/>
      <c r="N3298" s="136"/>
    </row>
    <row r="3299" spans="6:14">
      <c r="F3299" s="136" t="s">
        <v>15098</v>
      </c>
      <c r="G3299" s="136">
        <v>3296</v>
      </c>
      <c r="H3299" s="136" t="s">
        <v>3241</v>
      </c>
      <c r="I3299" s="136" t="s">
        <v>3241</v>
      </c>
      <c r="J3299" s="136" t="s">
        <v>15099</v>
      </c>
      <c r="L3299" s="136"/>
      <c r="M3299" s="136"/>
      <c r="N3299" s="136"/>
    </row>
    <row r="3300" spans="6:14">
      <c r="F3300" s="136" t="s">
        <v>15100</v>
      </c>
      <c r="G3300" s="136">
        <v>3297</v>
      </c>
      <c r="H3300" s="136" t="s">
        <v>285</v>
      </c>
      <c r="I3300" s="136" t="s">
        <v>286</v>
      </c>
      <c r="J3300" s="136" t="s">
        <v>15101</v>
      </c>
      <c r="L3300" s="136"/>
      <c r="M3300" s="136"/>
      <c r="N3300" s="136"/>
    </row>
    <row r="3301" spans="6:14">
      <c r="F3301" s="136" t="s">
        <v>15102</v>
      </c>
      <c r="G3301" s="136">
        <v>3298</v>
      </c>
      <c r="H3301" s="136" t="s">
        <v>15103</v>
      </c>
      <c r="I3301" s="136" t="s">
        <v>15104</v>
      </c>
      <c r="J3301" s="136" t="s">
        <v>15105</v>
      </c>
      <c r="L3301" s="136"/>
      <c r="M3301" s="136"/>
      <c r="N3301" s="136"/>
    </row>
    <row r="3302" spans="6:14">
      <c r="F3302" s="136" t="s">
        <v>15106</v>
      </c>
      <c r="G3302" s="136">
        <v>3299</v>
      </c>
      <c r="H3302" s="136" t="s">
        <v>1030</v>
      </c>
      <c r="I3302" s="136" t="s">
        <v>1031</v>
      </c>
      <c r="J3302" s="136" t="s">
        <v>15107</v>
      </c>
      <c r="L3302" s="136"/>
      <c r="M3302" s="136"/>
      <c r="N3302" s="136"/>
    </row>
    <row r="3303" spans="6:14">
      <c r="F3303" s="136" t="s">
        <v>15108</v>
      </c>
      <c r="G3303" s="136">
        <v>3300</v>
      </c>
      <c r="H3303" s="136" t="s">
        <v>15109</v>
      </c>
      <c r="I3303" s="136" t="s">
        <v>15110</v>
      </c>
      <c r="J3303" s="136" t="s">
        <v>15111</v>
      </c>
      <c r="L3303" s="136"/>
      <c r="M3303" s="136"/>
      <c r="N3303" s="136"/>
    </row>
    <row r="3304" spans="6:14">
      <c r="F3304" s="136" t="s">
        <v>15112</v>
      </c>
      <c r="G3304" s="136">
        <v>3301</v>
      </c>
      <c r="H3304" s="136" t="s">
        <v>15113</v>
      </c>
      <c r="I3304" s="136" t="s">
        <v>15114</v>
      </c>
      <c r="J3304" s="136" t="s">
        <v>15115</v>
      </c>
      <c r="L3304" s="136"/>
      <c r="M3304" s="136"/>
      <c r="N3304" s="136"/>
    </row>
    <row r="3305" spans="6:14">
      <c r="F3305" s="136" t="s">
        <v>15116</v>
      </c>
      <c r="G3305" s="136">
        <v>3302</v>
      </c>
      <c r="H3305" s="136" t="s">
        <v>2062</v>
      </c>
      <c r="I3305" s="136" t="s">
        <v>2063</v>
      </c>
      <c r="J3305" s="136" t="s">
        <v>15117</v>
      </c>
      <c r="L3305" s="136"/>
      <c r="M3305" s="136"/>
      <c r="N3305" s="136"/>
    </row>
    <row r="3306" spans="6:14">
      <c r="F3306" s="136" t="s">
        <v>15118</v>
      </c>
      <c r="G3306" s="136">
        <v>3303</v>
      </c>
      <c r="H3306" s="136" t="s">
        <v>15119</v>
      </c>
      <c r="I3306" s="136" t="s">
        <v>15120</v>
      </c>
      <c r="J3306" s="136" t="s">
        <v>15121</v>
      </c>
      <c r="L3306" s="136"/>
      <c r="M3306" s="136"/>
      <c r="N3306" s="136"/>
    </row>
    <row r="3307" spans="6:14">
      <c r="F3307" s="136" t="s">
        <v>15122</v>
      </c>
      <c r="G3307" s="136">
        <v>3304</v>
      </c>
      <c r="H3307" s="136" t="s">
        <v>672</v>
      </c>
      <c r="I3307" s="136" t="s">
        <v>673</v>
      </c>
      <c r="J3307" s="136" t="s">
        <v>15123</v>
      </c>
      <c r="L3307" s="136"/>
      <c r="M3307" s="136"/>
      <c r="N3307" s="136"/>
    </row>
    <row r="3308" spans="6:14">
      <c r="F3308" s="136" t="s">
        <v>15124</v>
      </c>
      <c r="G3308" s="136">
        <v>3305</v>
      </c>
      <c r="H3308" s="136" t="s">
        <v>1612</v>
      </c>
      <c r="I3308" s="136" t="s">
        <v>1613</v>
      </c>
      <c r="J3308" s="136" t="s">
        <v>15125</v>
      </c>
      <c r="L3308" s="136"/>
      <c r="M3308" s="136"/>
      <c r="N3308" s="136"/>
    </row>
    <row r="3309" spans="6:14">
      <c r="F3309" s="136" t="s">
        <v>15126</v>
      </c>
      <c r="G3309" s="136">
        <v>3306</v>
      </c>
      <c r="H3309" s="136" t="s">
        <v>5497</v>
      </c>
      <c r="I3309" s="136" t="s">
        <v>5498</v>
      </c>
      <c r="J3309" s="136" t="s">
        <v>15127</v>
      </c>
      <c r="L3309" s="136"/>
      <c r="M3309" s="136"/>
      <c r="N3309" s="136"/>
    </row>
    <row r="3310" spans="6:14">
      <c r="F3310" s="136" t="s">
        <v>15128</v>
      </c>
      <c r="G3310" s="136">
        <v>3307</v>
      </c>
      <c r="H3310" s="136" t="s">
        <v>2249</v>
      </c>
      <c r="I3310" s="136" t="s">
        <v>2250</v>
      </c>
      <c r="J3310" s="136" t="s">
        <v>15129</v>
      </c>
      <c r="L3310" s="136"/>
      <c r="M3310" s="136"/>
      <c r="N3310" s="136"/>
    </row>
    <row r="3311" spans="6:14">
      <c r="F3311" s="136" t="s">
        <v>15130</v>
      </c>
      <c r="G3311" s="136">
        <v>3308</v>
      </c>
      <c r="H3311" s="136" t="s">
        <v>15131</v>
      </c>
      <c r="I3311" s="136" t="s">
        <v>15132</v>
      </c>
      <c r="J3311" s="136" t="s">
        <v>15133</v>
      </c>
      <c r="L3311" s="136"/>
      <c r="M3311" s="136"/>
      <c r="N3311" s="136"/>
    </row>
    <row r="3312" spans="6:14">
      <c r="F3312" s="136" t="s">
        <v>15134</v>
      </c>
      <c r="G3312" s="136">
        <v>3309</v>
      </c>
      <c r="H3312" s="136" t="s">
        <v>15135</v>
      </c>
      <c r="I3312" s="136" t="s">
        <v>15136</v>
      </c>
      <c r="J3312" s="136" t="s">
        <v>15137</v>
      </c>
      <c r="L3312" s="136"/>
      <c r="M3312" s="136"/>
      <c r="N3312" s="136"/>
    </row>
    <row r="3313" spans="6:14">
      <c r="F3313" s="136" t="s">
        <v>15138</v>
      </c>
      <c r="G3313" s="136">
        <v>3310</v>
      </c>
      <c r="H3313" s="136" t="s">
        <v>2087</v>
      </c>
      <c r="I3313" s="136" t="s">
        <v>2088</v>
      </c>
      <c r="J3313" s="136" t="s">
        <v>15139</v>
      </c>
      <c r="L3313" s="136"/>
      <c r="M3313" s="136"/>
      <c r="N3313" s="136"/>
    </row>
    <row r="3314" spans="6:14">
      <c r="F3314" s="136" t="s">
        <v>15140</v>
      </c>
      <c r="G3314" s="136">
        <v>3311</v>
      </c>
      <c r="H3314" s="136" t="s">
        <v>15141</v>
      </c>
      <c r="I3314" s="136" t="s">
        <v>15142</v>
      </c>
      <c r="J3314" s="136" t="s">
        <v>15143</v>
      </c>
      <c r="L3314" s="136"/>
      <c r="M3314" s="136"/>
      <c r="N3314" s="136"/>
    </row>
    <row r="3315" spans="6:14">
      <c r="F3315" s="136" t="s">
        <v>15144</v>
      </c>
      <c r="G3315" s="136">
        <v>3312</v>
      </c>
      <c r="H3315" s="136" t="s">
        <v>15145</v>
      </c>
      <c r="I3315" s="136" t="s">
        <v>15146</v>
      </c>
      <c r="J3315" s="136" t="s">
        <v>15147</v>
      </c>
      <c r="L3315" s="136"/>
      <c r="M3315" s="136"/>
      <c r="N3315" s="136"/>
    </row>
    <row r="3316" spans="6:14">
      <c r="F3316" s="136" t="s">
        <v>15148</v>
      </c>
      <c r="G3316" s="136">
        <v>3313</v>
      </c>
      <c r="H3316" s="136" t="s">
        <v>5400</v>
      </c>
      <c r="I3316" s="136" t="s">
        <v>5400</v>
      </c>
      <c r="J3316" s="136" t="s">
        <v>15149</v>
      </c>
      <c r="L3316" s="136"/>
      <c r="M3316" s="136"/>
      <c r="N3316" s="136"/>
    </row>
    <row r="3317" spans="6:14">
      <c r="F3317" s="136" t="s">
        <v>15150</v>
      </c>
      <c r="G3317" s="136">
        <v>3314</v>
      </c>
      <c r="H3317" s="136" t="s">
        <v>4353</v>
      </c>
      <c r="I3317" s="136" t="s">
        <v>4354</v>
      </c>
      <c r="J3317" s="136" t="s">
        <v>15151</v>
      </c>
      <c r="L3317" s="136"/>
      <c r="M3317" s="136"/>
      <c r="N3317" s="136"/>
    </row>
    <row r="3318" spans="6:14">
      <c r="F3318" s="136" t="s">
        <v>15152</v>
      </c>
      <c r="G3318" s="136">
        <v>3315</v>
      </c>
      <c r="H3318" s="136" t="s">
        <v>5380</v>
      </c>
      <c r="I3318" s="136" t="s">
        <v>5381</v>
      </c>
      <c r="J3318" s="136" t="s">
        <v>15153</v>
      </c>
      <c r="L3318" s="136"/>
      <c r="M3318" s="136"/>
      <c r="N3318" s="136"/>
    </row>
    <row r="3319" spans="6:14">
      <c r="F3319" s="136" t="s">
        <v>15154</v>
      </c>
      <c r="G3319" s="136">
        <v>3316</v>
      </c>
      <c r="H3319" s="136" t="s">
        <v>15155</v>
      </c>
      <c r="I3319" s="136" t="s">
        <v>15156</v>
      </c>
      <c r="J3319" s="136" t="s">
        <v>15157</v>
      </c>
      <c r="L3319" s="136"/>
      <c r="M3319" s="136"/>
      <c r="N3319" s="136"/>
    </row>
    <row r="3320" spans="6:14">
      <c r="F3320" s="136" t="s">
        <v>15158</v>
      </c>
      <c r="G3320" s="136">
        <v>3317</v>
      </c>
      <c r="H3320" s="136" t="s">
        <v>3458</v>
      </c>
      <c r="I3320" s="136" t="s">
        <v>530</v>
      </c>
      <c r="J3320" s="136" t="s">
        <v>15159</v>
      </c>
      <c r="L3320" s="136"/>
      <c r="M3320" s="136"/>
      <c r="N3320" s="136"/>
    </row>
    <row r="3321" spans="6:14">
      <c r="F3321" s="136" t="s">
        <v>15160</v>
      </c>
      <c r="G3321" s="136">
        <v>3318</v>
      </c>
      <c r="H3321" s="136" t="s">
        <v>2347</v>
      </c>
      <c r="I3321" s="136" t="s">
        <v>2348</v>
      </c>
      <c r="J3321" s="136" t="s">
        <v>15161</v>
      </c>
      <c r="L3321" s="136"/>
      <c r="M3321" s="136"/>
      <c r="N3321" s="136"/>
    </row>
    <row r="3322" spans="6:14">
      <c r="F3322" s="136" t="s">
        <v>15162</v>
      </c>
      <c r="G3322" s="136">
        <v>3319</v>
      </c>
      <c r="H3322" s="136" t="s">
        <v>5998</v>
      </c>
      <c r="I3322" s="136" t="s">
        <v>5999</v>
      </c>
      <c r="J3322" s="136" t="s">
        <v>15163</v>
      </c>
      <c r="L3322" s="136"/>
      <c r="M3322" s="136"/>
      <c r="N3322" s="136"/>
    </row>
    <row r="3323" spans="6:14">
      <c r="F3323" s="136" t="s">
        <v>15164</v>
      </c>
      <c r="G3323" s="136">
        <v>3320</v>
      </c>
      <c r="H3323" s="136" t="s">
        <v>15165</v>
      </c>
      <c r="I3323" s="136" t="s">
        <v>15166</v>
      </c>
      <c r="J3323" s="136" t="s">
        <v>15167</v>
      </c>
      <c r="L3323" s="136"/>
      <c r="M3323" s="136"/>
      <c r="N3323" s="136"/>
    </row>
    <row r="3324" spans="6:14">
      <c r="F3324" s="136" t="s">
        <v>15168</v>
      </c>
      <c r="G3324" s="136">
        <v>3321</v>
      </c>
      <c r="H3324" s="136" t="s">
        <v>15169</v>
      </c>
      <c r="I3324" s="136" t="s">
        <v>15170</v>
      </c>
      <c r="J3324" s="136" t="s">
        <v>15171</v>
      </c>
      <c r="L3324" s="136"/>
      <c r="M3324" s="136"/>
      <c r="N3324" s="136"/>
    </row>
    <row r="3325" spans="6:14">
      <c r="F3325" s="136" t="s">
        <v>15172</v>
      </c>
      <c r="G3325" s="136">
        <v>3322</v>
      </c>
      <c r="H3325" s="136" t="s">
        <v>650</v>
      </c>
      <c r="I3325" s="136" t="s">
        <v>651</v>
      </c>
      <c r="J3325" s="136" t="s">
        <v>15173</v>
      </c>
      <c r="L3325" s="136"/>
      <c r="M3325" s="136"/>
      <c r="N3325" s="136"/>
    </row>
    <row r="3326" spans="6:14">
      <c r="F3326" s="136" t="s">
        <v>15174</v>
      </c>
      <c r="G3326" s="136">
        <v>3323</v>
      </c>
      <c r="H3326" s="136" t="s">
        <v>15175</v>
      </c>
      <c r="I3326" s="136" t="s">
        <v>15176</v>
      </c>
      <c r="J3326" s="136" t="s">
        <v>15177</v>
      </c>
      <c r="L3326" s="136"/>
      <c r="M3326" s="136"/>
      <c r="N3326" s="136"/>
    </row>
    <row r="3327" spans="6:14">
      <c r="F3327" s="136" t="s">
        <v>15178</v>
      </c>
      <c r="G3327" s="136">
        <v>3324</v>
      </c>
      <c r="H3327" s="136" t="s">
        <v>15179</v>
      </c>
      <c r="I3327" s="136" t="s">
        <v>15180</v>
      </c>
      <c r="J3327" s="136" t="s">
        <v>15181</v>
      </c>
      <c r="L3327" s="136"/>
      <c r="M3327" s="136"/>
      <c r="N3327" s="136"/>
    </row>
    <row r="3328" spans="6:14">
      <c r="F3328" s="136" t="s">
        <v>15182</v>
      </c>
      <c r="G3328" s="136">
        <v>3325</v>
      </c>
      <c r="H3328" s="136" t="s">
        <v>15183</v>
      </c>
      <c r="I3328" s="136" t="s">
        <v>15184</v>
      </c>
      <c r="J3328" s="136" t="s">
        <v>15185</v>
      </c>
      <c r="L3328" s="136"/>
      <c r="M3328" s="136"/>
      <c r="N3328" s="136"/>
    </row>
    <row r="3329" spans="6:14">
      <c r="F3329" s="136" t="s">
        <v>15186</v>
      </c>
      <c r="G3329" s="136">
        <v>3326</v>
      </c>
      <c r="H3329" s="136" t="s">
        <v>15187</v>
      </c>
      <c r="I3329" s="136" t="s">
        <v>15188</v>
      </c>
      <c r="J3329" s="136" t="s">
        <v>15189</v>
      </c>
      <c r="L3329" s="136"/>
      <c r="M3329" s="136"/>
      <c r="N3329" s="136"/>
    </row>
    <row r="3330" spans="6:14">
      <c r="F3330" s="136" t="s">
        <v>15190</v>
      </c>
      <c r="G3330" s="136">
        <v>3327</v>
      </c>
      <c r="H3330" s="136" t="s">
        <v>720</v>
      </c>
      <c r="I3330" s="136" t="s">
        <v>721</v>
      </c>
      <c r="J3330" s="136" t="s">
        <v>15191</v>
      </c>
      <c r="L3330" s="136"/>
      <c r="M3330" s="136"/>
      <c r="N3330" s="136"/>
    </row>
    <row r="3331" spans="6:14">
      <c r="F3331" s="136" t="s">
        <v>15192</v>
      </c>
      <c r="G3331" s="136">
        <v>3328</v>
      </c>
      <c r="H3331" s="136" t="s">
        <v>5163</v>
      </c>
      <c r="I3331" s="136" t="s">
        <v>5164</v>
      </c>
      <c r="J3331" s="136" t="s">
        <v>15193</v>
      </c>
      <c r="L3331" s="136"/>
      <c r="M3331" s="136"/>
      <c r="N3331" s="136"/>
    </row>
    <row r="3332" spans="6:14">
      <c r="F3332" s="136" t="s">
        <v>15194</v>
      </c>
      <c r="G3332" s="136">
        <v>3329</v>
      </c>
      <c r="H3332" s="136" t="s">
        <v>5382</v>
      </c>
      <c r="I3332" s="136" t="s">
        <v>5383</v>
      </c>
      <c r="J3332" s="136" t="s">
        <v>15195</v>
      </c>
      <c r="L3332" s="136"/>
      <c r="M3332" s="136"/>
      <c r="N3332" s="136"/>
    </row>
    <row r="3333" spans="6:14">
      <c r="F3333" s="136" t="s">
        <v>15196</v>
      </c>
      <c r="G3333" s="136">
        <v>3330</v>
      </c>
      <c r="H3333" s="136" t="s">
        <v>3755</v>
      </c>
      <c r="I3333" s="136" t="s">
        <v>3756</v>
      </c>
      <c r="J3333" s="136" t="s">
        <v>15197</v>
      </c>
      <c r="L3333" s="136"/>
      <c r="M3333" s="136"/>
      <c r="N3333" s="136"/>
    </row>
    <row r="3334" spans="6:14">
      <c r="F3334" s="136" t="s">
        <v>15198</v>
      </c>
      <c r="G3334" s="136">
        <v>3331</v>
      </c>
      <c r="H3334" s="136" t="s">
        <v>3377</v>
      </c>
      <c r="I3334" s="136" t="s">
        <v>3378</v>
      </c>
      <c r="J3334" s="136" t="s">
        <v>15199</v>
      </c>
      <c r="L3334" s="136"/>
      <c r="M3334" s="136"/>
      <c r="N3334" s="136"/>
    </row>
    <row r="3335" spans="6:14">
      <c r="F3335" s="136" t="s">
        <v>15200</v>
      </c>
      <c r="G3335" s="136">
        <v>3332</v>
      </c>
      <c r="H3335" s="136" t="s">
        <v>5937</v>
      </c>
      <c r="I3335" s="136" t="s">
        <v>5938</v>
      </c>
      <c r="J3335" s="136" t="s">
        <v>15201</v>
      </c>
      <c r="L3335" s="136"/>
      <c r="M3335" s="136"/>
      <c r="N3335" s="136"/>
    </row>
    <row r="3336" spans="6:14">
      <c r="F3336" s="136" t="s">
        <v>15202</v>
      </c>
      <c r="G3336" s="136">
        <v>3333</v>
      </c>
      <c r="H3336" s="136" t="s">
        <v>15203</v>
      </c>
      <c r="I3336" s="136" t="s">
        <v>15204</v>
      </c>
      <c r="J3336" s="136" t="s">
        <v>15205</v>
      </c>
      <c r="L3336" s="136"/>
      <c r="M3336" s="136"/>
      <c r="N3336" s="136"/>
    </row>
    <row r="3337" spans="6:14">
      <c r="F3337" s="136" t="s">
        <v>15206</v>
      </c>
      <c r="G3337" s="136">
        <v>3334</v>
      </c>
      <c r="H3337" s="136" t="s">
        <v>4225</v>
      </c>
      <c r="I3337" s="136" t="s">
        <v>4226</v>
      </c>
      <c r="J3337" s="136" t="s">
        <v>15207</v>
      </c>
      <c r="L3337" s="136"/>
      <c r="M3337" s="136"/>
      <c r="N3337" s="136"/>
    </row>
    <row r="3338" spans="6:14">
      <c r="F3338" s="136" t="s">
        <v>15208</v>
      </c>
      <c r="G3338" s="136">
        <v>3335</v>
      </c>
      <c r="H3338" s="136" t="s">
        <v>3601</v>
      </c>
      <c r="I3338" s="136" t="s">
        <v>3602</v>
      </c>
      <c r="J3338" s="136" t="s">
        <v>15209</v>
      </c>
      <c r="L3338" s="136"/>
      <c r="M3338" s="136"/>
      <c r="N3338" s="136"/>
    </row>
    <row r="3339" spans="6:14">
      <c r="F3339" s="136" t="s">
        <v>15210</v>
      </c>
      <c r="G3339" s="136">
        <v>3336</v>
      </c>
      <c r="H3339" s="136" t="s">
        <v>3110</v>
      </c>
      <c r="I3339" s="136" t="s">
        <v>3111</v>
      </c>
      <c r="J3339" s="136" t="s">
        <v>15211</v>
      </c>
      <c r="L3339" s="136"/>
      <c r="M3339" s="136"/>
      <c r="N3339" s="136"/>
    </row>
    <row r="3340" spans="6:14">
      <c r="F3340" s="136" t="s">
        <v>15212</v>
      </c>
      <c r="G3340" s="136">
        <v>3337</v>
      </c>
      <c r="H3340" s="136" t="s">
        <v>5252</v>
      </c>
      <c r="I3340" s="136" t="s">
        <v>5252</v>
      </c>
      <c r="J3340" s="136" t="s">
        <v>15213</v>
      </c>
      <c r="L3340" s="136"/>
      <c r="M3340" s="136"/>
      <c r="N3340" s="136"/>
    </row>
    <row r="3341" spans="6:14">
      <c r="F3341" s="136" t="s">
        <v>15214</v>
      </c>
      <c r="G3341" s="136">
        <v>3338</v>
      </c>
      <c r="H3341" s="136" t="s">
        <v>15215</v>
      </c>
      <c r="I3341" s="136" t="s">
        <v>15216</v>
      </c>
      <c r="J3341" s="136" t="s">
        <v>15217</v>
      </c>
      <c r="L3341" s="136"/>
      <c r="M3341" s="136"/>
      <c r="N3341" s="136"/>
    </row>
    <row r="3342" spans="6:14">
      <c r="F3342" s="136" t="s">
        <v>15218</v>
      </c>
      <c r="G3342" s="136">
        <v>3339</v>
      </c>
      <c r="H3342" s="136" t="s">
        <v>988</v>
      </c>
      <c r="I3342" s="136" t="s">
        <v>989</v>
      </c>
      <c r="J3342" s="136" t="s">
        <v>15219</v>
      </c>
      <c r="L3342" s="136"/>
      <c r="M3342" s="136"/>
      <c r="N3342" s="136"/>
    </row>
    <row r="3343" spans="6:14">
      <c r="F3343" s="136" t="s">
        <v>15220</v>
      </c>
      <c r="G3343" s="136">
        <v>3340</v>
      </c>
      <c r="H3343" s="136" t="s">
        <v>1809</v>
      </c>
      <c r="I3343" s="136" t="s">
        <v>1810</v>
      </c>
      <c r="J3343" s="136" t="s">
        <v>15221</v>
      </c>
      <c r="L3343" s="136"/>
      <c r="M3343" s="136"/>
      <c r="N3343" s="136"/>
    </row>
    <row r="3344" spans="6:14">
      <c r="F3344" s="136" t="s">
        <v>15222</v>
      </c>
      <c r="G3344" s="136">
        <v>3341</v>
      </c>
      <c r="H3344" s="136" t="s">
        <v>1146</v>
      </c>
      <c r="I3344" s="136" t="s">
        <v>1147</v>
      </c>
      <c r="J3344" s="136" t="s">
        <v>15223</v>
      </c>
      <c r="L3344" s="136"/>
      <c r="M3344" s="136"/>
      <c r="N3344" s="136"/>
    </row>
    <row r="3345" spans="6:14">
      <c r="F3345" s="136" t="s">
        <v>15224</v>
      </c>
      <c r="G3345" s="136">
        <v>3342</v>
      </c>
      <c r="H3345" s="136" t="s">
        <v>15225</v>
      </c>
      <c r="I3345" s="136" t="s">
        <v>15226</v>
      </c>
      <c r="J3345" s="136" t="s">
        <v>15227</v>
      </c>
      <c r="L3345" s="136"/>
      <c r="M3345" s="136"/>
      <c r="N3345" s="136"/>
    </row>
    <row r="3346" spans="6:14">
      <c r="F3346" s="136" t="s">
        <v>15228</v>
      </c>
      <c r="G3346" s="136">
        <v>3343</v>
      </c>
      <c r="H3346" s="136" t="s">
        <v>3282</v>
      </c>
      <c r="I3346" s="136" t="s">
        <v>3282</v>
      </c>
      <c r="J3346" s="136" t="s">
        <v>15229</v>
      </c>
      <c r="L3346" s="136"/>
      <c r="M3346" s="136"/>
      <c r="N3346" s="136"/>
    </row>
    <row r="3347" spans="6:14">
      <c r="F3347" s="136" t="s">
        <v>15230</v>
      </c>
      <c r="G3347" s="136">
        <v>3344</v>
      </c>
      <c r="H3347" s="136" t="s">
        <v>15231</v>
      </c>
      <c r="I3347" s="136" t="s">
        <v>15232</v>
      </c>
      <c r="J3347" s="136" t="s">
        <v>15233</v>
      </c>
      <c r="L3347" s="136"/>
      <c r="M3347" s="136"/>
      <c r="N3347" s="136"/>
    </row>
    <row r="3348" spans="6:14">
      <c r="F3348" s="136" t="s">
        <v>15234</v>
      </c>
      <c r="G3348" s="136">
        <v>3345</v>
      </c>
      <c r="H3348" s="136" t="s">
        <v>891</v>
      </c>
      <c r="I3348" s="136" t="s">
        <v>891</v>
      </c>
      <c r="J3348" s="136" t="s">
        <v>15235</v>
      </c>
      <c r="L3348" s="136"/>
      <c r="M3348" s="136"/>
      <c r="N3348" s="136"/>
    </row>
    <row r="3349" spans="6:14">
      <c r="F3349" s="136" t="s">
        <v>15236</v>
      </c>
      <c r="G3349" s="136">
        <v>3346</v>
      </c>
      <c r="H3349" s="136" t="s">
        <v>5115</v>
      </c>
      <c r="I3349" s="136" t="s">
        <v>2603</v>
      </c>
      <c r="J3349" s="136" t="s">
        <v>15237</v>
      </c>
      <c r="L3349" s="136"/>
      <c r="M3349" s="136"/>
      <c r="N3349" s="136"/>
    </row>
    <row r="3350" spans="6:14">
      <c r="F3350" s="136" t="s">
        <v>15238</v>
      </c>
      <c r="G3350" s="136">
        <v>3347</v>
      </c>
      <c r="H3350" s="136" t="s">
        <v>2504</v>
      </c>
      <c r="I3350" s="136" t="s">
        <v>2505</v>
      </c>
      <c r="J3350" s="136" t="s">
        <v>15239</v>
      </c>
      <c r="L3350" s="136"/>
      <c r="M3350" s="136"/>
      <c r="N3350" s="136"/>
    </row>
    <row r="3351" spans="6:14">
      <c r="F3351" s="136" t="s">
        <v>15240</v>
      </c>
      <c r="G3351" s="136">
        <v>3348</v>
      </c>
      <c r="H3351" s="136" t="s">
        <v>15241</v>
      </c>
      <c r="I3351" s="136" t="s">
        <v>15242</v>
      </c>
      <c r="J3351" s="136" t="s">
        <v>15243</v>
      </c>
      <c r="L3351" s="136"/>
      <c r="M3351" s="136"/>
      <c r="N3351" s="136"/>
    </row>
    <row r="3352" spans="6:14">
      <c r="F3352" s="136" t="s">
        <v>15244</v>
      </c>
      <c r="G3352" s="136">
        <v>3349</v>
      </c>
      <c r="H3352" s="136" t="s">
        <v>2077</v>
      </c>
      <c r="I3352" s="136" t="s">
        <v>2078</v>
      </c>
      <c r="J3352" s="136" t="s">
        <v>15245</v>
      </c>
      <c r="L3352" s="136"/>
      <c r="M3352" s="136"/>
      <c r="N3352" s="136"/>
    </row>
    <row r="3353" spans="6:14">
      <c r="F3353" s="136" t="s">
        <v>15246</v>
      </c>
      <c r="G3353" s="136">
        <v>3350</v>
      </c>
      <c r="H3353" s="136" t="s">
        <v>1017</v>
      </c>
      <c r="I3353" s="136" t="s">
        <v>1018</v>
      </c>
      <c r="J3353" s="136" t="s">
        <v>15247</v>
      </c>
      <c r="L3353" s="136"/>
      <c r="M3353" s="136"/>
      <c r="N3353" s="136"/>
    </row>
    <row r="3354" spans="6:14">
      <c r="F3354" s="136" t="s">
        <v>15248</v>
      </c>
      <c r="G3354" s="136">
        <v>3351</v>
      </c>
      <c r="H3354" s="136" t="s">
        <v>982</v>
      </c>
      <c r="I3354" s="136" t="s">
        <v>982</v>
      </c>
      <c r="J3354" s="136" t="s">
        <v>15249</v>
      </c>
      <c r="L3354" s="136"/>
      <c r="M3354" s="136"/>
      <c r="N3354" s="136"/>
    </row>
    <row r="3355" spans="6:14">
      <c r="F3355" s="136" t="s">
        <v>15250</v>
      </c>
      <c r="G3355" s="136">
        <v>3352</v>
      </c>
      <c r="H3355" s="136" t="s">
        <v>6134</v>
      </c>
      <c r="I3355" s="136" t="s">
        <v>6135</v>
      </c>
      <c r="J3355" s="136" t="s">
        <v>15251</v>
      </c>
      <c r="L3355" s="136"/>
      <c r="M3355" s="136"/>
      <c r="N3355" s="136"/>
    </row>
    <row r="3356" spans="6:14">
      <c r="F3356" s="136" t="s">
        <v>15252</v>
      </c>
      <c r="G3356" s="136">
        <v>3353</v>
      </c>
      <c r="H3356" s="136" t="s">
        <v>15253</v>
      </c>
      <c r="I3356" s="136" t="s">
        <v>15254</v>
      </c>
      <c r="J3356" s="136" t="s">
        <v>15255</v>
      </c>
      <c r="L3356" s="136"/>
      <c r="M3356" s="136"/>
      <c r="N3356" s="136"/>
    </row>
    <row r="3357" spans="6:14">
      <c r="F3357" s="136" t="s">
        <v>15256</v>
      </c>
      <c r="G3357" s="136">
        <v>3354</v>
      </c>
      <c r="H3357" s="136" t="s">
        <v>15257</v>
      </c>
      <c r="I3357" s="136" t="s">
        <v>15258</v>
      </c>
      <c r="J3357" s="136" t="s">
        <v>15259</v>
      </c>
      <c r="L3357" s="136"/>
      <c r="M3357" s="136"/>
      <c r="N3357" s="136"/>
    </row>
    <row r="3358" spans="6:14">
      <c r="F3358" s="136" t="s">
        <v>15260</v>
      </c>
      <c r="G3358" s="136">
        <v>3355</v>
      </c>
      <c r="H3358" s="136" t="s">
        <v>1007</v>
      </c>
      <c r="I3358" s="136" t="s">
        <v>1008</v>
      </c>
      <c r="J3358" s="136" t="s">
        <v>15261</v>
      </c>
      <c r="L3358" s="136"/>
      <c r="M3358" s="136"/>
      <c r="N3358" s="136"/>
    </row>
    <row r="3359" spans="6:14">
      <c r="F3359" s="136" t="s">
        <v>15262</v>
      </c>
      <c r="G3359" s="136">
        <v>3356</v>
      </c>
      <c r="H3359" s="136" t="s">
        <v>3243</v>
      </c>
      <c r="I3359" s="136" t="s">
        <v>3244</v>
      </c>
      <c r="J3359" s="136" t="s">
        <v>15263</v>
      </c>
      <c r="L3359" s="136"/>
      <c r="M3359" s="136"/>
      <c r="N3359" s="136"/>
    </row>
    <row r="3360" spans="6:14">
      <c r="F3360" s="136" t="s">
        <v>15264</v>
      </c>
      <c r="G3360" s="136">
        <v>3357</v>
      </c>
      <c r="H3360" s="136" t="s">
        <v>15265</v>
      </c>
      <c r="I3360" s="136" t="s">
        <v>15266</v>
      </c>
      <c r="J3360" s="136" t="s">
        <v>15267</v>
      </c>
      <c r="L3360" s="136"/>
      <c r="M3360" s="136"/>
      <c r="N3360" s="136"/>
    </row>
    <row r="3361" spans="6:14">
      <c r="F3361" s="136" t="s">
        <v>15268</v>
      </c>
      <c r="G3361" s="136">
        <v>3358</v>
      </c>
      <c r="H3361" s="136" t="s">
        <v>15269</v>
      </c>
      <c r="I3361" s="136" t="s">
        <v>15270</v>
      </c>
      <c r="J3361" s="136" t="s">
        <v>15271</v>
      </c>
      <c r="L3361" s="136"/>
      <c r="M3361" s="136"/>
      <c r="N3361" s="136"/>
    </row>
    <row r="3362" spans="6:14">
      <c r="F3362" s="136" t="s">
        <v>15272</v>
      </c>
      <c r="G3362" s="136">
        <v>3359</v>
      </c>
      <c r="H3362" s="136" t="s">
        <v>930</v>
      </c>
      <c r="I3362" s="136" t="s">
        <v>931</v>
      </c>
      <c r="J3362" s="136" t="s">
        <v>15273</v>
      </c>
      <c r="L3362" s="136"/>
      <c r="M3362" s="136"/>
      <c r="N3362" s="136"/>
    </row>
    <row r="3363" spans="6:14">
      <c r="F3363" s="136" t="s">
        <v>15274</v>
      </c>
      <c r="G3363" s="136">
        <v>3360</v>
      </c>
      <c r="H3363" s="136" t="s">
        <v>1365</v>
      </c>
      <c r="I3363" s="136" t="s">
        <v>1366</v>
      </c>
      <c r="J3363" s="136" t="s">
        <v>15275</v>
      </c>
      <c r="L3363" s="136"/>
      <c r="M3363" s="136"/>
      <c r="N3363" s="136"/>
    </row>
    <row r="3364" spans="6:14">
      <c r="F3364" s="136" t="s">
        <v>15276</v>
      </c>
      <c r="G3364" s="136">
        <v>3361</v>
      </c>
      <c r="H3364" s="136" t="s">
        <v>687</v>
      </c>
      <c r="I3364" s="136" t="s">
        <v>691</v>
      </c>
      <c r="J3364" s="136" t="s">
        <v>15277</v>
      </c>
      <c r="L3364" s="136"/>
      <c r="M3364" s="136"/>
      <c r="N3364" s="136"/>
    </row>
    <row r="3365" spans="6:14">
      <c r="F3365" s="136" t="s">
        <v>15278</v>
      </c>
      <c r="G3365" s="136">
        <v>3362</v>
      </c>
      <c r="H3365" s="136" t="s">
        <v>687</v>
      </c>
      <c r="I3365" s="136" t="s">
        <v>692</v>
      </c>
      <c r="J3365" s="136" t="s">
        <v>15279</v>
      </c>
      <c r="L3365" s="136"/>
      <c r="M3365" s="136"/>
      <c r="N3365" s="136"/>
    </row>
    <row r="3366" spans="6:14">
      <c r="F3366" s="136" t="s">
        <v>15280</v>
      </c>
      <c r="G3366" s="136">
        <v>3363</v>
      </c>
      <c r="H3366" s="136" t="s">
        <v>1791</v>
      </c>
      <c r="I3366" s="136" t="s">
        <v>1792</v>
      </c>
      <c r="J3366" s="136" t="s">
        <v>15281</v>
      </c>
      <c r="L3366" s="136"/>
      <c r="M3366" s="136"/>
      <c r="N3366" s="136"/>
    </row>
    <row r="3367" spans="6:14">
      <c r="F3367" s="136" t="s">
        <v>15282</v>
      </c>
      <c r="G3367" s="136">
        <v>3364</v>
      </c>
      <c r="H3367" s="136" t="s">
        <v>5692</v>
      </c>
      <c r="I3367" s="136" t="s">
        <v>5693</v>
      </c>
      <c r="J3367" s="136" t="s">
        <v>15283</v>
      </c>
      <c r="L3367" s="136"/>
      <c r="M3367" s="136"/>
      <c r="N3367" s="136"/>
    </row>
    <row r="3368" spans="6:14">
      <c r="F3368" s="136" t="s">
        <v>15284</v>
      </c>
      <c r="G3368" s="136">
        <v>3365</v>
      </c>
      <c r="H3368" s="136" t="s">
        <v>4008</v>
      </c>
      <c r="I3368" s="136" t="s">
        <v>4009</v>
      </c>
      <c r="J3368" s="136" t="s">
        <v>15285</v>
      </c>
      <c r="L3368" s="136"/>
      <c r="M3368" s="136"/>
      <c r="N3368" s="136"/>
    </row>
    <row r="3369" spans="6:14">
      <c r="F3369" s="136" t="s">
        <v>15286</v>
      </c>
      <c r="G3369" s="136">
        <v>3366</v>
      </c>
      <c r="H3369" s="136" t="s">
        <v>2984</v>
      </c>
      <c r="I3369" s="136" t="s">
        <v>2984</v>
      </c>
      <c r="J3369" s="136" t="s">
        <v>15287</v>
      </c>
      <c r="L3369" s="136"/>
      <c r="M3369" s="136"/>
      <c r="N3369" s="136"/>
    </row>
    <row r="3370" spans="6:14">
      <c r="F3370" s="136" t="s">
        <v>15288</v>
      </c>
      <c r="G3370" s="136">
        <v>3367</v>
      </c>
      <c r="H3370" s="136" t="s">
        <v>15289</v>
      </c>
      <c r="I3370" s="136" t="s">
        <v>15290</v>
      </c>
      <c r="J3370" s="136" t="s">
        <v>15291</v>
      </c>
      <c r="L3370" s="136"/>
      <c r="M3370" s="136"/>
      <c r="N3370" s="136"/>
    </row>
    <row r="3371" spans="6:14">
      <c r="F3371" s="136" t="s">
        <v>15292</v>
      </c>
      <c r="G3371" s="136">
        <v>3368</v>
      </c>
      <c r="H3371" s="136" t="s">
        <v>973</v>
      </c>
      <c r="I3371" s="136" t="s">
        <v>973</v>
      </c>
      <c r="J3371" s="136" t="s">
        <v>15293</v>
      </c>
      <c r="L3371" s="136"/>
      <c r="M3371" s="136"/>
      <c r="N3371" s="136"/>
    </row>
    <row r="3372" spans="6:14">
      <c r="F3372" s="136" t="s">
        <v>15294</v>
      </c>
      <c r="G3372" s="136">
        <v>3369</v>
      </c>
      <c r="H3372" s="136" t="s">
        <v>15295</v>
      </c>
      <c r="I3372" s="136" t="s">
        <v>15296</v>
      </c>
      <c r="J3372" s="136" t="s">
        <v>15297</v>
      </c>
      <c r="L3372" s="136"/>
      <c r="M3372" s="136"/>
      <c r="N3372" s="136"/>
    </row>
    <row r="3373" spans="6:14">
      <c r="F3373" s="136" t="s">
        <v>15298</v>
      </c>
      <c r="G3373" s="136">
        <v>3370</v>
      </c>
      <c r="H3373" s="136" t="s">
        <v>3685</v>
      </c>
      <c r="I3373" s="136" t="s">
        <v>3686</v>
      </c>
      <c r="J3373" s="136" t="s">
        <v>15299</v>
      </c>
      <c r="L3373" s="136"/>
      <c r="M3373" s="136"/>
      <c r="N3373" s="136"/>
    </row>
    <row r="3374" spans="6:14">
      <c r="F3374" s="136" t="s">
        <v>15300</v>
      </c>
      <c r="G3374" s="136">
        <v>3371</v>
      </c>
      <c r="H3374" s="136" t="s">
        <v>3211</v>
      </c>
      <c r="I3374" s="136" t="s">
        <v>3212</v>
      </c>
      <c r="J3374" s="136" t="s">
        <v>15301</v>
      </c>
      <c r="L3374" s="136"/>
      <c r="M3374" s="136"/>
      <c r="N3374" s="136"/>
    </row>
    <row r="3375" spans="6:14">
      <c r="F3375" s="136" t="s">
        <v>15302</v>
      </c>
      <c r="G3375" s="136">
        <v>3372</v>
      </c>
      <c r="H3375" s="136" t="s">
        <v>15303</v>
      </c>
      <c r="I3375" s="136" t="s">
        <v>15304</v>
      </c>
      <c r="J3375" s="136" t="s">
        <v>15305</v>
      </c>
      <c r="L3375" s="136"/>
      <c r="M3375" s="136"/>
      <c r="N3375" s="136"/>
    </row>
    <row r="3376" spans="6:14">
      <c r="F3376" s="136" t="s">
        <v>15306</v>
      </c>
      <c r="G3376" s="136">
        <v>3373</v>
      </c>
      <c r="H3376" s="136" t="s">
        <v>4531</v>
      </c>
      <c r="I3376" s="136" t="s">
        <v>4532</v>
      </c>
      <c r="J3376" s="136" t="s">
        <v>15307</v>
      </c>
      <c r="L3376" s="136"/>
      <c r="M3376" s="136"/>
      <c r="N3376" s="136"/>
    </row>
    <row r="3377" spans="6:14">
      <c r="F3377" s="136" t="s">
        <v>15308</v>
      </c>
      <c r="G3377" s="136">
        <v>3374</v>
      </c>
      <c r="H3377" s="136" t="s">
        <v>15309</v>
      </c>
      <c r="I3377" s="136" t="s">
        <v>15310</v>
      </c>
      <c r="J3377" s="136" t="s">
        <v>15311</v>
      </c>
      <c r="L3377" s="136"/>
      <c r="M3377" s="136"/>
      <c r="N3377" s="136"/>
    </row>
    <row r="3378" spans="6:14">
      <c r="F3378" s="136" t="s">
        <v>15312</v>
      </c>
      <c r="G3378" s="136">
        <v>3375</v>
      </c>
      <c r="H3378" s="136" t="s">
        <v>157</v>
      </c>
      <c r="I3378" s="136" t="s">
        <v>158</v>
      </c>
      <c r="J3378" s="136" t="s">
        <v>15313</v>
      </c>
      <c r="L3378" s="136"/>
      <c r="M3378" s="136"/>
      <c r="N3378" s="136"/>
    </row>
    <row r="3379" spans="6:14">
      <c r="F3379" s="136" t="s">
        <v>15314</v>
      </c>
      <c r="G3379" s="136">
        <v>3376</v>
      </c>
      <c r="H3379" s="136" t="s">
        <v>3781</v>
      </c>
      <c r="I3379" s="136" t="s">
        <v>3781</v>
      </c>
      <c r="J3379" s="136" t="s">
        <v>15315</v>
      </c>
      <c r="L3379" s="136"/>
      <c r="M3379" s="136"/>
      <c r="N3379" s="136"/>
    </row>
    <row r="3380" spans="6:14">
      <c r="F3380" s="136" t="s">
        <v>15316</v>
      </c>
      <c r="G3380" s="136">
        <v>3377</v>
      </c>
      <c r="H3380" s="136" t="s">
        <v>1074</v>
      </c>
      <c r="I3380" s="136" t="s">
        <v>1074</v>
      </c>
      <c r="J3380" s="136" t="s">
        <v>15317</v>
      </c>
      <c r="L3380" s="136"/>
      <c r="M3380" s="136"/>
      <c r="N3380" s="136"/>
    </row>
    <row r="3381" spans="6:14">
      <c r="F3381" s="136" t="s">
        <v>15318</v>
      </c>
      <c r="G3381" s="136">
        <v>3378</v>
      </c>
      <c r="H3381" s="136" t="s">
        <v>4330</v>
      </c>
      <c r="I3381" s="136" t="s">
        <v>4330</v>
      </c>
      <c r="J3381" s="136" t="s">
        <v>15319</v>
      </c>
      <c r="L3381" s="136"/>
      <c r="M3381" s="136"/>
      <c r="N3381" s="136"/>
    </row>
    <row r="3382" spans="6:14">
      <c r="F3382" s="136" t="s">
        <v>15320</v>
      </c>
      <c r="G3382" s="136">
        <v>3379</v>
      </c>
      <c r="H3382" s="136" t="s">
        <v>382</v>
      </c>
      <c r="I3382" s="136" t="s">
        <v>383</v>
      </c>
      <c r="J3382" s="136" t="s">
        <v>15321</v>
      </c>
      <c r="L3382" s="136"/>
      <c r="M3382" s="136"/>
      <c r="N3382" s="136"/>
    </row>
    <row r="3383" spans="6:14">
      <c r="F3383" s="136" t="s">
        <v>15322</v>
      </c>
      <c r="G3383" s="136">
        <v>3380</v>
      </c>
      <c r="H3383" s="136" t="s">
        <v>3209</v>
      </c>
      <c r="I3383" s="136" t="s">
        <v>3210</v>
      </c>
      <c r="J3383" s="136" t="s">
        <v>15323</v>
      </c>
      <c r="L3383" s="136"/>
      <c r="M3383" s="136"/>
      <c r="N3383" s="136"/>
    </row>
    <row r="3384" spans="6:14">
      <c r="F3384" s="136" t="s">
        <v>15324</v>
      </c>
      <c r="G3384" s="136">
        <v>3381</v>
      </c>
      <c r="H3384" s="136" t="s">
        <v>3718</v>
      </c>
      <c r="I3384" s="136" t="s">
        <v>3719</v>
      </c>
      <c r="J3384" s="136" t="s">
        <v>15325</v>
      </c>
      <c r="L3384" s="136"/>
      <c r="M3384" s="136"/>
      <c r="N3384" s="136"/>
    </row>
    <row r="3385" spans="6:14">
      <c r="F3385" s="136" t="s">
        <v>15326</v>
      </c>
      <c r="G3385" s="136">
        <v>3382</v>
      </c>
      <c r="H3385" s="136" t="s">
        <v>5945</v>
      </c>
      <c r="I3385" s="136" t="s">
        <v>5946</v>
      </c>
      <c r="J3385" s="136" t="s">
        <v>15327</v>
      </c>
      <c r="L3385" s="136"/>
      <c r="M3385" s="136"/>
      <c r="N3385" s="136"/>
    </row>
    <row r="3386" spans="6:14">
      <c r="F3386" s="136" t="s">
        <v>15328</v>
      </c>
      <c r="G3386" s="136">
        <v>3383</v>
      </c>
      <c r="H3386" s="136" t="s">
        <v>5592</v>
      </c>
      <c r="I3386" s="136" t="s">
        <v>5592</v>
      </c>
      <c r="J3386" s="136" t="s">
        <v>15329</v>
      </c>
      <c r="L3386" s="136"/>
      <c r="M3386" s="136"/>
      <c r="N3386" s="136"/>
    </row>
    <row r="3387" spans="6:14">
      <c r="F3387" s="136" t="s">
        <v>15330</v>
      </c>
      <c r="G3387" s="136">
        <v>3384</v>
      </c>
      <c r="H3387" s="136" t="s">
        <v>15331</v>
      </c>
      <c r="I3387" s="136" t="s">
        <v>15332</v>
      </c>
      <c r="J3387" s="136" t="s">
        <v>15333</v>
      </c>
      <c r="L3387" s="136"/>
      <c r="M3387" s="136"/>
      <c r="N3387" s="136"/>
    </row>
    <row r="3388" spans="6:14">
      <c r="F3388" s="136" t="s">
        <v>15334</v>
      </c>
      <c r="G3388" s="136">
        <v>3385</v>
      </c>
      <c r="H3388" s="136" t="s">
        <v>15335</v>
      </c>
      <c r="I3388" s="136" t="s">
        <v>15336</v>
      </c>
      <c r="J3388" s="136" t="s">
        <v>15337</v>
      </c>
      <c r="L3388" s="136"/>
      <c r="M3388" s="136"/>
      <c r="N3388" s="136"/>
    </row>
    <row r="3389" spans="6:14">
      <c r="F3389" s="136" t="s">
        <v>15338</v>
      </c>
      <c r="G3389" s="136">
        <v>3386</v>
      </c>
      <c r="H3389" s="136" t="s">
        <v>3682</v>
      </c>
      <c r="I3389" s="136" t="s">
        <v>3682</v>
      </c>
      <c r="J3389" s="136" t="s">
        <v>15339</v>
      </c>
      <c r="L3389" s="136"/>
      <c r="M3389" s="136"/>
      <c r="N3389" s="136"/>
    </row>
    <row r="3390" spans="6:14">
      <c r="F3390" s="136" t="s">
        <v>15340</v>
      </c>
      <c r="G3390" s="136">
        <v>3387</v>
      </c>
      <c r="H3390" s="136" t="s">
        <v>4817</v>
      </c>
      <c r="I3390" s="136" t="s">
        <v>4818</v>
      </c>
      <c r="J3390" s="136" t="s">
        <v>15341</v>
      </c>
      <c r="L3390" s="136"/>
      <c r="M3390" s="136"/>
      <c r="N3390" s="136"/>
    </row>
    <row r="3391" spans="6:14">
      <c r="F3391" s="136" t="s">
        <v>15342</v>
      </c>
      <c r="G3391" s="136">
        <v>3388</v>
      </c>
      <c r="H3391" s="136" t="s">
        <v>15343</v>
      </c>
      <c r="I3391" s="136" t="s">
        <v>1486</v>
      </c>
      <c r="J3391" s="136" t="s">
        <v>15344</v>
      </c>
      <c r="L3391" s="136"/>
      <c r="M3391" s="136"/>
      <c r="N3391" s="136"/>
    </row>
    <row r="3392" spans="6:14">
      <c r="F3392" s="136" t="s">
        <v>15345</v>
      </c>
      <c r="G3392" s="136">
        <v>3389</v>
      </c>
      <c r="H3392" s="136" t="s">
        <v>15346</v>
      </c>
      <c r="I3392" s="136" t="s">
        <v>15347</v>
      </c>
      <c r="J3392" s="136" t="s">
        <v>15348</v>
      </c>
      <c r="L3392" s="136"/>
      <c r="M3392" s="136"/>
      <c r="N3392" s="136"/>
    </row>
    <row r="3393" spans="6:14">
      <c r="F3393" s="136" t="s">
        <v>15349</v>
      </c>
      <c r="G3393" s="136">
        <v>3390</v>
      </c>
      <c r="H3393" s="136" t="s">
        <v>15350</v>
      </c>
      <c r="I3393" s="136" t="s">
        <v>15270</v>
      </c>
      <c r="J3393" s="136" t="s">
        <v>15351</v>
      </c>
      <c r="L3393" s="136"/>
      <c r="M3393" s="136"/>
      <c r="N3393" s="136"/>
    </row>
    <row r="3394" spans="6:14">
      <c r="F3394" s="136" t="s">
        <v>15352</v>
      </c>
      <c r="G3394" s="136">
        <v>3391</v>
      </c>
      <c r="H3394" s="136" t="s">
        <v>4021</v>
      </c>
      <c r="I3394" s="136" t="s">
        <v>4021</v>
      </c>
      <c r="J3394" s="136" t="s">
        <v>15353</v>
      </c>
      <c r="L3394" s="136"/>
      <c r="M3394" s="136"/>
      <c r="N3394" s="136"/>
    </row>
    <row r="3395" spans="6:14">
      <c r="F3395" s="136" t="s">
        <v>15354</v>
      </c>
      <c r="G3395" s="136">
        <v>3392</v>
      </c>
      <c r="H3395" s="136" t="s">
        <v>5179</v>
      </c>
      <c r="I3395" s="136" t="s">
        <v>5179</v>
      </c>
      <c r="J3395" s="136" t="s">
        <v>15355</v>
      </c>
      <c r="L3395" s="136"/>
      <c r="M3395" s="136"/>
      <c r="N3395" s="136"/>
    </row>
    <row r="3396" spans="6:14">
      <c r="F3396" s="136" t="s">
        <v>15356</v>
      </c>
      <c r="G3396" s="136">
        <v>3393</v>
      </c>
      <c r="H3396" s="136" t="s">
        <v>3469</v>
      </c>
      <c r="I3396" s="136" t="s">
        <v>3469</v>
      </c>
      <c r="J3396" s="136" t="s">
        <v>15357</v>
      </c>
      <c r="L3396" s="136"/>
      <c r="M3396" s="136"/>
      <c r="N3396" s="136"/>
    </row>
    <row r="3397" spans="6:14">
      <c r="F3397" s="136" t="s">
        <v>15358</v>
      </c>
      <c r="G3397" s="136">
        <v>3394</v>
      </c>
      <c r="H3397" s="136" t="s">
        <v>3254</v>
      </c>
      <c r="I3397" s="136" t="s">
        <v>3255</v>
      </c>
      <c r="J3397" s="136" t="s">
        <v>15359</v>
      </c>
      <c r="L3397" s="136"/>
      <c r="M3397" s="136"/>
      <c r="N3397" s="136"/>
    </row>
    <row r="3398" spans="6:14">
      <c r="F3398" s="136" t="s">
        <v>15360</v>
      </c>
      <c r="G3398" s="136">
        <v>3395</v>
      </c>
      <c r="H3398" s="136" t="s">
        <v>3889</v>
      </c>
      <c r="I3398" s="136" t="s">
        <v>3889</v>
      </c>
      <c r="J3398" s="136" t="s">
        <v>15361</v>
      </c>
      <c r="L3398" s="136"/>
      <c r="M3398" s="136"/>
      <c r="N3398" s="136"/>
    </row>
    <row r="3399" spans="6:14">
      <c r="F3399" s="136" t="s">
        <v>15362</v>
      </c>
      <c r="G3399" s="136">
        <v>3396</v>
      </c>
      <c r="H3399" s="136" t="s">
        <v>4603</v>
      </c>
      <c r="I3399" s="136" t="s">
        <v>4603</v>
      </c>
      <c r="J3399" s="136" t="s">
        <v>15363</v>
      </c>
      <c r="L3399" s="136"/>
      <c r="M3399" s="136"/>
      <c r="N3399" s="136"/>
    </row>
    <row r="3400" spans="6:14">
      <c r="F3400" s="136" t="s">
        <v>15364</v>
      </c>
      <c r="G3400" s="136">
        <v>3397</v>
      </c>
      <c r="H3400" s="136" t="s">
        <v>867</v>
      </c>
      <c r="I3400" s="136" t="s">
        <v>867</v>
      </c>
      <c r="J3400" s="136" t="s">
        <v>15365</v>
      </c>
      <c r="L3400" s="136"/>
      <c r="M3400" s="136"/>
      <c r="N3400" s="136"/>
    </row>
    <row r="3401" spans="6:14">
      <c r="F3401" s="136" t="s">
        <v>15366</v>
      </c>
      <c r="G3401" s="136">
        <v>3398</v>
      </c>
      <c r="H3401" s="136" t="s">
        <v>5145</v>
      </c>
      <c r="I3401" s="136" t="s">
        <v>5145</v>
      </c>
      <c r="J3401" s="136" t="s">
        <v>15367</v>
      </c>
      <c r="L3401" s="136"/>
      <c r="M3401" s="136"/>
      <c r="N3401" s="136"/>
    </row>
    <row r="3402" spans="6:14">
      <c r="F3402" s="136" t="s">
        <v>15368</v>
      </c>
      <c r="G3402" s="136">
        <v>3399</v>
      </c>
      <c r="H3402" s="136" t="s">
        <v>1260</v>
      </c>
      <c r="I3402" s="136" t="s">
        <v>1261</v>
      </c>
      <c r="J3402" s="136" t="s">
        <v>15369</v>
      </c>
      <c r="L3402" s="136"/>
      <c r="M3402" s="136"/>
      <c r="N3402" s="136"/>
    </row>
    <row r="3403" spans="6:14">
      <c r="F3403" s="136" t="s">
        <v>15370</v>
      </c>
      <c r="G3403" s="136">
        <v>3400</v>
      </c>
      <c r="H3403" s="136" t="s">
        <v>1203</v>
      </c>
      <c r="I3403" s="136" t="s">
        <v>1203</v>
      </c>
      <c r="J3403" s="136" t="s">
        <v>15371</v>
      </c>
      <c r="L3403" s="136"/>
      <c r="M3403" s="136"/>
      <c r="N3403" s="136"/>
    </row>
    <row r="3404" spans="6:14">
      <c r="F3404" s="136" t="s">
        <v>15372</v>
      </c>
      <c r="G3404" s="136">
        <v>3401</v>
      </c>
      <c r="H3404" s="136" t="s">
        <v>1775</v>
      </c>
      <c r="I3404" s="136" t="s">
        <v>1776</v>
      </c>
      <c r="J3404" s="136" t="s">
        <v>15373</v>
      </c>
      <c r="L3404" s="136"/>
      <c r="M3404" s="136"/>
      <c r="N3404" s="136"/>
    </row>
    <row r="3405" spans="6:14">
      <c r="F3405" s="136" t="s">
        <v>15374</v>
      </c>
      <c r="G3405" s="136">
        <v>3402</v>
      </c>
      <c r="H3405" s="136" t="s">
        <v>3827</v>
      </c>
      <c r="I3405" s="136" t="s">
        <v>3827</v>
      </c>
      <c r="J3405" s="136" t="s">
        <v>15375</v>
      </c>
      <c r="L3405" s="136"/>
      <c r="M3405" s="136"/>
      <c r="N3405" s="136"/>
    </row>
    <row r="3406" spans="6:14">
      <c r="F3406" s="136" t="s">
        <v>15376</v>
      </c>
      <c r="G3406" s="136">
        <v>3403</v>
      </c>
      <c r="H3406" s="136" t="s">
        <v>2262</v>
      </c>
      <c r="I3406" s="136" t="s">
        <v>2263</v>
      </c>
      <c r="J3406" s="136" t="s">
        <v>15377</v>
      </c>
      <c r="L3406" s="136"/>
      <c r="M3406" s="136"/>
      <c r="N3406" s="136"/>
    </row>
    <row r="3407" spans="6:14">
      <c r="F3407" s="136" t="s">
        <v>15378</v>
      </c>
      <c r="G3407" s="136">
        <v>3404</v>
      </c>
      <c r="H3407" s="136" t="s">
        <v>3646</v>
      </c>
      <c r="I3407" s="136" t="s">
        <v>3647</v>
      </c>
      <c r="J3407" s="136" t="s">
        <v>15379</v>
      </c>
      <c r="L3407" s="136"/>
      <c r="M3407" s="136"/>
      <c r="N3407" s="136"/>
    </row>
    <row r="3408" spans="6:14">
      <c r="F3408" s="136" t="s">
        <v>15380</v>
      </c>
      <c r="G3408" s="136">
        <v>3405</v>
      </c>
      <c r="H3408" s="136" t="s">
        <v>15331</v>
      </c>
      <c r="I3408" s="136" t="s">
        <v>15332</v>
      </c>
      <c r="J3408" s="136" t="s">
        <v>15381</v>
      </c>
      <c r="L3408" s="136"/>
      <c r="M3408" s="136"/>
      <c r="N3408" s="136"/>
    </row>
    <row r="3409" spans="6:14">
      <c r="F3409" s="136" t="s">
        <v>15382</v>
      </c>
      <c r="G3409" s="136">
        <v>3406</v>
      </c>
      <c r="H3409" s="136" t="s">
        <v>3223</v>
      </c>
      <c r="I3409" s="136" t="s">
        <v>3224</v>
      </c>
      <c r="J3409" s="136" t="s">
        <v>15383</v>
      </c>
      <c r="L3409" s="136"/>
      <c r="M3409" s="136"/>
      <c r="N3409" s="136"/>
    </row>
    <row r="3410" spans="6:14">
      <c r="F3410" s="136" t="s">
        <v>15384</v>
      </c>
      <c r="G3410" s="136">
        <v>3407</v>
      </c>
      <c r="H3410" s="136" t="s">
        <v>3213</v>
      </c>
      <c r="I3410" s="136" t="s">
        <v>3214</v>
      </c>
      <c r="J3410" s="136" t="s">
        <v>15385</v>
      </c>
      <c r="L3410" s="136"/>
      <c r="M3410" s="136"/>
      <c r="N3410" s="136"/>
    </row>
    <row r="3411" spans="6:14">
      <c r="F3411" s="136" t="s">
        <v>15386</v>
      </c>
      <c r="G3411" s="136">
        <v>3408</v>
      </c>
      <c r="H3411" s="136" t="s">
        <v>5593</v>
      </c>
      <c r="I3411" s="136" t="s">
        <v>5594</v>
      </c>
      <c r="J3411" s="136" t="s">
        <v>15387</v>
      </c>
      <c r="L3411" s="136"/>
      <c r="M3411" s="136"/>
      <c r="N3411" s="136"/>
    </row>
    <row r="3412" spans="6:14">
      <c r="F3412" s="136" t="s">
        <v>15388</v>
      </c>
      <c r="G3412" s="136">
        <v>3409</v>
      </c>
      <c r="H3412" s="136" t="s">
        <v>4013</v>
      </c>
      <c r="I3412" s="136" t="s">
        <v>4013</v>
      </c>
      <c r="J3412" s="136" t="s">
        <v>15389</v>
      </c>
      <c r="L3412" s="136"/>
      <c r="M3412" s="136"/>
      <c r="N3412" s="136"/>
    </row>
    <row r="3413" spans="6:14">
      <c r="F3413" s="136" t="s">
        <v>15390</v>
      </c>
      <c r="G3413" s="136">
        <v>3410</v>
      </c>
      <c r="H3413" s="136" t="s">
        <v>1034</v>
      </c>
      <c r="I3413" s="136" t="s">
        <v>1035</v>
      </c>
      <c r="J3413" s="136" t="s">
        <v>15391</v>
      </c>
      <c r="L3413" s="136"/>
      <c r="M3413" s="136"/>
      <c r="N3413" s="136"/>
    </row>
    <row r="3414" spans="6:14">
      <c r="F3414" s="136" t="s">
        <v>15392</v>
      </c>
      <c r="G3414" s="136">
        <v>3411</v>
      </c>
      <c r="H3414" s="136" t="s">
        <v>15393</v>
      </c>
      <c r="I3414" s="136" t="s">
        <v>15394</v>
      </c>
      <c r="J3414" s="136" t="s">
        <v>15395</v>
      </c>
      <c r="L3414" s="136"/>
      <c r="M3414" s="136"/>
      <c r="N3414" s="136"/>
    </row>
    <row r="3415" spans="6:14">
      <c r="F3415" s="136" t="s">
        <v>15396</v>
      </c>
      <c r="G3415" s="136">
        <v>3412</v>
      </c>
      <c r="H3415" s="136" t="s">
        <v>15397</v>
      </c>
      <c r="I3415" s="136" t="s">
        <v>15398</v>
      </c>
      <c r="J3415" s="136" t="s">
        <v>15399</v>
      </c>
      <c r="L3415" s="136"/>
      <c r="M3415" s="136"/>
      <c r="N3415" s="136"/>
    </row>
    <row r="3416" spans="6:14">
      <c r="F3416" s="136" t="s">
        <v>15400</v>
      </c>
      <c r="G3416" s="136">
        <v>3413</v>
      </c>
      <c r="H3416" s="136" t="s">
        <v>15401</v>
      </c>
      <c r="I3416" s="136" t="s">
        <v>15402</v>
      </c>
      <c r="J3416" s="136" t="s">
        <v>15403</v>
      </c>
      <c r="L3416" s="136"/>
      <c r="M3416" s="136"/>
      <c r="N3416" s="136"/>
    </row>
    <row r="3417" spans="6:14">
      <c r="F3417" s="136" t="s">
        <v>15404</v>
      </c>
      <c r="G3417" s="136">
        <v>3414</v>
      </c>
      <c r="H3417" s="136" t="s">
        <v>15405</v>
      </c>
      <c r="I3417" s="136" t="s">
        <v>15406</v>
      </c>
      <c r="J3417" s="136" t="s">
        <v>15407</v>
      </c>
      <c r="L3417" s="136"/>
      <c r="M3417" s="136"/>
      <c r="N3417" s="136"/>
    </row>
    <row r="3418" spans="6:14">
      <c r="F3418" s="136" t="s">
        <v>15408</v>
      </c>
      <c r="G3418" s="136">
        <v>3415</v>
      </c>
      <c r="H3418" s="136" t="s">
        <v>15409</v>
      </c>
      <c r="I3418" s="136" t="s">
        <v>15410</v>
      </c>
      <c r="J3418" s="136" t="s">
        <v>15411</v>
      </c>
      <c r="L3418" s="136"/>
      <c r="M3418" s="136"/>
      <c r="N3418" s="136"/>
    </row>
    <row r="3419" spans="6:14">
      <c r="F3419" s="136" t="s">
        <v>15412</v>
      </c>
      <c r="G3419" s="136">
        <v>3416</v>
      </c>
      <c r="H3419" s="136" t="s">
        <v>15413</v>
      </c>
      <c r="I3419" s="136" t="s">
        <v>15414</v>
      </c>
      <c r="J3419" s="136" t="s">
        <v>15415</v>
      </c>
      <c r="L3419" s="136"/>
      <c r="M3419" s="136"/>
      <c r="N3419" s="136"/>
    </row>
    <row r="3420" spans="6:14">
      <c r="F3420" s="136" t="s">
        <v>15416</v>
      </c>
      <c r="G3420" s="136">
        <v>3417</v>
      </c>
      <c r="H3420" s="136" t="s">
        <v>4999</v>
      </c>
      <c r="I3420" s="136" t="s">
        <v>5000</v>
      </c>
      <c r="J3420" s="136" t="s">
        <v>15417</v>
      </c>
      <c r="L3420" s="136"/>
      <c r="M3420" s="136"/>
      <c r="N3420" s="136"/>
    </row>
    <row r="3421" spans="6:14">
      <c r="F3421" s="136" t="s">
        <v>15418</v>
      </c>
      <c r="G3421" s="136">
        <v>3418</v>
      </c>
      <c r="H3421" s="136" t="s">
        <v>15419</v>
      </c>
      <c r="I3421" s="136" t="s">
        <v>15420</v>
      </c>
      <c r="J3421" s="136" t="s">
        <v>15421</v>
      </c>
      <c r="L3421" s="136"/>
      <c r="M3421" s="136"/>
      <c r="N3421" s="136"/>
    </row>
    <row r="3422" spans="6:14">
      <c r="F3422" s="136" t="s">
        <v>15422</v>
      </c>
      <c r="G3422" s="136">
        <v>3419</v>
      </c>
      <c r="H3422" s="136" t="s">
        <v>3302</v>
      </c>
      <c r="I3422" s="136" t="s">
        <v>3303</v>
      </c>
      <c r="J3422" s="136" t="s">
        <v>15423</v>
      </c>
      <c r="L3422" s="136"/>
      <c r="M3422" s="136"/>
      <c r="N3422" s="136"/>
    </row>
    <row r="3423" spans="6:14">
      <c r="F3423" s="136" t="s">
        <v>15424</v>
      </c>
      <c r="G3423" s="136">
        <v>3420</v>
      </c>
      <c r="H3423" s="136" t="s">
        <v>15425</v>
      </c>
      <c r="I3423" s="136" t="s">
        <v>15426</v>
      </c>
      <c r="J3423" s="136" t="s">
        <v>15427</v>
      </c>
      <c r="L3423" s="136"/>
      <c r="M3423" s="136"/>
      <c r="N3423" s="136"/>
    </row>
    <row r="3424" spans="6:14">
      <c r="F3424" s="136" t="s">
        <v>15428</v>
      </c>
      <c r="G3424" s="136">
        <v>3421</v>
      </c>
      <c r="H3424" s="136" t="s">
        <v>15429</v>
      </c>
      <c r="I3424" s="136" t="s">
        <v>15430</v>
      </c>
      <c r="J3424" s="136" t="s">
        <v>15431</v>
      </c>
      <c r="L3424" s="136"/>
      <c r="M3424" s="136"/>
      <c r="N3424" s="136"/>
    </row>
    <row r="3425" spans="6:14">
      <c r="F3425" s="136" t="s">
        <v>15432</v>
      </c>
      <c r="G3425" s="136">
        <v>3422</v>
      </c>
      <c r="H3425" s="136" t="s">
        <v>3897</v>
      </c>
      <c r="I3425" s="136" t="s">
        <v>3897</v>
      </c>
      <c r="J3425" s="136" t="s">
        <v>15433</v>
      </c>
      <c r="L3425" s="136"/>
      <c r="M3425" s="136"/>
      <c r="N3425" s="136"/>
    </row>
    <row r="3426" spans="6:14">
      <c r="F3426" s="136" t="s">
        <v>15434</v>
      </c>
      <c r="G3426" s="136">
        <v>3423</v>
      </c>
      <c r="H3426" s="136" t="s">
        <v>1579</v>
      </c>
      <c r="I3426" s="136" t="s">
        <v>1580</v>
      </c>
      <c r="J3426" s="136" t="s">
        <v>15435</v>
      </c>
      <c r="L3426" s="136"/>
      <c r="M3426" s="136"/>
      <c r="N3426" s="136"/>
    </row>
    <row r="3427" spans="6:14">
      <c r="F3427" s="136" t="s">
        <v>15436</v>
      </c>
      <c r="G3427" s="136">
        <v>3424</v>
      </c>
      <c r="H3427" s="136" t="s">
        <v>5046</v>
      </c>
      <c r="I3427" s="136" t="s">
        <v>5047</v>
      </c>
      <c r="J3427" s="136" t="s">
        <v>15437</v>
      </c>
      <c r="L3427" s="136"/>
      <c r="M3427" s="136"/>
      <c r="N3427" s="136"/>
    </row>
    <row r="3428" spans="6:14">
      <c r="F3428" s="136" t="s">
        <v>15438</v>
      </c>
      <c r="G3428" s="136">
        <v>3425</v>
      </c>
      <c r="H3428" s="136" t="s">
        <v>15439</v>
      </c>
      <c r="I3428" s="136" t="s">
        <v>15440</v>
      </c>
      <c r="J3428" s="136" t="s">
        <v>15441</v>
      </c>
      <c r="L3428" s="136"/>
      <c r="M3428" s="136"/>
      <c r="N3428" s="136"/>
    </row>
    <row r="3429" spans="6:14">
      <c r="F3429" s="136" t="s">
        <v>15442</v>
      </c>
      <c r="G3429" s="136">
        <v>3426</v>
      </c>
      <c r="H3429" s="136" t="s">
        <v>15443</v>
      </c>
      <c r="I3429" s="136" t="s">
        <v>15444</v>
      </c>
      <c r="J3429" s="136" t="s">
        <v>15445</v>
      </c>
      <c r="L3429" s="136"/>
      <c r="M3429" s="136"/>
      <c r="N3429" s="136"/>
    </row>
    <row r="3430" spans="6:14">
      <c r="F3430" s="136" t="s">
        <v>15446</v>
      </c>
      <c r="G3430" s="136">
        <v>3427</v>
      </c>
      <c r="H3430" s="136" t="s">
        <v>15447</v>
      </c>
      <c r="I3430" s="136" t="s">
        <v>15448</v>
      </c>
      <c r="J3430" s="136" t="s">
        <v>15449</v>
      </c>
      <c r="L3430" s="136"/>
      <c r="M3430" s="136"/>
      <c r="N3430" s="136"/>
    </row>
    <row r="3431" spans="6:14">
      <c r="F3431" s="136" t="s">
        <v>15450</v>
      </c>
      <c r="G3431" s="136">
        <v>3428</v>
      </c>
      <c r="H3431" s="136" t="s">
        <v>7129</v>
      </c>
      <c r="I3431" s="136" t="s">
        <v>7129</v>
      </c>
      <c r="J3431" s="136" t="s">
        <v>15451</v>
      </c>
      <c r="L3431" s="136"/>
      <c r="M3431" s="136"/>
      <c r="N3431" s="136"/>
    </row>
    <row r="3432" spans="6:14">
      <c r="F3432" s="136" t="s">
        <v>15452</v>
      </c>
      <c r="G3432" s="136">
        <v>3429</v>
      </c>
      <c r="H3432" s="136" t="s">
        <v>4037</v>
      </c>
      <c r="I3432" s="136" t="s">
        <v>4037</v>
      </c>
      <c r="J3432" s="136" t="s">
        <v>15453</v>
      </c>
      <c r="L3432" s="136"/>
      <c r="M3432" s="136"/>
      <c r="N3432" s="136"/>
    </row>
    <row r="3433" spans="6:14">
      <c r="F3433" s="136" t="s">
        <v>15454</v>
      </c>
      <c r="G3433" s="136">
        <v>3430</v>
      </c>
      <c r="H3433" s="136" t="s">
        <v>3790</v>
      </c>
      <c r="I3433" s="136" t="s">
        <v>3791</v>
      </c>
      <c r="J3433" s="136" t="s">
        <v>15455</v>
      </c>
      <c r="L3433" s="136"/>
      <c r="M3433" s="136"/>
      <c r="N3433" s="136"/>
    </row>
    <row r="3434" spans="6:14">
      <c r="F3434" s="136" t="s">
        <v>15456</v>
      </c>
      <c r="G3434" s="136">
        <v>3431</v>
      </c>
      <c r="H3434" s="136" t="s">
        <v>15457</v>
      </c>
      <c r="I3434" s="136" t="s">
        <v>15458</v>
      </c>
      <c r="J3434" s="136" t="s">
        <v>15459</v>
      </c>
      <c r="L3434" s="136"/>
      <c r="M3434" s="136"/>
      <c r="N3434" s="136"/>
    </row>
    <row r="3435" spans="6:14">
      <c r="F3435" s="136" t="s">
        <v>15460</v>
      </c>
      <c r="G3435" s="136">
        <v>3432</v>
      </c>
      <c r="H3435" s="136" t="s">
        <v>2818</v>
      </c>
      <c r="I3435" s="136" t="s">
        <v>2833</v>
      </c>
      <c r="J3435" s="136" t="s">
        <v>15461</v>
      </c>
      <c r="L3435" s="136"/>
      <c r="M3435" s="136"/>
      <c r="N3435" s="136"/>
    </row>
    <row r="3436" spans="6:14">
      <c r="F3436" s="136" t="s">
        <v>15462</v>
      </c>
      <c r="G3436" s="136">
        <v>3433</v>
      </c>
      <c r="H3436" s="136" t="s">
        <v>3401</v>
      </c>
      <c r="I3436" s="136" t="s">
        <v>3402</v>
      </c>
      <c r="J3436" s="136" t="s">
        <v>15463</v>
      </c>
      <c r="L3436" s="136"/>
      <c r="M3436" s="136"/>
      <c r="N3436" s="136"/>
    </row>
    <row r="3437" spans="6:14">
      <c r="F3437" s="136" t="s">
        <v>15464</v>
      </c>
      <c r="G3437" s="136">
        <v>3434</v>
      </c>
      <c r="H3437" s="136" t="s">
        <v>398</v>
      </c>
      <c r="I3437" s="136" t="s">
        <v>399</v>
      </c>
      <c r="J3437" s="136" t="s">
        <v>15465</v>
      </c>
      <c r="L3437" s="136"/>
      <c r="M3437" s="136"/>
      <c r="N3437" s="136"/>
    </row>
    <row r="3438" spans="6:14">
      <c r="F3438" s="136" t="s">
        <v>15466</v>
      </c>
      <c r="G3438" s="136">
        <v>3435</v>
      </c>
      <c r="H3438" s="136" t="s">
        <v>15467</v>
      </c>
      <c r="I3438" s="136" t="s">
        <v>15467</v>
      </c>
      <c r="J3438" s="136" t="s">
        <v>15468</v>
      </c>
      <c r="L3438" s="136"/>
      <c r="M3438" s="136"/>
      <c r="N3438" s="136"/>
    </row>
    <row r="3439" spans="6:14">
      <c r="F3439" s="136" t="s">
        <v>15469</v>
      </c>
      <c r="G3439" s="136">
        <v>3436</v>
      </c>
      <c r="H3439" s="136" t="s">
        <v>1826</v>
      </c>
      <c r="I3439" s="136" t="s">
        <v>1827</v>
      </c>
      <c r="J3439" s="136" t="s">
        <v>15470</v>
      </c>
      <c r="L3439" s="136"/>
      <c r="M3439" s="136"/>
      <c r="N3439" s="136"/>
    </row>
    <row r="3440" spans="6:14">
      <c r="F3440" s="136" t="s">
        <v>15471</v>
      </c>
      <c r="G3440" s="136">
        <v>13672183733</v>
      </c>
      <c r="H3440" s="136" t="s">
        <v>5084</v>
      </c>
      <c r="I3440" s="136" t="s">
        <v>5084</v>
      </c>
      <c r="J3440" s="136" t="s">
        <v>15472</v>
      </c>
      <c r="L3440" s="136"/>
      <c r="M3440" s="136"/>
      <c r="N3440" s="136"/>
    </row>
    <row r="3441" spans="6:14">
      <c r="F3441" s="136" t="s">
        <v>15473</v>
      </c>
      <c r="G3441" s="136">
        <v>15413655770</v>
      </c>
      <c r="H3441" s="136" t="s">
        <v>4643</v>
      </c>
      <c r="I3441" s="136" t="s">
        <v>4643</v>
      </c>
      <c r="J3441" s="136" t="s">
        <v>15474</v>
      </c>
      <c r="L3441" s="136"/>
      <c r="M3441" s="136"/>
      <c r="N3441" s="136"/>
    </row>
    <row r="3442" spans="6:14">
      <c r="F3442" s="136" t="s">
        <v>15475</v>
      </c>
      <c r="G3442" s="136">
        <v>15115651793</v>
      </c>
      <c r="H3442" s="136" t="s">
        <v>4381</v>
      </c>
      <c r="I3442" s="136" t="s">
        <v>4382</v>
      </c>
      <c r="J3442" s="136" t="s">
        <v>15476</v>
      </c>
      <c r="L3442" s="136"/>
      <c r="M3442" s="136"/>
      <c r="N3442" s="136"/>
    </row>
    <row r="3443" spans="6:14">
      <c r="F3443" s="136" t="s">
        <v>15477</v>
      </c>
      <c r="G3443" s="136">
        <v>3440</v>
      </c>
      <c r="H3443" s="136" t="s">
        <v>3866</v>
      </c>
      <c r="I3443" s="136" t="s">
        <v>3867</v>
      </c>
      <c r="J3443" s="136" t="s">
        <v>15478</v>
      </c>
      <c r="L3443" s="136"/>
      <c r="M3443" s="136"/>
      <c r="N3443" s="136"/>
    </row>
    <row r="3444" spans="6:14">
      <c r="F3444" s="136" t="s">
        <v>15479</v>
      </c>
      <c r="G3444" s="136">
        <v>3441</v>
      </c>
      <c r="H3444" s="136" t="s">
        <v>15480</v>
      </c>
      <c r="I3444" s="136" t="s">
        <v>15481</v>
      </c>
      <c r="J3444" s="136" t="s">
        <v>15482</v>
      </c>
      <c r="L3444" s="136"/>
      <c r="M3444" s="136"/>
      <c r="N3444" s="136"/>
    </row>
    <row r="3445" spans="6:14">
      <c r="F3445" s="136" t="s">
        <v>15483</v>
      </c>
      <c r="G3445" s="136">
        <v>3442</v>
      </c>
      <c r="H3445" s="136" t="s">
        <v>1890</v>
      </c>
      <c r="I3445" s="136" t="s">
        <v>1891</v>
      </c>
      <c r="J3445" s="136" t="s">
        <v>15484</v>
      </c>
      <c r="L3445" s="136"/>
      <c r="M3445" s="136"/>
      <c r="N3445" s="136"/>
    </row>
    <row r="3446" spans="6:14">
      <c r="F3446" s="136" t="s">
        <v>15485</v>
      </c>
      <c r="G3446" s="136">
        <v>3443</v>
      </c>
      <c r="H3446" s="136" t="s">
        <v>1816</v>
      </c>
      <c r="I3446" s="136" t="s">
        <v>1817</v>
      </c>
      <c r="J3446" s="136" t="s">
        <v>15486</v>
      </c>
      <c r="L3446" s="136"/>
      <c r="M3446" s="136"/>
      <c r="N3446" s="136"/>
    </row>
    <row r="3447" spans="6:14">
      <c r="F3447" s="136" t="s">
        <v>15487</v>
      </c>
      <c r="G3447" s="136">
        <v>3444</v>
      </c>
      <c r="H3447" s="136" t="s">
        <v>15488</v>
      </c>
      <c r="I3447" s="136" t="s">
        <v>15489</v>
      </c>
      <c r="J3447" s="136" t="s">
        <v>15490</v>
      </c>
      <c r="L3447" s="136"/>
      <c r="M3447" s="136"/>
      <c r="N3447" s="136"/>
    </row>
    <row r="3448" spans="6:14">
      <c r="F3448" s="136" t="s">
        <v>15491</v>
      </c>
      <c r="G3448" s="136">
        <v>3445</v>
      </c>
      <c r="H3448" s="136" t="s">
        <v>4385</v>
      </c>
      <c r="I3448" s="136" t="s">
        <v>4386</v>
      </c>
      <c r="J3448" s="136" t="s">
        <v>15492</v>
      </c>
      <c r="L3448" s="136"/>
      <c r="M3448" s="136"/>
      <c r="N3448" s="136"/>
    </row>
    <row r="3449" spans="6:14">
      <c r="F3449" s="136" t="s">
        <v>15493</v>
      </c>
      <c r="G3449" s="136">
        <v>3446</v>
      </c>
      <c r="H3449" s="136" t="s">
        <v>3263</v>
      </c>
      <c r="I3449" s="136" t="s">
        <v>3264</v>
      </c>
      <c r="J3449" s="136" t="s">
        <v>15494</v>
      </c>
      <c r="L3449" s="136"/>
      <c r="M3449" s="136"/>
      <c r="N3449" s="136"/>
    </row>
    <row r="3450" spans="6:14">
      <c r="F3450" s="136" t="s">
        <v>15495</v>
      </c>
      <c r="G3450" s="136">
        <v>3447</v>
      </c>
      <c r="H3450" s="136" t="s">
        <v>4185</v>
      </c>
      <c r="I3450" s="136" t="s">
        <v>4186</v>
      </c>
      <c r="J3450" s="136" t="s">
        <v>15496</v>
      </c>
      <c r="L3450" s="136"/>
      <c r="M3450" s="136"/>
      <c r="N3450" s="136"/>
    </row>
    <row r="3451" spans="6:14">
      <c r="F3451" s="136" t="s">
        <v>15497</v>
      </c>
      <c r="G3451" s="136">
        <v>14845583755</v>
      </c>
      <c r="H3451" s="136" t="s">
        <v>3235</v>
      </c>
      <c r="I3451" s="136" t="s">
        <v>3235</v>
      </c>
      <c r="J3451" s="136" t="s">
        <v>15498</v>
      </c>
      <c r="L3451" s="136"/>
      <c r="M3451" s="136"/>
      <c r="N3451" s="136"/>
    </row>
    <row r="3452" spans="6:14">
      <c r="F3452" s="136" t="s">
        <v>15499</v>
      </c>
      <c r="G3452" s="136">
        <v>3449</v>
      </c>
      <c r="H3452" s="136" t="s">
        <v>2596</v>
      </c>
      <c r="I3452" s="136" t="s">
        <v>2597</v>
      </c>
      <c r="J3452" s="136" t="s">
        <v>15500</v>
      </c>
      <c r="L3452" s="136"/>
      <c r="M3452" s="136"/>
      <c r="N3452" s="136"/>
    </row>
    <row r="3453" spans="6:14">
      <c r="F3453" s="136" t="s">
        <v>15501</v>
      </c>
      <c r="G3453" s="136">
        <v>3450</v>
      </c>
      <c r="H3453" s="136" t="s">
        <v>3739</v>
      </c>
      <c r="I3453" s="136" t="s">
        <v>3739</v>
      </c>
      <c r="J3453" s="136" t="s">
        <v>15502</v>
      </c>
      <c r="L3453" s="136"/>
      <c r="M3453" s="136"/>
      <c r="N3453" s="136"/>
    </row>
    <row r="3454" spans="6:14">
      <c r="F3454" s="136" t="s">
        <v>15503</v>
      </c>
      <c r="G3454" s="136">
        <v>3451</v>
      </c>
      <c r="H3454" s="136" t="s">
        <v>2330</v>
      </c>
      <c r="I3454" s="136" t="s">
        <v>2331</v>
      </c>
      <c r="J3454" s="136" t="s">
        <v>15504</v>
      </c>
      <c r="L3454" s="136"/>
      <c r="M3454" s="136"/>
      <c r="N3454" s="136"/>
    </row>
    <row r="3455" spans="6:14">
      <c r="F3455" s="136" t="s">
        <v>15505</v>
      </c>
      <c r="G3455" s="136">
        <v>3452</v>
      </c>
      <c r="H3455" s="136" t="s">
        <v>9046</v>
      </c>
      <c r="I3455" s="136" t="s">
        <v>9046</v>
      </c>
      <c r="J3455" s="136" t="s">
        <v>15506</v>
      </c>
      <c r="L3455" s="136"/>
      <c r="M3455" s="136"/>
      <c r="N3455" s="136"/>
    </row>
    <row r="3456" spans="6:14">
      <c r="F3456" s="136" t="s">
        <v>15507</v>
      </c>
      <c r="G3456" s="136">
        <v>3453</v>
      </c>
      <c r="H3456" s="136" t="s">
        <v>15508</v>
      </c>
      <c r="I3456" s="136" t="s">
        <v>15509</v>
      </c>
      <c r="J3456" s="136" t="s">
        <v>15510</v>
      </c>
      <c r="L3456" s="136"/>
      <c r="M3456" s="136"/>
      <c r="N3456" s="136"/>
    </row>
    <row r="3457" spans="6:14">
      <c r="F3457" s="136" t="s">
        <v>15511</v>
      </c>
      <c r="G3457" s="136">
        <v>3454</v>
      </c>
      <c r="H3457" s="136" t="s">
        <v>15512</v>
      </c>
      <c r="I3457" s="136" t="s">
        <v>15513</v>
      </c>
      <c r="J3457" s="136" t="s">
        <v>15514</v>
      </c>
      <c r="L3457" s="136"/>
      <c r="M3457" s="136"/>
      <c r="N3457" s="136"/>
    </row>
    <row r="3458" spans="6:14">
      <c r="F3458" s="136" t="s">
        <v>15515</v>
      </c>
      <c r="G3458" s="136">
        <v>3455</v>
      </c>
      <c r="H3458" s="136" t="s">
        <v>5322</v>
      </c>
      <c r="I3458" s="136" t="s">
        <v>5323</v>
      </c>
      <c r="J3458" s="136" t="s">
        <v>15516</v>
      </c>
      <c r="L3458" s="136"/>
      <c r="M3458" s="136"/>
      <c r="N3458" s="136"/>
    </row>
    <row r="3459" spans="6:14">
      <c r="F3459" s="136" t="s">
        <v>15517</v>
      </c>
      <c r="G3459" s="136">
        <v>3456</v>
      </c>
      <c r="H3459" s="136" t="s">
        <v>2510</v>
      </c>
      <c r="I3459" s="136" t="s">
        <v>2511</v>
      </c>
      <c r="J3459" s="136" t="s">
        <v>15518</v>
      </c>
      <c r="L3459" s="136"/>
      <c r="M3459" s="136"/>
      <c r="N3459" s="136"/>
    </row>
    <row r="3460" spans="6:14">
      <c r="F3460" s="136" t="s">
        <v>15519</v>
      </c>
      <c r="G3460" s="136">
        <v>3457</v>
      </c>
      <c r="H3460" s="136" t="s">
        <v>15520</v>
      </c>
      <c r="I3460" s="136" t="s">
        <v>15521</v>
      </c>
      <c r="J3460" s="136" t="s">
        <v>15522</v>
      </c>
      <c r="L3460" s="136"/>
      <c r="M3460" s="136"/>
      <c r="N3460" s="136"/>
    </row>
    <row r="3461" spans="6:14">
      <c r="F3461" s="136" t="s">
        <v>15523</v>
      </c>
      <c r="G3461" s="136">
        <v>3458</v>
      </c>
      <c r="H3461" s="136" t="s">
        <v>4375</v>
      </c>
      <c r="I3461" s="136" t="s">
        <v>4376</v>
      </c>
      <c r="J3461" s="136" t="s">
        <v>15524</v>
      </c>
      <c r="L3461" s="136"/>
      <c r="M3461" s="136"/>
      <c r="N3461" s="136"/>
    </row>
    <row r="3462" spans="6:14">
      <c r="F3462" s="136" t="s">
        <v>15525</v>
      </c>
      <c r="G3462" s="136">
        <v>3459</v>
      </c>
      <c r="H3462" s="136" t="s">
        <v>14869</v>
      </c>
      <c r="I3462" s="136" t="s">
        <v>14869</v>
      </c>
      <c r="J3462" s="136" t="s">
        <v>15526</v>
      </c>
      <c r="L3462" s="136"/>
      <c r="M3462" s="136"/>
      <c r="N3462" s="136"/>
    </row>
    <row r="3463" spans="6:14">
      <c r="F3463" s="136" t="s">
        <v>15527</v>
      </c>
      <c r="G3463" s="136">
        <v>3460</v>
      </c>
      <c r="H3463" s="136" t="s">
        <v>15528</v>
      </c>
      <c r="I3463" s="136" t="s">
        <v>13727</v>
      </c>
      <c r="J3463" s="136" t="s">
        <v>15529</v>
      </c>
      <c r="L3463" s="136"/>
      <c r="M3463" s="136"/>
      <c r="N3463" s="136"/>
    </row>
    <row r="3464" spans="6:14">
      <c r="F3464" s="136" t="s">
        <v>15530</v>
      </c>
      <c r="G3464" s="136">
        <v>3461</v>
      </c>
      <c r="H3464" s="136" t="s">
        <v>15531</v>
      </c>
      <c r="I3464" s="136" t="s">
        <v>15532</v>
      </c>
      <c r="J3464" s="136" t="s">
        <v>15533</v>
      </c>
      <c r="L3464" s="136"/>
      <c r="M3464" s="136"/>
      <c r="N3464" s="136"/>
    </row>
    <row r="3465" spans="6:14">
      <c r="F3465" s="136" t="s">
        <v>15534</v>
      </c>
      <c r="G3465" s="136">
        <v>10738260746</v>
      </c>
      <c r="H3465" s="136" t="s">
        <v>460</v>
      </c>
      <c r="I3465" s="136" t="s">
        <v>460</v>
      </c>
      <c r="J3465" s="136" t="s">
        <v>15535</v>
      </c>
      <c r="L3465" s="136"/>
      <c r="M3465" s="136"/>
      <c r="N3465" s="136"/>
    </row>
    <row r="3466" spans="6:14">
      <c r="F3466" s="136" t="s">
        <v>15536</v>
      </c>
      <c r="G3466" s="136">
        <v>5625455309</v>
      </c>
      <c r="H3466" s="136" t="s">
        <v>5812</v>
      </c>
      <c r="I3466" s="136" t="s">
        <v>5812</v>
      </c>
      <c r="J3466" s="136" t="s">
        <v>15537</v>
      </c>
      <c r="L3466" s="136"/>
      <c r="M3466" s="136"/>
      <c r="N3466" s="136"/>
    </row>
    <row r="3467" spans="6:14">
      <c r="F3467" s="136" t="s">
        <v>15538</v>
      </c>
      <c r="G3467" s="136">
        <v>3464</v>
      </c>
      <c r="H3467" s="136" t="s">
        <v>3664</v>
      </c>
      <c r="I3467" s="136" t="s">
        <v>3664</v>
      </c>
      <c r="J3467" s="136" t="s">
        <v>15539</v>
      </c>
      <c r="L3467" s="136"/>
      <c r="M3467" s="136"/>
      <c r="N3467" s="136"/>
    </row>
    <row r="3468" spans="6:14">
      <c r="F3468" s="136" t="s">
        <v>15540</v>
      </c>
      <c r="G3468" s="136">
        <v>3465</v>
      </c>
      <c r="H3468" s="136" t="s">
        <v>15541</v>
      </c>
      <c r="I3468" s="136" t="s">
        <v>15542</v>
      </c>
      <c r="J3468" s="136" t="s">
        <v>15543</v>
      </c>
      <c r="L3468" s="136"/>
      <c r="M3468" s="136"/>
      <c r="N3468" s="136"/>
    </row>
    <row r="3469" spans="6:14">
      <c r="F3469" s="136" t="s">
        <v>15544</v>
      </c>
      <c r="G3469" s="136">
        <v>3466</v>
      </c>
      <c r="H3469" s="136" t="s">
        <v>5951</v>
      </c>
      <c r="I3469" s="136" t="s">
        <v>5952</v>
      </c>
      <c r="J3469" s="136" t="s">
        <v>15545</v>
      </c>
      <c r="L3469" s="136"/>
      <c r="M3469" s="136"/>
      <c r="N3469" s="136"/>
    </row>
    <row r="3470" spans="6:14">
      <c r="F3470" s="136" t="s">
        <v>15546</v>
      </c>
      <c r="G3470" s="136">
        <v>3467</v>
      </c>
      <c r="H3470" s="136" t="s">
        <v>55</v>
      </c>
      <c r="I3470" s="136" t="s">
        <v>56</v>
      </c>
      <c r="J3470" s="136" t="s">
        <v>15547</v>
      </c>
      <c r="L3470" s="136"/>
      <c r="M3470" s="136"/>
      <c r="N3470" s="136"/>
    </row>
    <row r="3471" spans="6:14">
      <c r="F3471" s="136" t="s">
        <v>15548</v>
      </c>
      <c r="G3471" s="136">
        <v>3468</v>
      </c>
      <c r="H3471" s="136" t="s">
        <v>15549</v>
      </c>
      <c r="I3471" s="136" t="s">
        <v>15550</v>
      </c>
      <c r="J3471" s="136" t="s">
        <v>15551</v>
      </c>
      <c r="L3471" s="136"/>
      <c r="M3471" s="136"/>
      <c r="N3471" s="136"/>
    </row>
    <row r="3472" spans="6:14">
      <c r="F3472" s="136" t="s">
        <v>15552</v>
      </c>
      <c r="G3472" s="136">
        <v>3469</v>
      </c>
      <c r="H3472" s="136" t="s">
        <v>3565</v>
      </c>
      <c r="I3472" s="136" t="s">
        <v>3566</v>
      </c>
      <c r="J3472" s="136" t="s">
        <v>15553</v>
      </c>
      <c r="L3472" s="136"/>
      <c r="M3472" s="136"/>
      <c r="N3472" s="136"/>
    </row>
    <row r="3473" spans="6:14">
      <c r="F3473" s="136" t="s">
        <v>15554</v>
      </c>
      <c r="G3473" s="136">
        <v>3470</v>
      </c>
      <c r="H3473" s="136" t="s">
        <v>138</v>
      </c>
      <c r="I3473" s="136" t="s">
        <v>139</v>
      </c>
      <c r="J3473" s="136" t="s">
        <v>15555</v>
      </c>
      <c r="L3473" s="136"/>
      <c r="M3473" s="136"/>
      <c r="N3473" s="136"/>
    </row>
    <row r="3474" spans="6:14">
      <c r="F3474" s="136" t="s">
        <v>15556</v>
      </c>
      <c r="G3474" s="136">
        <v>3471</v>
      </c>
      <c r="H3474" s="136" t="s">
        <v>3710</v>
      </c>
      <c r="I3474" s="136" t="s">
        <v>3711</v>
      </c>
      <c r="J3474" s="136" t="s">
        <v>15557</v>
      </c>
      <c r="L3474" s="136"/>
      <c r="M3474" s="136"/>
      <c r="N3474" s="136"/>
    </row>
    <row r="3475" spans="6:14">
      <c r="F3475" s="136" t="s">
        <v>15558</v>
      </c>
      <c r="G3475" s="136">
        <v>3472</v>
      </c>
      <c r="H3475" s="136" t="s">
        <v>15559</v>
      </c>
      <c r="I3475" s="136" t="s">
        <v>15560</v>
      </c>
      <c r="J3475" s="136" t="s">
        <v>15561</v>
      </c>
      <c r="L3475" s="136"/>
      <c r="M3475" s="136"/>
      <c r="N3475" s="136"/>
    </row>
    <row r="3476" spans="6:14">
      <c r="F3476" s="136" t="s">
        <v>15562</v>
      </c>
      <c r="G3476" s="136">
        <v>3473</v>
      </c>
      <c r="H3476" s="136" t="s">
        <v>3433</v>
      </c>
      <c r="I3476" s="136" t="s">
        <v>3434</v>
      </c>
      <c r="J3476" s="136" t="s">
        <v>15563</v>
      </c>
      <c r="L3476" s="136"/>
      <c r="M3476" s="136"/>
      <c r="N3476" s="136"/>
    </row>
    <row r="3477" spans="6:14">
      <c r="F3477" s="136" t="s">
        <v>15564</v>
      </c>
      <c r="G3477" s="136">
        <v>3474</v>
      </c>
      <c r="H3477" s="136" t="s">
        <v>4686</v>
      </c>
      <c r="I3477" s="136" t="s">
        <v>4687</v>
      </c>
      <c r="J3477" s="136" t="s">
        <v>15565</v>
      </c>
      <c r="L3477" s="136"/>
      <c r="M3477" s="136"/>
      <c r="N3477" s="136"/>
    </row>
    <row r="3478" spans="6:14">
      <c r="F3478" s="136" t="s">
        <v>15566</v>
      </c>
      <c r="G3478" s="136">
        <v>3475</v>
      </c>
      <c r="H3478" s="136" t="s">
        <v>1922</v>
      </c>
      <c r="I3478" s="136" t="s">
        <v>1923</v>
      </c>
      <c r="J3478" s="136" t="s">
        <v>15567</v>
      </c>
      <c r="L3478" s="136"/>
      <c r="M3478" s="136"/>
      <c r="N3478" s="136"/>
    </row>
    <row r="3479" spans="6:14">
      <c r="F3479" s="136" t="s">
        <v>15568</v>
      </c>
      <c r="G3479" s="136">
        <v>3476</v>
      </c>
      <c r="H3479" s="136" t="s">
        <v>395</v>
      </c>
      <c r="I3479" s="136" t="s">
        <v>395</v>
      </c>
      <c r="J3479" s="136" t="s">
        <v>15569</v>
      </c>
      <c r="L3479" s="136"/>
      <c r="M3479" s="136"/>
      <c r="N3479" s="136"/>
    </row>
    <row r="3480" spans="6:14">
      <c r="F3480" s="136" t="s">
        <v>15570</v>
      </c>
      <c r="G3480" s="136">
        <v>3477</v>
      </c>
      <c r="H3480" s="136" t="s">
        <v>15571</v>
      </c>
      <c r="I3480" s="136" t="s">
        <v>15572</v>
      </c>
      <c r="J3480" s="136" t="s">
        <v>15573</v>
      </c>
      <c r="L3480" s="136"/>
      <c r="M3480" s="136"/>
      <c r="N3480" s="136"/>
    </row>
    <row r="3481" spans="6:14">
      <c r="F3481" s="136" t="s">
        <v>15574</v>
      </c>
      <c r="G3481" s="136">
        <v>3478</v>
      </c>
      <c r="H3481" s="136" t="s">
        <v>5482</v>
      </c>
      <c r="I3481" s="136" t="s">
        <v>5483</v>
      </c>
      <c r="J3481" s="136" t="s">
        <v>15575</v>
      </c>
      <c r="L3481" s="136"/>
      <c r="M3481" s="136"/>
      <c r="N3481" s="136"/>
    </row>
    <row r="3482" spans="6:14">
      <c r="F3482" s="136" t="s">
        <v>15576</v>
      </c>
      <c r="G3482" s="136">
        <v>3479</v>
      </c>
      <c r="H3482" s="136" t="s">
        <v>15577</v>
      </c>
      <c r="I3482" s="136" t="s">
        <v>15578</v>
      </c>
      <c r="J3482" s="136" t="s">
        <v>15579</v>
      </c>
      <c r="L3482" s="136"/>
      <c r="M3482" s="136"/>
      <c r="N3482" s="136"/>
    </row>
    <row r="3483" spans="6:14">
      <c r="F3483" s="136" t="s">
        <v>15580</v>
      </c>
      <c r="G3483" s="136">
        <v>3480</v>
      </c>
      <c r="H3483" s="136" t="s">
        <v>3480</v>
      </c>
      <c r="I3483" s="136" t="s">
        <v>3481</v>
      </c>
      <c r="J3483" s="136" t="s">
        <v>15581</v>
      </c>
      <c r="L3483" s="136"/>
      <c r="M3483" s="136"/>
      <c r="N3483" s="136"/>
    </row>
    <row r="3484" spans="6:14">
      <c r="F3484" s="136" t="s">
        <v>15582</v>
      </c>
      <c r="G3484" s="136">
        <v>3481</v>
      </c>
      <c r="H3484" s="136" t="s">
        <v>4672</v>
      </c>
      <c r="I3484" s="136" t="s">
        <v>4673</v>
      </c>
      <c r="J3484" s="136" t="s">
        <v>15583</v>
      </c>
      <c r="L3484" s="136"/>
      <c r="M3484" s="136"/>
      <c r="N3484" s="136"/>
    </row>
    <row r="3485" spans="6:14">
      <c r="F3485" s="136" t="s">
        <v>15584</v>
      </c>
      <c r="G3485" s="136">
        <v>3482</v>
      </c>
      <c r="H3485" s="136" t="s">
        <v>3323</v>
      </c>
      <c r="I3485" s="136" t="s">
        <v>3324</v>
      </c>
      <c r="J3485" s="136" t="s">
        <v>15585</v>
      </c>
      <c r="L3485" s="136"/>
      <c r="M3485" s="136"/>
      <c r="N3485" s="136"/>
    </row>
    <row r="3486" spans="6:14">
      <c r="F3486" s="136" t="s">
        <v>15586</v>
      </c>
      <c r="G3486" s="136">
        <v>3483</v>
      </c>
      <c r="H3486" s="136" t="s">
        <v>5399</v>
      </c>
      <c r="I3486" s="136" t="s">
        <v>5399</v>
      </c>
      <c r="J3486" s="136" t="s">
        <v>15587</v>
      </c>
      <c r="L3486" s="136"/>
      <c r="M3486" s="136"/>
      <c r="N3486" s="136"/>
    </row>
    <row r="3487" spans="6:14">
      <c r="F3487" s="136" t="s">
        <v>15588</v>
      </c>
      <c r="G3487" s="136">
        <v>3484</v>
      </c>
      <c r="H3487" s="136" t="s">
        <v>409</v>
      </c>
      <c r="I3487" s="136" t="s">
        <v>410</v>
      </c>
      <c r="J3487" s="136" t="s">
        <v>15589</v>
      </c>
      <c r="L3487" s="136"/>
      <c r="M3487" s="136"/>
      <c r="N3487" s="136"/>
    </row>
    <row r="3488" spans="6:14">
      <c r="F3488" s="136" t="s">
        <v>15590</v>
      </c>
      <c r="G3488" s="136">
        <v>3485</v>
      </c>
      <c r="H3488" s="136" t="s">
        <v>3653</v>
      </c>
      <c r="I3488" s="136" t="s">
        <v>3653</v>
      </c>
      <c r="J3488" s="136" t="s">
        <v>15591</v>
      </c>
      <c r="L3488" s="136"/>
      <c r="M3488" s="136"/>
      <c r="N3488" s="136"/>
    </row>
    <row r="3489" spans="6:14">
      <c r="F3489" s="136" t="s">
        <v>15592</v>
      </c>
      <c r="G3489" s="136">
        <v>3486</v>
      </c>
      <c r="H3489" s="136" t="s">
        <v>2374</v>
      </c>
      <c r="I3489" s="136" t="s">
        <v>2374</v>
      </c>
      <c r="J3489" s="136" t="s">
        <v>15593</v>
      </c>
      <c r="L3489" s="136"/>
      <c r="M3489" s="136"/>
      <c r="N3489" s="136"/>
    </row>
    <row r="3490" spans="6:14">
      <c r="F3490" s="136" t="s">
        <v>15594</v>
      </c>
      <c r="G3490" s="136">
        <v>3487</v>
      </c>
      <c r="H3490" s="136" t="s">
        <v>1604</v>
      </c>
      <c r="I3490" s="136" t="s">
        <v>1605</v>
      </c>
      <c r="J3490" s="136" t="s">
        <v>15595</v>
      </c>
      <c r="L3490" s="136"/>
      <c r="M3490" s="136"/>
      <c r="N3490" s="136"/>
    </row>
    <row r="3491" spans="6:14">
      <c r="F3491" s="136" t="s">
        <v>15596</v>
      </c>
      <c r="G3491" s="136">
        <v>3488</v>
      </c>
      <c r="H3491" s="136" t="s">
        <v>13812</v>
      </c>
      <c r="I3491" s="136" t="s">
        <v>13813</v>
      </c>
      <c r="J3491" s="136" t="s">
        <v>15597</v>
      </c>
      <c r="L3491" s="136"/>
      <c r="M3491" s="136"/>
      <c r="N3491" s="136"/>
    </row>
    <row r="3492" spans="6:14">
      <c r="F3492" s="136" t="s">
        <v>15598</v>
      </c>
      <c r="G3492" s="136">
        <v>3489</v>
      </c>
      <c r="H3492" s="136" t="s">
        <v>5101</v>
      </c>
      <c r="I3492" s="136" t="s">
        <v>5102</v>
      </c>
      <c r="J3492" s="136" t="s">
        <v>15599</v>
      </c>
      <c r="L3492" s="136"/>
      <c r="M3492" s="136"/>
      <c r="N3492" s="136"/>
    </row>
    <row r="3493" spans="6:14">
      <c r="F3493" s="136" t="s">
        <v>15600</v>
      </c>
      <c r="G3493" s="136">
        <v>3490</v>
      </c>
      <c r="H3493" s="136" t="s">
        <v>4362</v>
      </c>
      <c r="I3493" s="136" t="s">
        <v>4363</v>
      </c>
      <c r="J3493" s="136" t="s">
        <v>15601</v>
      </c>
      <c r="L3493" s="136"/>
      <c r="M3493" s="136"/>
      <c r="N3493" s="136"/>
    </row>
    <row r="3494" spans="6:14">
      <c r="F3494" s="136" t="s">
        <v>15602</v>
      </c>
      <c r="G3494" s="136">
        <v>3491</v>
      </c>
      <c r="H3494" s="136" t="s">
        <v>5384</v>
      </c>
      <c r="I3494" s="136" t="s">
        <v>5384</v>
      </c>
      <c r="J3494" s="136" t="s">
        <v>15603</v>
      </c>
      <c r="L3494" s="136"/>
      <c r="M3494" s="136"/>
      <c r="N3494" s="136"/>
    </row>
    <row r="3495" spans="6:14">
      <c r="F3495" s="136" t="s">
        <v>15604</v>
      </c>
      <c r="G3495" s="136">
        <v>3492</v>
      </c>
      <c r="H3495" s="136" t="s">
        <v>43</v>
      </c>
      <c r="I3495" s="136" t="s">
        <v>44</v>
      </c>
      <c r="J3495" s="136" t="s">
        <v>15605</v>
      </c>
      <c r="L3495" s="136"/>
      <c r="M3495" s="136"/>
      <c r="N3495" s="136"/>
    </row>
    <row r="3496" spans="6:14">
      <c r="F3496" s="136" t="s">
        <v>15606</v>
      </c>
      <c r="G3496" s="136">
        <v>3493</v>
      </c>
      <c r="H3496" s="136" t="s">
        <v>15607</v>
      </c>
      <c r="I3496" s="136" t="s">
        <v>15608</v>
      </c>
      <c r="J3496" s="136" t="s">
        <v>15609</v>
      </c>
      <c r="L3496" s="136"/>
      <c r="M3496" s="136"/>
      <c r="N3496" s="136"/>
    </row>
    <row r="3497" spans="6:14">
      <c r="F3497" s="136" t="s">
        <v>15610</v>
      </c>
      <c r="G3497" s="136">
        <v>3494</v>
      </c>
      <c r="H3497" s="136" t="s">
        <v>15611</v>
      </c>
      <c r="I3497" s="136" t="s">
        <v>15612</v>
      </c>
      <c r="J3497" s="136" t="s">
        <v>15613</v>
      </c>
      <c r="L3497" s="136"/>
      <c r="M3497" s="136"/>
      <c r="N3497" s="136"/>
    </row>
    <row r="3498" spans="6:14">
      <c r="F3498" s="136" t="s">
        <v>15614</v>
      </c>
      <c r="G3498" s="136">
        <v>3495</v>
      </c>
      <c r="H3498" s="136" t="s">
        <v>15615</v>
      </c>
      <c r="I3498" s="136" t="s">
        <v>15616</v>
      </c>
      <c r="J3498" s="136" t="s">
        <v>15617</v>
      </c>
      <c r="L3498" s="136"/>
      <c r="M3498" s="136"/>
      <c r="N3498" s="136"/>
    </row>
    <row r="3499" spans="6:14">
      <c r="F3499" s="136" t="s">
        <v>15618</v>
      </c>
      <c r="G3499" s="136">
        <v>3496</v>
      </c>
      <c r="H3499" s="136" t="s">
        <v>5425</v>
      </c>
      <c r="I3499" s="136" t="s">
        <v>5426</v>
      </c>
      <c r="J3499" s="136" t="s">
        <v>15619</v>
      </c>
      <c r="L3499" s="136"/>
      <c r="M3499" s="136"/>
      <c r="N3499" s="136"/>
    </row>
    <row r="3500" spans="6:14">
      <c r="F3500" s="136" t="s">
        <v>15620</v>
      </c>
      <c r="G3500" s="136">
        <v>3497</v>
      </c>
      <c r="H3500" s="136" t="s">
        <v>15621</v>
      </c>
      <c r="I3500" s="136" t="s">
        <v>15622</v>
      </c>
      <c r="J3500" s="136" t="s">
        <v>15623</v>
      </c>
      <c r="L3500" s="136"/>
      <c r="M3500" s="136"/>
      <c r="N3500" s="136"/>
    </row>
    <row r="3501" spans="6:14">
      <c r="F3501" s="136" t="s">
        <v>15624</v>
      </c>
      <c r="G3501" s="136">
        <v>3498</v>
      </c>
      <c r="H3501" s="136" t="s">
        <v>11878</v>
      </c>
      <c r="I3501" s="136" t="s">
        <v>11878</v>
      </c>
      <c r="J3501" s="136" t="s">
        <v>15625</v>
      </c>
      <c r="L3501" s="136"/>
      <c r="M3501" s="136"/>
      <c r="N3501" s="136"/>
    </row>
    <row r="3502" spans="6:14">
      <c r="F3502" s="136" t="s">
        <v>15626</v>
      </c>
      <c r="G3502" s="136">
        <v>3499</v>
      </c>
      <c r="H3502" s="136" t="s">
        <v>15627</v>
      </c>
      <c r="I3502" s="136" t="s">
        <v>15628</v>
      </c>
      <c r="J3502" s="136" t="s">
        <v>15629</v>
      </c>
      <c r="L3502" s="136"/>
      <c r="M3502" s="136"/>
      <c r="N3502" s="136"/>
    </row>
    <row r="3503" spans="6:14">
      <c r="F3503" s="136" t="s">
        <v>15630</v>
      </c>
      <c r="G3503" s="136">
        <v>3500</v>
      </c>
      <c r="H3503" s="136" t="s">
        <v>3104</v>
      </c>
      <c r="I3503" s="136" t="s">
        <v>3104</v>
      </c>
      <c r="J3503" s="136" t="s">
        <v>15631</v>
      </c>
      <c r="L3503" s="136"/>
      <c r="M3503" s="136"/>
      <c r="N3503" s="136"/>
    </row>
    <row r="3504" spans="6:14">
      <c r="F3504" s="136" t="s">
        <v>15632</v>
      </c>
      <c r="G3504" s="136">
        <v>3501</v>
      </c>
      <c r="H3504" s="136" t="s">
        <v>3934</v>
      </c>
      <c r="I3504" s="136" t="s">
        <v>3935</v>
      </c>
      <c r="J3504" s="136" t="s">
        <v>15633</v>
      </c>
      <c r="L3504" s="136"/>
      <c r="M3504" s="136"/>
      <c r="N3504" s="136"/>
    </row>
    <row r="3505" spans="6:14">
      <c r="F3505" s="136" t="s">
        <v>15634</v>
      </c>
      <c r="G3505" s="136">
        <v>3502</v>
      </c>
      <c r="H3505" s="136" t="s">
        <v>5151</v>
      </c>
      <c r="I3505" s="136" t="s">
        <v>5152</v>
      </c>
      <c r="J3505" s="136" t="s">
        <v>15635</v>
      </c>
      <c r="L3505" s="136"/>
      <c r="M3505" s="136"/>
      <c r="N3505" s="136"/>
    </row>
    <row r="3506" spans="6:14">
      <c r="F3506" s="136" t="s">
        <v>15636</v>
      </c>
      <c r="G3506" s="136">
        <v>3503</v>
      </c>
      <c r="H3506" s="136" t="s">
        <v>6095</v>
      </c>
      <c r="I3506" s="136" t="s">
        <v>6096</v>
      </c>
      <c r="J3506" s="136" t="s">
        <v>15637</v>
      </c>
      <c r="L3506" s="136"/>
      <c r="M3506" s="136"/>
      <c r="N3506" s="136"/>
    </row>
    <row r="3507" spans="6:14">
      <c r="F3507" s="136" t="s">
        <v>15638</v>
      </c>
      <c r="G3507" s="136">
        <v>3504</v>
      </c>
      <c r="H3507" s="136" t="s">
        <v>548</v>
      </c>
      <c r="I3507" s="136" t="s">
        <v>591</v>
      </c>
      <c r="J3507" s="136" t="s">
        <v>15639</v>
      </c>
      <c r="L3507" s="136"/>
      <c r="M3507" s="136"/>
      <c r="N3507" s="136"/>
    </row>
    <row r="3508" spans="6:14">
      <c r="F3508" s="136" t="s">
        <v>15640</v>
      </c>
      <c r="G3508" s="136">
        <v>3505</v>
      </c>
      <c r="H3508" s="136" t="s">
        <v>5495</v>
      </c>
      <c r="I3508" s="136" t="s">
        <v>5496</v>
      </c>
      <c r="J3508" s="136" t="s">
        <v>15641</v>
      </c>
      <c r="L3508" s="136"/>
      <c r="M3508" s="136"/>
      <c r="N3508" s="136"/>
    </row>
    <row r="3509" spans="6:14">
      <c r="F3509" s="136" t="s">
        <v>15642</v>
      </c>
      <c r="G3509" s="136">
        <v>3506</v>
      </c>
      <c r="H3509" s="136" t="s">
        <v>1358</v>
      </c>
      <c r="I3509" s="136" t="s">
        <v>1358</v>
      </c>
      <c r="J3509" s="136" t="s">
        <v>15643</v>
      </c>
      <c r="L3509" s="136"/>
      <c r="M3509" s="136"/>
      <c r="N3509" s="136"/>
    </row>
    <row r="3510" spans="6:14">
      <c r="F3510" s="136" t="s">
        <v>15644</v>
      </c>
      <c r="G3510" s="136">
        <v>3507</v>
      </c>
      <c r="H3510" s="136" t="s">
        <v>2879</v>
      </c>
      <c r="I3510" s="136" t="s">
        <v>2879</v>
      </c>
      <c r="J3510" s="136" t="s">
        <v>15645</v>
      </c>
      <c r="L3510" s="136"/>
      <c r="M3510" s="136"/>
      <c r="N3510" s="136"/>
    </row>
    <row r="3511" spans="6:14">
      <c r="F3511" s="136" t="s">
        <v>15646</v>
      </c>
      <c r="G3511" s="136">
        <v>3508</v>
      </c>
      <c r="H3511" s="136" t="s">
        <v>4344</v>
      </c>
      <c r="I3511" s="136" t="s">
        <v>4344</v>
      </c>
      <c r="J3511" s="136" t="s">
        <v>15647</v>
      </c>
      <c r="L3511" s="136"/>
      <c r="M3511" s="136"/>
      <c r="N3511" s="136"/>
    </row>
    <row r="3512" spans="6:14">
      <c r="F3512" s="136" t="s">
        <v>15648</v>
      </c>
      <c r="G3512" s="136">
        <v>3509</v>
      </c>
      <c r="H3512" s="136" t="s">
        <v>5188</v>
      </c>
      <c r="I3512" s="136" t="s">
        <v>5189</v>
      </c>
      <c r="J3512" s="136" t="s">
        <v>15649</v>
      </c>
      <c r="L3512" s="136"/>
      <c r="M3512" s="136"/>
      <c r="N3512" s="136"/>
    </row>
    <row r="3513" spans="6:14">
      <c r="F3513" s="136" t="s">
        <v>15650</v>
      </c>
      <c r="G3513" s="136">
        <v>3510</v>
      </c>
      <c r="H3513" s="136" t="s">
        <v>15651</v>
      </c>
      <c r="I3513" s="136" t="s">
        <v>15652</v>
      </c>
      <c r="J3513" s="136" t="s">
        <v>15653</v>
      </c>
      <c r="L3513" s="136"/>
      <c r="M3513" s="136"/>
      <c r="N3513" s="136"/>
    </row>
    <row r="3514" spans="6:14">
      <c r="F3514" s="136" t="s">
        <v>15654</v>
      </c>
      <c r="G3514" s="136">
        <v>3511</v>
      </c>
      <c r="H3514" s="136" t="s">
        <v>1220</v>
      </c>
      <c r="I3514" s="136" t="s">
        <v>1221</v>
      </c>
      <c r="J3514" s="136" t="s">
        <v>15655</v>
      </c>
      <c r="L3514" s="136"/>
      <c r="M3514" s="136"/>
      <c r="N3514" s="136"/>
    </row>
    <row r="3515" spans="6:14">
      <c r="F3515" s="136" t="s">
        <v>15656</v>
      </c>
      <c r="G3515" s="136">
        <v>3512</v>
      </c>
      <c r="H3515" s="136" t="s">
        <v>4464</v>
      </c>
      <c r="I3515" s="136" t="s">
        <v>4465</v>
      </c>
      <c r="J3515" s="136" t="s">
        <v>15657</v>
      </c>
      <c r="L3515" s="136"/>
      <c r="M3515" s="136"/>
      <c r="N3515" s="136"/>
    </row>
    <row r="3516" spans="6:14">
      <c r="F3516" s="136" t="s">
        <v>15658</v>
      </c>
      <c r="G3516" s="136">
        <v>3513</v>
      </c>
      <c r="H3516" s="136" t="s">
        <v>2561</v>
      </c>
      <c r="I3516" s="136" t="s">
        <v>2562</v>
      </c>
      <c r="J3516" s="136" t="s">
        <v>15659</v>
      </c>
      <c r="L3516" s="136"/>
      <c r="M3516" s="136"/>
      <c r="N3516" s="136"/>
    </row>
    <row r="3517" spans="6:14">
      <c r="F3517" s="136" t="s">
        <v>15660</v>
      </c>
      <c r="G3517" s="136">
        <v>3514</v>
      </c>
      <c r="H3517" s="136" t="s">
        <v>5852</v>
      </c>
      <c r="I3517" s="136" t="s">
        <v>5853</v>
      </c>
      <c r="J3517" s="136" t="s">
        <v>15661</v>
      </c>
      <c r="L3517" s="136"/>
      <c r="M3517" s="136"/>
      <c r="N3517" s="136"/>
    </row>
    <row r="3518" spans="6:14">
      <c r="F3518" s="136" t="s">
        <v>15662</v>
      </c>
      <c r="G3518" s="136">
        <v>3515</v>
      </c>
      <c r="H3518" s="136" t="s">
        <v>15663</v>
      </c>
      <c r="I3518" s="136" t="s">
        <v>15664</v>
      </c>
      <c r="J3518" s="136" t="s">
        <v>15665</v>
      </c>
      <c r="L3518" s="136"/>
      <c r="M3518" s="136"/>
      <c r="N3518" s="136"/>
    </row>
    <row r="3519" spans="6:14">
      <c r="F3519" s="136" t="s">
        <v>15666</v>
      </c>
      <c r="G3519" s="136">
        <v>3516</v>
      </c>
      <c r="H3519" s="136" t="s">
        <v>2533</v>
      </c>
      <c r="I3519" s="136" t="s">
        <v>2533</v>
      </c>
      <c r="J3519" s="136" t="s">
        <v>15667</v>
      </c>
      <c r="L3519" s="136"/>
      <c r="M3519" s="136"/>
      <c r="N3519" s="136"/>
    </row>
    <row r="3520" spans="6:14">
      <c r="F3520" s="136" t="s">
        <v>15668</v>
      </c>
      <c r="G3520" s="136">
        <v>3517</v>
      </c>
      <c r="H3520" s="136" t="s">
        <v>3430</v>
      </c>
      <c r="I3520" s="136" t="s">
        <v>3432</v>
      </c>
      <c r="J3520" s="136" t="s">
        <v>15669</v>
      </c>
      <c r="L3520" s="136"/>
      <c r="M3520" s="136"/>
      <c r="N3520" s="136"/>
    </row>
    <row r="3521" spans="6:14">
      <c r="F3521" s="136" t="s">
        <v>15670</v>
      </c>
      <c r="G3521" s="136">
        <v>3518</v>
      </c>
      <c r="H3521" s="136" t="s">
        <v>15671</v>
      </c>
      <c r="I3521" s="136" t="s">
        <v>15672</v>
      </c>
      <c r="J3521" s="136" t="s">
        <v>15673</v>
      </c>
      <c r="L3521" s="136"/>
      <c r="M3521" s="136"/>
      <c r="N3521" s="136"/>
    </row>
    <row r="3522" spans="6:14">
      <c r="F3522" s="136" t="s">
        <v>15674</v>
      </c>
      <c r="G3522" s="136">
        <v>3519</v>
      </c>
      <c r="H3522" s="136" t="s">
        <v>1518</v>
      </c>
      <c r="I3522" s="136" t="s">
        <v>1519</v>
      </c>
      <c r="J3522" s="136" t="s">
        <v>15675</v>
      </c>
      <c r="L3522" s="136"/>
      <c r="M3522" s="136"/>
      <c r="N3522" s="136"/>
    </row>
    <row r="3523" spans="6:14">
      <c r="F3523" s="136" t="s">
        <v>15676</v>
      </c>
      <c r="G3523" s="136">
        <v>3520</v>
      </c>
      <c r="H3523" s="136" t="s">
        <v>15677</v>
      </c>
      <c r="I3523" s="136" t="s">
        <v>15678</v>
      </c>
      <c r="J3523" s="136" t="s">
        <v>15679</v>
      </c>
      <c r="L3523" s="136"/>
      <c r="M3523" s="136"/>
      <c r="N3523" s="136"/>
    </row>
    <row r="3524" spans="6:14">
      <c r="F3524" s="136" t="s">
        <v>15680</v>
      </c>
      <c r="G3524" s="136">
        <v>3521</v>
      </c>
      <c r="H3524" s="136" t="s">
        <v>15681</v>
      </c>
      <c r="I3524" s="136" t="s">
        <v>15682</v>
      </c>
      <c r="J3524" s="136" t="s">
        <v>15683</v>
      </c>
      <c r="L3524" s="136"/>
      <c r="M3524" s="136"/>
      <c r="N3524" s="136"/>
    </row>
    <row r="3525" spans="6:14">
      <c r="F3525" s="136" t="s">
        <v>15684</v>
      </c>
      <c r="G3525" s="136">
        <v>3522</v>
      </c>
      <c r="H3525" s="136" t="s">
        <v>6104</v>
      </c>
      <c r="I3525" s="136" t="s">
        <v>6105</v>
      </c>
      <c r="J3525" s="136" t="s">
        <v>15685</v>
      </c>
      <c r="L3525" s="136"/>
      <c r="M3525" s="136"/>
      <c r="N3525" s="136"/>
    </row>
    <row r="3526" spans="6:14">
      <c r="F3526" s="136" t="s">
        <v>15686</v>
      </c>
      <c r="G3526" s="136">
        <v>3523</v>
      </c>
      <c r="H3526" s="136" t="s">
        <v>15687</v>
      </c>
      <c r="I3526" s="136" t="s">
        <v>15688</v>
      </c>
      <c r="J3526" s="136" t="s">
        <v>15689</v>
      </c>
      <c r="L3526" s="136"/>
      <c r="M3526" s="136"/>
      <c r="N3526" s="136"/>
    </row>
    <row r="3527" spans="6:14">
      <c r="F3527" s="136" t="s">
        <v>15690</v>
      </c>
      <c r="G3527" s="136">
        <v>3524</v>
      </c>
      <c r="H3527" s="136" t="s">
        <v>5529</v>
      </c>
      <c r="I3527" s="136" t="s">
        <v>5529</v>
      </c>
      <c r="J3527" s="136" t="s">
        <v>15691</v>
      </c>
      <c r="L3527" s="136"/>
      <c r="M3527" s="136"/>
      <c r="N3527" s="136"/>
    </row>
    <row r="3528" spans="6:14">
      <c r="F3528" s="136" t="s">
        <v>15692</v>
      </c>
      <c r="G3528" s="136">
        <v>3525</v>
      </c>
      <c r="H3528" s="136" t="s">
        <v>2993</v>
      </c>
      <c r="I3528" s="136" t="s">
        <v>2993</v>
      </c>
      <c r="J3528" s="136" t="s">
        <v>15693</v>
      </c>
      <c r="L3528" s="136"/>
      <c r="M3528" s="136"/>
      <c r="N3528" s="136"/>
    </row>
    <row r="3529" spans="6:14">
      <c r="F3529" s="136" t="s">
        <v>15694</v>
      </c>
      <c r="G3529" s="136">
        <v>3526</v>
      </c>
      <c r="H3529" s="136" t="s">
        <v>2568</v>
      </c>
      <c r="I3529" s="136" t="s">
        <v>2568</v>
      </c>
      <c r="J3529" s="136" t="s">
        <v>15695</v>
      </c>
      <c r="L3529" s="136"/>
      <c r="M3529" s="136"/>
      <c r="N3529" s="136"/>
    </row>
    <row r="3530" spans="6:14">
      <c r="F3530" s="136" t="s">
        <v>15696</v>
      </c>
      <c r="G3530" s="136">
        <v>3527</v>
      </c>
      <c r="H3530" s="136" t="s">
        <v>5680</v>
      </c>
      <c r="I3530" s="136" t="s">
        <v>5680</v>
      </c>
      <c r="J3530" s="136" t="s">
        <v>15697</v>
      </c>
      <c r="L3530" s="136"/>
      <c r="M3530" s="136"/>
      <c r="N3530" s="136"/>
    </row>
    <row r="3531" spans="6:14">
      <c r="F3531" s="136" t="s">
        <v>15698</v>
      </c>
      <c r="G3531" s="136">
        <v>3528</v>
      </c>
      <c r="H3531" s="136" t="s">
        <v>5718</v>
      </c>
      <c r="I3531" s="136" t="s">
        <v>5718</v>
      </c>
      <c r="J3531" s="136" t="s">
        <v>15699</v>
      </c>
      <c r="L3531" s="136"/>
      <c r="M3531" s="136"/>
      <c r="N3531" s="136"/>
    </row>
    <row r="3532" spans="6:14">
      <c r="F3532" s="136" t="s">
        <v>15700</v>
      </c>
      <c r="G3532" s="136">
        <v>3529</v>
      </c>
      <c r="H3532" s="136" t="s">
        <v>15701</v>
      </c>
      <c r="I3532" s="136" t="s">
        <v>15702</v>
      </c>
      <c r="J3532" s="136" t="s">
        <v>15703</v>
      </c>
      <c r="L3532" s="136"/>
      <c r="M3532" s="136"/>
      <c r="N3532" s="136"/>
    </row>
    <row r="3533" spans="6:14">
      <c r="F3533" s="136" t="s">
        <v>15704</v>
      </c>
      <c r="G3533" s="136">
        <v>3530</v>
      </c>
      <c r="H3533" s="136" t="s">
        <v>1075</v>
      </c>
      <c r="I3533" s="136" t="s">
        <v>1076</v>
      </c>
      <c r="J3533" s="136" t="s">
        <v>15705</v>
      </c>
      <c r="L3533" s="136"/>
      <c r="M3533" s="136"/>
      <c r="N3533" s="136"/>
    </row>
    <row r="3534" spans="6:14">
      <c r="F3534" s="136" t="s">
        <v>15706</v>
      </c>
      <c r="G3534" s="136">
        <v>3531</v>
      </c>
      <c r="H3534" s="136" t="s">
        <v>2551</v>
      </c>
      <c r="I3534" s="136" t="s">
        <v>2552</v>
      </c>
      <c r="J3534" s="136" t="s">
        <v>15707</v>
      </c>
      <c r="L3534" s="136"/>
      <c r="M3534" s="136"/>
      <c r="N3534" s="136"/>
    </row>
    <row r="3535" spans="6:14">
      <c r="F3535" s="136" t="s">
        <v>15708</v>
      </c>
      <c r="G3535" s="136">
        <v>3532</v>
      </c>
      <c r="H3535" s="136" t="s">
        <v>976</v>
      </c>
      <c r="I3535" s="136" t="s">
        <v>977</v>
      </c>
      <c r="J3535" s="136" t="s">
        <v>15709</v>
      </c>
      <c r="L3535" s="136"/>
      <c r="M3535" s="136"/>
      <c r="N3535" s="136"/>
    </row>
    <row r="3536" spans="6:14">
      <c r="F3536" s="136" t="s">
        <v>15710</v>
      </c>
      <c r="G3536" s="136">
        <v>3533</v>
      </c>
      <c r="H3536" s="136" t="s">
        <v>5085</v>
      </c>
      <c r="I3536" s="136" t="s">
        <v>5085</v>
      </c>
      <c r="J3536" s="136" t="s">
        <v>15711</v>
      </c>
      <c r="L3536" s="136"/>
      <c r="M3536" s="136"/>
      <c r="N3536" s="136"/>
    </row>
    <row r="3537" spans="6:14">
      <c r="F3537" s="136" t="s">
        <v>15712</v>
      </c>
      <c r="G3537" s="136">
        <v>3534</v>
      </c>
      <c r="H3537" s="136" t="s">
        <v>15713</v>
      </c>
      <c r="I3537" s="136" t="s">
        <v>15714</v>
      </c>
      <c r="J3537" s="136" t="s">
        <v>15715</v>
      </c>
      <c r="L3537" s="136"/>
      <c r="M3537" s="136"/>
      <c r="N3537" s="136"/>
    </row>
    <row r="3538" spans="6:14">
      <c r="F3538" s="136" t="s">
        <v>15716</v>
      </c>
      <c r="G3538" s="136">
        <v>3535</v>
      </c>
      <c r="H3538" s="136" t="s">
        <v>15717</v>
      </c>
      <c r="I3538" s="136" t="s">
        <v>15718</v>
      </c>
      <c r="J3538" s="136" t="s">
        <v>15719</v>
      </c>
      <c r="L3538" s="136"/>
      <c r="M3538" s="136"/>
      <c r="N3538" s="136"/>
    </row>
    <row r="3539" spans="6:14">
      <c r="F3539" s="136" t="s">
        <v>15720</v>
      </c>
      <c r="G3539" s="136">
        <v>3536</v>
      </c>
      <c r="H3539" s="136" t="s">
        <v>15721</v>
      </c>
      <c r="I3539" s="136" t="s">
        <v>15722</v>
      </c>
      <c r="J3539" s="136" t="s">
        <v>15723</v>
      </c>
      <c r="L3539" s="136"/>
      <c r="M3539" s="136"/>
      <c r="N3539" s="136"/>
    </row>
    <row r="3540" spans="6:14">
      <c r="F3540" s="136" t="s">
        <v>15724</v>
      </c>
      <c r="G3540" s="136">
        <v>3537</v>
      </c>
      <c r="H3540" s="136" t="s">
        <v>2056</v>
      </c>
      <c r="I3540" s="136" t="s">
        <v>2057</v>
      </c>
      <c r="J3540" s="136" t="s">
        <v>15725</v>
      </c>
      <c r="L3540" s="136"/>
      <c r="M3540" s="136"/>
      <c r="N3540" s="136"/>
    </row>
    <row r="3541" spans="6:14">
      <c r="F3541" s="136" t="s">
        <v>15726</v>
      </c>
      <c r="G3541" s="136">
        <v>3538</v>
      </c>
      <c r="H3541" s="136" t="s">
        <v>15727</v>
      </c>
      <c r="I3541" s="136" t="s">
        <v>15728</v>
      </c>
      <c r="J3541" s="136" t="s">
        <v>15729</v>
      </c>
      <c r="L3541" s="136"/>
      <c r="M3541" s="136"/>
      <c r="N3541" s="136"/>
    </row>
    <row r="3542" spans="6:14">
      <c r="F3542" s="136" t="s">
        <v>15730</v>
      </c>
      <c r="G3542" s="136">
        <v>3539</v>
      </c>
      <c r="H3542" s="136" t="s">
        <v>6089</v>
      </c>
      <c r="I3542" s="136" t="s">
        <v>6090</v>
      </c>
      <c r="J3542" s="136" t="s">
        <v>15731</v>
      </c>
      <c r="L3542" s="136"/>
      <c r="M3542" s="136"/>
      <c r="N3542" s="136"/>
    </row>
    <row r="3543" spans="6:14">
      <c r="F3543" s="136" t="s">
        <v>15732</v>
      </c>
      <c r="G3543" s="136">
        <v>3540</v>
      </c>
      <c r="H3543" s="136" t="s">
        <v>2044</v>
      </c>
      <c r="I3543" s="136" t="s">
        <v>2045</v>
      </c>
      <c r="J3543" s="136" t="s">
        <v>15733</v>
      </c>
      <c r="L3543" s="136"/>
      <c r="M3543" s="136"/>
      <c r="N3543" s="136"/>
    </row>
    <row r="3544" spans="6:14">
      <c r="F3544" s="136" t="s">
        <v>15734</v>
      </c>
      <c r="G3544" s="136">
        <v>3541</v>
      </c>
      <c r="H3544" s="136" t="s">
        <v>2242</v>
      </c>
      <c r="I3544" s="136" t="s">
        <v>2242</v>
      </c>
      <c r="J3544" s="136" t="s">
        <v>15735</v>
      </c>
      <c r="L3544" s="136"/>
      <c r="M3544" s="136"/>
      <c r="N3544" s="136"/>
    </row>
    <row r="3545" spans="6:14">
      <c r="F3545" s="136" t="s">
        <v>15736</v>
      </c>
      <c r="G3545" s="136">
        <v>3542</v>
      </c>
      <c r="H3545" s="136" t="s">
        <v>15737</v>
      </c>
      <c r="I3545" s="136" t="s">
        <v>15738</v>
      </c>
      <c r="J3545" s="136" t="s">
        <v>15739</v>
      </c>
      <c r="L3545" s="136"/>
      <c r="M3545" s="136"/>
      <c r="N3545" s="136"/>
    </row>
    <row r="3546" spans="6:14">
      <c r="F3546" s="136" t="s">
        <v>15740</v>
      </c>
      <c r="G3546" s="136">
        <v>3543</v>
      </c>
      <c r="H3546" s="136" t="s">
        <v>863</v>
      </c>
      <c r="I3546" s="136" t="s">
        <v>864</v>
      </c>
      <c r="J3546" s="136" t="s">
        <v>15741</v>
      </c>
      <c r="L3546" s="136"/>
      <c r="M3546" s="136"/>
      <c r="N3546" s="136"/>
    </row>
    <row r="3547" spans="6:14">
      <c r="F3547" s="136" t="s">
        <v>15742</v>
      </c>
      <c r="G3547" s="136">
        <v>3544</v>
      </c>
      <c r="H3547" s="136" t="s">
        <v>3130</v>
      </c>
      <c r="I3547" s="136" t="s">
        <v>3131</v>
      </c>
      <c r="J3547" s="136" t="s">
        <v>15743</v>
      </c>
      <c r="L3547" s="136"/>
      <c r="M3547" s="136"/>
      <c r="N3547" s="136"/>
    </row>
    <row r="3548" spans="6:14">
      <c r="F3548" s="136" t="s">
        <v>15744</v>
      </c>
      <c r="G3548" s="136">
        <v>3545</v>
      </c>
      <c r="H3548" s="136" t="s">
        <v>15745</v>
      </c>
      <c r="I3548" s="136" t="s">
        <v>15746</v>
      </c>
      <c r="J3548" s="136" t="s">
        <v>15747</v>
      </c>
      <c r="L3548" s="136"/>
      <c r="M3548" s="136"/>
      <c r="N3548" s="136"/>
    </row>
    <row r="3549" spans="6:14">
      <c r="F3549" s="136" t="s">
        <v>15748</v>
      </c>
      <c r="G3549" s="136">
        <v>3546</v>
      </c>
      <c r="H3549" s="136" t="s">
        <v>3735</v>
      </c>
      <c r="I3549" s="136" t="s">
        <v>3735</v>
      </c>
      <c r="J3549" s="136" t="s">
        <v>15749</v>
      </c>
      <c r="L3549" s="136"/>
      <c r="M3549" s="136"/>
      <c r="N3549" s="136"/>
    </row>
    <row r="3550" spans="6:14">
      <c r="F3550" s="136" t="s">
        <v>15750</v>
      </c>
      <c r="G3550" s="136">
        <v>3547</v>
      </c>
      <c r="H3550" s="136" t="s">
        <v>4039</v>
      </c>
      <c r="I3550" s="136" t="s">
        <v>4039</v>
      </c>
      <c r="J3550" s="136" t="s">
        <v>15751</v>
      </c>
      <c r="L3550" s="136"/>
      <c r="M3550" s="136"/>
      <c r="N3550" s="136"/>
    </row>
    <row r="3551" spans="6:14">
      <c r="F3551" s="136" t="s">
        <v>15752</v>
      </c>
      <c r="G3551" s="136">
        <v>3548</v>
      </c>
      <c r="H3551" s="136" t="s">
        <v>3291</v>
      </c>
      <c r="I3551" s="136" t="s">
        <v>3292</v>
      </c>
      <c r="J3551" s="136" t="s">
        <v>15753</v>
      </c>
      <c r="L3551" s="136"/>
      <c r="M3551" s="136"/>
      <c r="N3551" s="136"/>
    </row>
    <row r="3552" spans="6:14">
      <c r="F3552" s="136" t="s">
        <v>15754</v>
      </c>
      <c r="G3552" s="136">
        <v>3549</v>
      </c>
      <c r="H3552" s="136" t="s">
        <v>2534</v>
      </c>
      <c r="I3552" s="136" t="s">
        <v>2535</v>
      </c>
      <c r="J3552" s="136" t="s">
        <v>15755</v>
      </c>
      <c r="L3552" s="136"/>
      <c r="M3552" s="136"/>
      <c r="N3552" s="136"/>
    </row>
    <row r="3553" spans="6:14">
      <c r="F3553" s="136" t="s">
        <v>15756</v>
      </c>
      <c r="G3553" s="136">
        <v>3550</v>
      </c>
      <c r="H3553" s="136" t="s">
        <v>89</v>
      </c>
      <c r="I3553" s="136" t="s">
        <v>90</v>
      </c>
      <c r="J3553" s="136" t="s">
        <v>15757</v>
      </c>
      <c r="L3553" s="136"/>
      <c r="M3553" s="136"/>
      <c r="N3553" s="136"/>
    </row>
    <row r="3554" spans="6:14">
      <c r="F3554" s="136" t="s">
        <v>15758</v>
      </c>
      <c r="G3554" s="136">
        <v>3551</v>
      </c>
      <c r="H3554" s="136" t="s">
        <v>1244</v>
      </c>
      <c r="I3554" s="136" t="s">
        <v>1245</v>
      </c>
      <c r="J3554" s="136" t="s">
        <v>15759</v>
      </c>
      <c r="L3554" s="136"/>
      <c r="M3554" s="136"/>
      <c r="N3554" s="136"/>
    </row>
    <row r="3555" spans="6:14">
      <c r="F3555" s="136" t="s">
        <v>15760</v>
      </c>
      <c r="G3555" s="136">
        <v>3552</v>
      </c>
      <c r="H3555" s="136" t="s">
        <v>3327</v>
      </c>
      <c r="I3555" s="136" t="s">
        <v>3328</v>
      </c>
      <c r="J3555" s="136" t="s">
        <v>15761</v>
      </c>
      <c r="L3555" s="136"/>
      <c r="M3555" s="136"/>
      <c r="N3555" s="136"/>
    </row>
    <row r="3556" spans="6:14">
      <c r="F3556" s="136" t="s">
        <v>15762</v>
      </c>
      <c r="G3556" s="136">
        <v>3553</v>
      </c>
      <c r="H3556" s="136" t="s">
        <v>15763</v>
      </c>
      <c r="I3556" s="136" t="s">
        <v>15764</v>
      </c>
      <c r="J3556" s="136" t="s">
        <v>15765</v>
      </c>
      <c r="L3556" s="136"/>
      <c r="M3556" s="136"/>
      <c r="N3556" s="136"/>
    </row>
    <row r="3557" spans="6:14">
      <c r="F3557" s="136" t="s">
        <v>15766</v>
      </c>
      <c r="G3557" s="136">
        <v>3554</v>
      </c>
      <c r="H3557" s="136" t="s">
        <v>675</v>
      </c>
      <c r="I3557" s="136" t="s">
        <v>676</v>
      </c>
      <c r="J3557" s="136" t="s">
        <v>15767</v>
      </c>
      <c r="L3557" s="136"/>
      <c r="M3557" s="136"/>
      <c r="N3557" s="136"/>
    </row>
    <row r="3558" spans="6:14">
      <c r="F3558" s="136" t="s">
        <v>15768</v>
      </c>
      <c r="G3558" s="136">
        <v>3555</v>
      </c>
      <c r="H3558" s="136" t="s">
        <v>4697</v>
      </c>
      <c r="I3558" s="136" t="s">
        <v>4698</v>
      </c>
      <c r="J3558" s="136" t="s">
        <v>15769</v>
      </c>
      <c r="L3558" s="136"/>
      <c r="M3558" s="136"/>
      <c r="N3558" s="136"/>
    </row>
    <row r="3559" spans="6:14">
      <c r="F3559" s="136" t="s">
        <v>15770</v>
      </c>
      <c r="G3559" s="136">
        <v>3556</v>
      </c>
      <c r="H3559" s="136" t="s">
        <v>4596</v>
      </c>
      <c r="I3559" s="136" t="s">
        <v>4597</v>
      </c>
      <c r="J3559" s="136" t="s">
        <v>15771</v>
      </c>
      <c r="L3559" s="136"/>
      <c r="M3559" s="136"/>
      <c r="N3559" s="136"/>
    </row>
    <row r="3560" spans="6:14">
      <c r="F3560" s="136" t="s">
        <v>15772</v>
      </c>
      <c r="G3560" s="136">
        <v>3557</v>
      </c>
      <c r="H3560" s="136" t="s">
        <v>4034</v>
      </c>
      <c r="I3560" s="136" t="s">
        <v>4034</v>
      </c>
      <c r="J3560" s="136" t="s">
        <v>15773</v>
      </c>
      <c r="L3560" s="136"/>
      <c r="M3560" s="136"/>
      <c r="N3560" s="136"/>
    </row>
    <row r="3561" spans="6:14">
      <c r="F3561" s="136" t="s">
        <v>15774</v>
      </c>
      <c r="G3561" s="136">
        <v>3558</v>
      </c>
      <c r="H3561" s="136" t="s">
        <v>15775</v>
      </c>
      <c r="I3561" s="136" t="s">
        <v>15776</v>
      </c>
      <c r="J3561" s="136" t="s">
        <v>15777</v>
      </c>
      <c r="L3561" s="136"/>
      <c r="M3561" s="136"/>
      <c r="N3561" s="136"/>
    </row>
    <row r="3562" spans="6:14">
      <c r="F3562" s="136" t="s">
        <v>15778</v>
      </c>
      <c r="G3562" s="136">
        <v>3559</v>
      </c>
      <c r="H3562" s="136" t="s">
        <v>15779</v>
      </c>
      <c r="I3562" s="136" t="s">
        <v>15780</v>
      </c>
      <c r="J3562" s="136" t="s">
        <v>15781</v>
      </c>
      <c r="L3562" s="136"/>
      <c r="M3562" s="136"/>
      <c r="N3562" s="136"/>
    </row>
    <row r="3563" spans="6:14">
      <c r="F3563" s="136" t="s">
        <v>15782</v>
      </c>
      <c r="G3563" s="136">
        <v>3560</v>
      </c>
      <c r="H3563" s="136" t="s">
        <v>6132</v>
      </c>
      <c r="I3563" s="136" t="s">
        <v>6133</v>
      </c>
      <c r="J3563" s="136" t="s">
        <v>15783</v>
      </c>
      <c r="L3563" s="136"/>
      <c r="M3563" s="136"/>
      <c r="N3563" s="136"/>
    </row>
    <row r="3564" spans="6:14">
      <c r="F3564" s="136" t="s">
        <v>15784</v>
      </c>
      <c r="G3564" s="136">
        <v>3561</v>
      </c>
      <c r="H3564" s="136" t="s">
        <v>15785</v>
      </c>
      <c r="I3564" s="136" t="s">
        <v>15786</v>
      </c>
      <c r="J3564" s="136" t="s">
        <v>15787</v>
      </c>
      <c r="L3564" s="136"/>
      <c r="M3564" s="136"/>
      <c r="N3564" s="136"/>
    </row>
    <row r="3565" spans="6:14">
      <c r="F3565" s="136" t="s">
        <v>15788</v>
      </c>
      <c r="G3565" s="136">
        <v>3562</v>
      </c>
      <c r="H3565" s="136" t="s">
        <v>15789</v>
      </c>
      <c r="I3565" s="136" t="s">
        <v>15790</v>
      </c>
      <c r="J3565" s="136" t="s">
        <v>15791</v>
      </c>
      <c r="L3565" s="136"/>
      <c r="M3565" s="136"/>
      <c r="N3565" s="136"/>
    </row>
    <row r="3566" spans="6:14">
      <c r="F3566" s="136" t="s">
        <v>15792</v>
      </c>
      <c r="G3566" s="136">
        <v>3563</v>
      </c>
      <c r="H3566" s="136" t="s">
        <v>640</v>
      </c>
      <c r="I3566" s="136" t="s">
        <v>641</v>
      </c>
      <c r="J3566" s="136" t="s">
        <v>15793</v>
      </c>
      <c r="L3566" s="136"/>
      <c r="M3566" s="136"/>
      <c r="N3566" s="136"/>
    </row>
    <row r="3567" spans="6:14">
      <c r="F3567" s="136" t="s">
        <v>15794</v>
      </c>
      <c r="G3567" s="136">
        <v>3564</v>
      </c>
      <c r="H3567" s="136" t="s">
        <v>5739</v>
      </c>
      <c r="I3567" s="136" t="s">
        <v>5739</v>
      </c>
      <c r="J3567" s="136" t="s">
        <v>15795</v>
      </c>
      <c r="L3567" s="136"/>
      <c r="M3567" s="136"/>
      <c r="N3567" s="136"/>
    </row>
    <row r="3568" spans="6:14">
      <c r="F3568" s="136" t="s">
        <v>15796</v>
      </c>
      <c r="G3568" s="136">
        <v>3565</v>
      </c>
      <c r="H3568" s="136" t="s">
        <v>15797</v>
      </c>
      <c r="I3568" s="136" t="s">
        <v>15798</v>
      </c>
      <c r="J3568" s="136" t="s">
        <v>15799</v>
      </c>
      <c r="L3568" s="136"/>
      <c r="M3568" s="136"/>
      <c r="N3568" s="136"/>
    </row>
    <row r="3569" spans="6:14">
      <c r="F3569" s="136" t="s">
        <v>15800</v>
      </c>
      <c r="G3569" s="136">
        <v>10369625714</v>
      </c>
      <c r="H3569" s="136" t="s">
        <v>5742</v>
      </c>
      <c r="I3569" s="136" t="s">
        <v>5743</v>
      </c>
      <c r="J3569" s="136" t="s">
        <v>15801</v>
      </c>
      <c r="L3569" s="136"/>
      <c r="M3569" s="136"/>
      <c r="N3569" s="136"/>
    </row>
    <row r="3570" spans="6:14">
      <c r="F3570" s="136" t="s">
        <v>15802</v>
      </c>
      <c r="G3570" s="136">
        <v>28662620850</v>
      </c>
      <c r="H3570" s="136" t="s">
        <v>5281</v>
      </c>
      <c r="I3570" s="136" t="s">
        <v>5281</v>
      </c>
      <c r="J3570" s="136" t="s">
        <v>15803</v>
      </c>
      <c r="L3570" s="136"/>
      <c r="M3570" s="136"/>
      <c r="N3570" s="136"/>
    </row>
    <row r="3571" spans="6:14">
      <c r="F3571" s="136" t="s">
        <v>15804</v>
      </c>
      <c r="G3571" s="136">
        <v>89815483404</v>
      </c>
      <c r="H3571" s="136" t="s">
        <v>3022</v>
      </c>
      <c r="I3571" s="136" t="s">
        <v>3022</v>
      </c>
      <c r="J3571" s="136" t="s">
        <v>15805</v>
      </c>
      <c r="L3571" s="136"/>
      <c r="M3571" s="136"/>
      <c r="N3571" s="136"/>
    </row>
    <row r="3572" spans="6:14">
      <c r="F3572" s="136" t="s">
        <v>15806</v>
      </c>
      <c r="G3572" s="136">
        <v>11222341719</v>
      </c>
      <c r="H3572" s="136" t="s">
        <v>2201</v>
      </c>
      <c r="I3572" s="136" t="s">
        <v>2201</v>
      </c>
      <c r="J3572" s="136" t="s">
        <v>15807</v>
      </c>
      <c r="L3572" s="136"/>
      <c r="M3572" s="136"/>
      <c r="N3572" s="136"/>
    </row>
    <row r="3573" spans="6:14">
      <c r="F3573" s="136" t="s">
        <v>15808</v>
      </c>
      <c r="G3573" s="136">
        <v>8174360735</v>
      </c>
      <c r="H3573" s="136" t="s">
        <v>368</v>
      </c>
      <c r="I3573" s="136" t="s">
        <v>368</v>
      </c>
      <c r="J3573" s="136" t="s">
        <v>15809</v>
      </c>
      <c r="L3573" s="136"/>
      <c r="M3573" s="136"/>
      <c r="N3573" s="136"/>
    </row>
    <row r="3574" spans="6:14">
      <c r="F3574" s="136" t="s">
        <v>15810</v>
      </c>
      <c r="G3574" s="136">
        <v>10298351790</v>
      </c>
      <c r="H3574" s="136" t="s">
        <v>1593</v>
      </c>
      <c r="I3574" s="136" t="s">
        <v>1593</v>
      </c>
      <c r="J3574" s="136" t="s">
        <v>15811</v>
      </c>
      <c r="L3574" s="136"/>
      <c r="M3574" s="136"/>
      <c r="N3574" s="136"/>
    </row>
    <row r="3575" spans="6:14">
      <c r="F3575" s="136" t="s">
        <v>15812</v>
      </c>
      <c r="G3575" s="136">
        <v>3572</v>
      </c>
      <c r="H3575" s="136" t="s">
        <v>1649</v>
      </c>
      <c r="I3575" s="136" t="s">
        <v>1650</v>
      </c>
      <c r="J3575" s="136" t="s">
        <v>15813</v>
      </c>
      <c r="L3575" s="136"/>
      <c r="M3575" s="136"/>
      <c r="N3575" s="136"/>
    </row>
    <row r="3576" spans="6:14">
      <c r="F3576" s="136" t="s">
        <v>15814</v>
      </c>
      <c r="G3576" s="136">
        <v>3573</v>
      </c>
      <c r="H3576" s="136" t="s">
        <v>4258</v>
      </c>
      <c r="I3576" s="136" t="s">
        <v>4259</v>
      </c>
      <c r="J3576" s="136" t="s">
        <v>15815</v>
      </c>
      <c r="L3576" s="136"/>
      <c r="M3576" s="136"/>
      <c r="N3576" s="136"/>
    </row>
    <row r="3577" spans="6:14">
      <c r="F3577" s="136" t="s">
        <v>15816</v>
      </c>
      <c r="G3577" s="136">
        <v>3574</v>
      </c>
      <c r="H3577" s="136" t="s">
        <v>3994</v>
      </c>
      <c r="I3577" s="136" t="s">
        <v>3994</v>
      </c>
      <c r="J3577" s="136" t="s">
        <v>15817</v>
      </c>
      <c r="L3577" s="136"/>
      <c r="M3577" s="136"/>
      <c r="N3577" s="136"/>
    </row>
    <row r="3578" spans="6:14">
      <c r="F3578" s="136" t="s">
        <v>15818</v>
      </c>
      <c r="G3578" s="136">
        <v>186380747</v>
      </c>
      <c r="H3578" s="136" t="s">
        <v>3920</v>
      </c>
      <c r="I3578" s="136" t="s">
        <v>3920</v>
      </c>
      <c r="J3578" s="136" t="s">
        <v>15819</v>
      </c>
      <c r="L3578" s="136"/>
      <c r="M3578" s="136"/>
      <c r="N3578" s="136"/>
    </row>
    <row r="3579" spans="6:14">
      <c r="F3579" s="136" t="s">
        <v>15820</v>
      </c>
      <c r="G3579" s="136">
        <v>3576</v>
      </c>
      <c r="H3579" s="136" t="s">
        <v>3218</v>
      </c>
      <c r="I3579" s="136" t="s">
        <v>3218</v>
      </c>
      <c r="J3579" s="136" t="s">
        <v>15821</v>
      </c>
      <c r="L3579" s="136"/>
      <c r="M3579" s="136"/>
      <c r="N3579" s="136"/>
    </row>
    <row r="3580" spans="6:14">
      <c r="F3580" s="136" t="s">
        <v>15822</v>
      </c>
      <c r="G3580" s="136">
        <v>3577</v>
      </c>
      <c r="H3580" s="136" t="s">
        <v>3076</v>
      </c>
      <c r="I3580" s="136" t="s">
        <v>3076</v>
      </c>
      <c r="J3580" s="136" t="s">
        <v>15823</v>
      </c>
      <c r="L3580" s="136"/>
      <c r="M3580" s="136"/>
      <c r="N3580" s="136"/>
    </row>
    <row r="3581" spans="6:14">
      <c r="F3581" s="136" t="s">
        <v>15824</v>
      </c>
      <c r="G3581" s="136">
        <v>3578</v>
      </c>
      <c r="H3581" s="136" t="s">
        <v>4602</v>
      </c>
      <c r="I3581" s="136" t="s">
        <v>4602</v>
      </c>
      <c r="J3581" s="136" t="s">
        <v>15825</v>
      </c>
      <c r="L3581" s="136"/>
      <c r="M3581" s="136"/>
      <c r="N3581" s="136"/>
    </row>
    <row r="3582" spans="6:14">
      <c r="F3582" s="136" t="s">
        <v>15826</v>
      </c>
      <c r="G3582" s="136">
        <v>3579</v>
      </c>
      <c r="H3582" s="136" t="s">
        <v>175</v>
      </c>
      <c r="I3582" s="136" t="s">
        <v>175</v>
      </c>
      <c r="J3582" s="136" t="s">
        <v>15827</v>
      </c>
      <c r="L3582" s="136"/>
      <c r="M3582" s="136"/>
      <c r="N3582" s="136"/>
    </row>
    <row r="3583" spans="6:14">
      <c r="F3583" s="136" t="s">
        <v>15828</v>
      </c>
      <c r="G3583" s="136">
        <v>3580</v>
      </c>
      <c r="H3583" s="136" t="s">
        <v>2083</v>
      </c>
      <c r="I3583" s="136" t="s">
        <v>2083</v>
      </c>
      <c r="J3583" s="136" t="s">
        <v>15829</v>
      </c>
      <c r="L3583" s="136"/>
      <c r="M3583" s="136"/>
      <c r="N3583" s="136"/>
    </row>
    <row r="3584" spans="6:14">
      <c r="F3584" s="136" t="s">
        <v>15830</v>
      </c>
      <c r="G3584" s="136">
        <v>3581</v>
      </c>
      <c r="H3584" s="136" t="s">
        <v>4523</v>
      </c>
      <c r="I3584" s="136" t="s">
        <v>4524</v>
      </c>
      <c r="J3584" s="136" t="s">
        <v>15831</v>
      </c>
      <c r="L3584" s="136"/>
      <c r="M3584" s="136"/>
      <c r="N3584" s="136"/>
    </row>
    <row r="3585" spans="6:14">
      <c r="F3585" s="136" t="s">
        <v>15832</v>
      </c>
      <c r="G3585" s="136">
        <v>2893338739</v>
      </c>
      <c r="H3585" s="136" t="s">
        <v>5315</v>
      </c>
      <c r="I3585" s="136" t="s">
        <v>5316</v>
      </c>
      <c r="J3585" s="136" t="s">
        <v>15833</v>
      </c>
      <c r="L3585" s="136"/>
      <c r="M3585" s="136"/>
      <c r="N3585" s="136"/>
    </row>
    <row r="3586" spans="6:14">
      <c r="F3586" s="136" t="s">
        <v>15834</v>
      </c>
      <c r="G3586" s="136">
        <v>3583</v>
      </c>
      <c r="H3586" s="136" t="s">
        <v>5467</v>
      </c>
      <c r="I3586" s="136" t="s">
        <v>5468</v>
      </c>
      <c r="J3586" s="136" t="s">
        <v>15835</v>
      </c>
      <c r="L3586" s="136"/>
      <c r="M3586" s="136"/>
      <c r="N3586" s="136"/>
    </row>
    <row r="3587" spans="6:14">
      <c r="F3587" s="136" t="s">
        <v>15836</v>
      </c>
      <c r="G3587" s="136">
        <v>3584</v>
      </c>
      <c r="H3587" s="136" t="s">
        <v>1253</v>
      </c>
      <c r="I3587" s="136" t="s">
        <v>1253</v>
      </c>
      <c r="J3587" s="136" t="s">
        <v>15837</v>
      </c>
      <c r="L3587" s="136"/>
      <c r="M3587" s="136"/>
      <c r="N3587" s="136"/>
    </row>
    <row r="3588" spans="6:14">
      <c r="F3588" s="136" t="s">
        <v>15838</v>
      </c>
      <c r="G3588" s="136">
        <v>3585</v>
      </c>
      <c r="H3588" s="136" t="s">
        <v>1687</v>
      </c>
      <c r="I3588" s="136" t="s">
        <v>1688</v>
      </c>
      <c r="J3588" s="136" t="s">
        <v>15839</v>
      </c>
      <c r="L3588" s="136"/>
      <c r="M3588" s="136"/>
      <c r="N3588" s="136"/>
    </row>
    <row r="3589" spans="6:14">
      <c r="F3589" s="136" t="s">
        <v>15840</v>
      </c>
      <c r="G3589" s="136">
        <v>3586</v>
      </c>
      <c r="H3589" s="136" t="s">
        <v>4959</v>
      </c>
      <c r="I3589" s="136" t="s">
        <v>4959</v>
      </c>
      <c r="J3589" s="136" t="s">
        <v>15841</v>
      </c>
      <c r="L3589" s="136"/>
      <c r="M3589" s="136"/>
      <c r="N3589" s="136"/>
    </row>
    <row r="3590" spans="6:14">
      <c r="F3590" s="136" t="s">
        <v>15842</v>
      </c>
      <c r="G3590" s="136">
        <v>3587</v>
      </c>
      <c r="H3590" s="136" t="s">
        <v>5612</v>
      </c>
      <c r="I3590" s="136" t="s">
        <v>5613</v>
      </c>
      <c r="J3590" s="136" t="s">
        <v>15843</v>
      </c>
      <c r="L3590" s="136"/>
      <c r="M3590" s="136"/>
      <c r="N3590" s="136"/>
    </row>
    <row r="3591" spans="6:14">
      <c r="F3591" s="136" t="s">
        <v>15844</v>
      </c>
      <c r="G3591" s="136">
        <v>3588</v>
      </c>
      <c r="H3591" s="136" t="s">
        <v>4046</v>
      </c>
      <c r="I3591" s="136" t="s">
        <v>4046</v>
      </c>
      <c r="J3591" s="136" t="s">
        <v>15845</v>
      </c>
      <c r="L3591" s="136"/>
      <c r="M3591" s="136"/>
      <c r="N3591" s="136"/>
    </row>
    <row r="3592" spans="6:14">
      <c r="F3592" s="136" t="s">
        <v>15846</v>
      </c>
      <c r="G3592" s="136">
        <v>3589</v>
      </c>
      <c r="H3592" s="136" t="s">
        <v>2111</v>
      </c>
      <c r="I3592" s="136" t="s">
        <v>2112</v>
      </c>
      <c r="J3592" s="136" t="s">
        <v>15847</v>
      </c>
      <c r="L3592" s="136"/>
      <c r="M3592" s="136"/>
      <c r="N3592" s="136"/>
    </row>
    <row r="3593" spans="6:14">
      <c r="F3593" s="136" t="s">
        <v>15848</v>
      </c>
      <c r="G3593" s="136">
        <v>3590</v>
      </c>
      <c r="H3593" s="136" t="s">
        <v>15849</v>
      </c>
      <c r="I3593" s="136" t="s">
        <v>15850</v>
      </c>
      <c r="J3593" s="136" t="s">
        <v>15851</v>
      </c>
      <c r="L3593" s="136"/>
      <c r="M3593" s="136"/>
      <c r="N3593" s="136"/>
    </row>
    <row r="3594" spans="6:14">
      <c r="F3594" s="136" t="s">
        <v>15852</v>
      </c>
      <c r="G3594" s="136">
        <v>3591</v>
      </c>
      <c r="H3594" s="136" t="s">
        <v>1566</v>
      </c>
      <c r="I3594" s="136" t="s">
        <v>1566</v>
      </c>
      <c r="J3594" s="136" t="s">
        <v>15853</v>
      </c>
      <c r="L3594" s="136"/>
      <c r="M3594" s="136"/>
      <c r="N3594" s="136"/>
    </row>
    <row r="3595" spans="6:14">
      <c r="F3595" s="136" t="s">
        <v>15854</v>
      </c>
      <c r="G3595" s="136">
        <v>3592</v>
      </c>
      <c r="H3595" s="136" t="s">
        <v>4222</v>
      </c>
      <c r="I3595" s="136" t="s">
        <v>4222</v>
      </c>
      <c r="J3595" s="136" t="s">
        <v>15855</v>
      </c>
      <c r="L3595" s="136"/>
      <c r="M3595" s="136"/>
      <c r="N3595" s="136"/>
    </row>
    <row r="3596" spans="6:14">
      <c r="F3596" s="136" t="s">
        <v>15856</v>
      </c>
      <c r="G3596" s="136">
        <v>3593</v>
      </c>
      <c r="H3596" s="136" t="s">
        <v>1649</v>
      </c>
      <c r="I3596" s="136" t="s">
        <v>1651</v>
      </c>
      <c r="J3596" s="136" t="s">
        <v>15857</v>
      </c>
      <c r="L3596" s="136"/>
      <c r="M3596" s="136"/>
      <c r="N3596" s="136"/>
    </row>
    <row r="3597" spans="6:14">
      <c r="F3597" s="136" t="s">
        <v>15858</v>
      </c>
      <c r="G3597" s="136">
        <v>3594</v>
      </c>
      <c r="H3597" s="136" t="s">
        <v>15859</v>
      </c>
      <c r="I3597" s="136" t="s">
        <v>15860</v>
      </c>
      <c r="J3597" s="136" t="s">
        <v>15861</v>
      </c>
      <c r="L3597" s="136"/>
      <c r="M3597" s="136"/>
      <c r="N3597" s="136"/>
    </row>
    <row r="3598" spans="6:14">
      <c r="F3598" s="136" t="s">
        <v>15862</v>
      </c>
      <c r="G3598" s="136">
        <v>3595</v>
      </c>
      <c r="H3598" s="136" t="s">
        <v>1993</v>
      </c>
      <c r="I3598" s="136" t="s">
        <v>1993</v>
      </c>
      <c r="J3598" s="136" t="s">
        <v>15863</v>
      </c>
      <c r="L3598" s="136"/>
      <c r="M3598" s="136"/>
      <c r="N3598" s="136"/>
    </row>
    <row r="3599" spans="6:14">
      <c r="F3599" s="136" t="s">
        <v>15864</v>
      </c>
      <c r="G3599" s="136">
        <v>3596</v>
      </c>
      <c r="H3599" s="136" t="s">
        <v>15865</v>
      </c>
      <c r="I3599" s="136" t="s">
        <v>15866</v>
      </c>
      <c r="J3599" s="136" t="s">
        <v>15867</v>
      </c>
      <c r="L3599" s="136"/>
      <c r="M3599" s="136"/>
      <c r="N3599" s="136"/>
    </row>
    <row r="3600" spans="6:14">
      <c r="F3600" s="136" t="s">
        <v>15868</v>
      </c>
      <c r="G3600" s="136">
        <v>3597</v>
      </c>
      <c r="H3600" s="136" t="s">
        <v>4011</v>
      </c>
      <c r="I3600" s="136" t="s">
        <v>4012</v>
      </c>
      <c r="J3600" s="136" t="s">
        <v>15869</v>
      </c>
      <c r="L3600" s="136"/>
      <c r="M3600" s="136"/>
      <c r="N3600" s="136"/>
    </row>
    <row r="3601" spans="6:14">
      <c r="F3601" s="136" t="s">
        <v>15870</v>
      </c>
      <c r="G3601" s="136">
        <v>3598</v>
      </c>
      <c r="H3601" s="136" t="s">
        <v>5155</v>
      </c>
      <c r="I3601" s="136" t="s">
        <v>5156</v>
      </c>
      <c r="J3601" s="136" t="s">
        <v>15871</v>
      </c>
      <c r="L3601" s="136"/>
      <c r="M3601" s="136"/>
      <c r="N3601" s="136"/>
    </row>
    <row r="3602" spans="6:14">
      <c r="F3602" s="136" t="s">
        <v>15872</v>
      </c>
      <c r="G3602" s="136">
        <v>3599</v>
      </c>
      <c r="H3602" s="136" t="s">
        <v>3918</v>
      </c>
      <c r="I3602" s="136" t="s">
        <v>3919</v>
      </c>
      <c r="J3602" s="136" t="s">
        <v>15873</v>
      </c>
      <c r="L3602" s="136"/>
      <c r="M3602" s="136"/>
      <c r="N3602" s="136"/>
    </row>
    <row r="3603" spans="6:14">
      <c r="F3603" s="136" t="s">
        <v>15874</v>
      </c>
      <c r="G3603" s="136">
        <v>3600</v>
      </c>
      <c r="H3603" s="136" t="s">
        <v>5714</v>
      </c>
      <c r="I3603" s="136" t="s">
        <v>5715</v>
      </c>
      <c r="J3603" s="136" t="s">
        <v>15875</v>
      </c>
      <c r="L3603" s="136"/>
      <c r="M3603" s="136"/>
      <c r="N3603" s="136"/>
    </row>
    <row r="3604" spans="6:14">
      <c r="F3604" s="136" t="s">
        <v>15876</v>
      </c>
      <c r="G3604" s="136">
        <v>3601</v>
      </c>
      <c r="H3604" s="136" t="s">
        <v>1742</v>
      </c>
      <c r="I3604" s="136" t="s">
        <v>1743</v>
      </c>
      <c r="J3604" s="136" t="s">
        <v>15877</v>
      </c>
      <c r="L3604" s="136"/>
      <c r="M3604" s="136"/>
      <c r="N3604" s="136"/>
    </row>
    <row r="3605" spans="6:14">
      <c r="F3605" s="136" t="s">
        <v>15878</v>
      </c>
      <c r="G3605" s="136">
        <v>3602</v>
      </c>
      <c r="H3605" s="136" t="s">
        <v>15879</v>
      </c>
      <c r="I3605" s="136" t="s">
        <v>15880</v>
      </c>
      <c r="J3605" s="136" t="s">
        <v>15881</v>
      </c>
      <c r="L3605" s="136"/>
      <c r="M3605" s="136"/>
      <c r="N3605" s="136"/>
    </row>
    <row r="3606" spans="6:14">
      <c r="F3606" s="136" t="s">
        <v>15882</v>
      </c>
      <c r="G3606" s="136">
        <v>3603</v>
      </c>
      <c r="H3606" s="136" t="s">
        <v>195</v>
      </c>
      <c r="I3606" s="136" t="s">
        <v>196</v>
      </c>
      <c r="J3606" s="136" t="s">
        <v>15883</v>
      </c>
      <c r="L3606" s="136"/>
      <c r="M3606" s="136"/>
      <c r="N3606" s="136"/>
    </row>
    <row r="3607" spans="6:14">
      <c r="F3607" s="136" t="s">
        <v>15884</v>
      </c>
      <c r="G3607" s="136">
        <v>3604</v>
      </c>
      <c r="H3607" s="136" t="s">
        <v>2282</v>
      </c>
      <c r="I3607" s="136" t="s">
        <v>2283</v>
      </c>
      <c r="J3607" s="136" t="s">
        <v>15885</v>
      </c>
      <c r="L3607" s="136"/>
      <c r="M3607" s="136"/>
      <c r="N3607" s="136"/>
    </row>
    <row r="3608" spans="6:14">
      <c r="F3608" s="136" t="s">
        <v>15886</v>
      </c>
      <c r="G3608" s="136">
        <v>3605</v>
      </c>
      <c r="H3608" s="136" t="s">
        <v>1233</v>
      </c>
      <c r="I3608" s="136" t="s">
        <v>1233</v>
      </c>
      <c r="J3608" s="136" t="s">
        <v>15887</v>
      </c>
      <c r="L3608" s="136"/>
      <c r="M3608" s="136"/>
      <c r="N3608" s="136"/>
    </row>
    <row r="3609" spans="6:14">
      <c r="F3609" s="136" t="s">
        <v>15888</v>
      </c>
      <c r="G3609" s="136">
        <v>3606</v>
      </c>
      <c r="H3609" s="136" t="s">
        <v>1872</v>
      </c>
      <c r="I3609" s="136" t="s">
        <v>1873</v>
      </c>
      <c r="J3609" s="136" t="s">
        <v>15889</v>
      </c>
      <c r="L3609" s="136"/>
      <c r="M3609" s="136"/>
      <c r="N3609" s="136"/>
    </row>
    <row r="3610" spans="6:14">
      <c r="F3610" s="136" t="s">
        <v>15890</v>
      </c>
      <c r="G3610" s="136">
        <v>3607</v>
      </c>
      <c r="H3610" s="136" t="s">
        <v>5670</v>
      </c>
      <c r="I3610" s="136" t="s">
        <v>5671</v>
      </c>
      <c r="J3610" s="136" t="s">
        <v>15891</v>
      </c>
      <c r="L3610" s="136"/>
      <c r="M3610" s="136"/>
      <c r="N3610" s="136"/>
    </row>
    <row r="3611" spans="6:14">
      <c r="F3611" s="136" t="s">
        <v>15892</v>
      </c>
      <c r="G3611" s="136">
        <v>3608</v>
      </c>
      <c r="H3611" s="136" t="s">
        <v>3045</v>
      </c>
      <c r="I3611" s="136" t="s">
        <v>3046</v>
      </c>
      <c r="J3611" s="136" t="s">
        <v>15893</v>
      </c>
      <c r="L3611" s="136"/>
      <c r="M3611" s="136"/>
      <c r="N3611" s="136"/>
    </row>
    <row r="3612" spans="6:14">
      <c r="F3612" s="136" t="s">
        <v>15894</v>
      </c>
      <c r="G3612" s="136">
        <v>3609</v>
      </c>
      <c r="H3612" s="136" t="s">
        <v>411</v>
      </c>
      <c r="I3612" s="136" t="s">
        <v>412</v>
      </c>
      <c r="J3612" s="136" t="s">
        <v>15895</v>
      </c>
      <c r="L3612" s="136"/>
      <c r="M3612" s="136"/>
      <c r="N3612" s="136"/>
    </row>
    <row r="3613" spans="6:14">
      <c r="F3613" s="136" t="s">
        <v>15896</v>
      </c>
      <c r="G3613" s="136">
        <v>3610</v>
      </c>
      <c r="H3613" s="136" t="s">
        <v>1087</v>
      </c>
      <c r="I3613" s="136" t="s">
        <v>1087</v>
      </c>
      <c r="J3613" s="136" t="s">
        <v>15897</v>
      </c>
      <c r="L3613" s="136"/>
      <c r="M3613" s="136"/>
      <c r="N3613" s="136"/>
    </row>
    <row r="3614" spans="6:14">
      <c r="F3614" s="136" t="s">
        <v>15898</v>
      </c>
      <c r="G3614" s="136">
        <v>12406524701</v>
      </c>
      <c r="H3614" s="136" t="s">
        <v>2065</v>
      </c>
      <c r="I3614" s="136" t="s">
        <v>2065</v>
      </c>
      <c r="J3614" s="136" t="s">
        <v>15899</v>
      </c>
      <c r="L3614" s="136"/>
      <c r="M3614" s="136"/>
      <c r="N3614" s="136"/>
    </row>
    <row r="3615" spans="6:14">
      <c r="F3615" s="136" t="s">
        <v>15900</v>
      </c>
      <c r="G3615" s="136">
        <v>3612</v>
      </c>
      <c r="H3615" s="136" t="s">
        <v>1557</v>
      </c>
      <c r="I3615" s="136" t="s">
        <v>1558</v>
      </c>
      <c r="J3615" s="136" t="s">
        <v>15901</v>
      </c>
      <c r="L3615" s="136"/>
      <c r="M3615" s="136"/>
      <c r="N3615" s="136"/>
    </row>
    <row r="3616" spans="6:14">
      <c r="F3616" s="136" t="s">
        <v>15902</v>
      </c>
      <c r="G3616" s="136">
        <v>3613</v>
      </c>
      <c r="H3616" s="136" t="s">
        <v>1499</v>
      </c>
      <c r="I3616" s="136" t="s">
        <v>1500</v>
      </c>
      <c r="J3616" s="136" t="s">
        <v>15903</v>
      </c>
      <c r="L3616" s="136"/>
      <c r="M3616" s="136"/>
      <c r="N3616" s="136"/>
    </row>
    <row r="3617" spans="6:14">
      <c r="F3617" s="136" t="s">
        <v>15904</v>
      </c>
      <c r="G3617" s="136">
        <v>3614</v>
      </c>
      <c r="H3617" s="136" t="s">
        <v>767</v>
      </c>
      <c r="I3617" s="136" t="s">
        <v>770</v>
      </c>
      <c r="J3617" s="136" t="s">
        <v>15905</v>
      </c>
      <c r="L3617" s="136"/>
      <c r="M3617" s="136"/>
      <c r="N3617" s="136"/>
    </row>
    <row r="3618" spans="6:14">
      <c r="F3618" s="136" t="s">
        <v>15906</v>
      </c>
      <c r="G3618" s="136">
        <v>3615</v>
      </c>
      <c r="H3618" s="136" t="s">
        <v>15907</v>
      </c>
      <c r="I3618" s="136" t="s">
        <v>15908</v>
      </c>
      <c r="J3618" s="136" t="s">
        <v>15909</v>
      </c>
      <c r="L3618" s="136"/>
      <c r="M3618" s="136"/>
      <c r="N3618" s="136"/>
    </row>
    <row r="3619" spans="6:14">
      <c r="F3619" s="136" t="s">
        <v>15910</v>
      </c>
      <c r="G3619" s="136">
        <v>3616</v>
      </c>
      <c r="H3619" s="136" t="s">
        <v>1056</v>
      </c>
      <c r="I3619" s="136" t="s">
        <v>1056</v>
      </c>
      <c r="J3619" s="136" t="s">
        <v>15911</v>
      </c>
      <c r="L3619" s="136"/>
      <c r="M3619" s="136"/>
      <c r="N3619" s="136"/>
    </row>
    <row r="3620" spans="6:14">
      <c r="F3620" s="136" t="s">
        <v>15912</v>
      </c>
      <c r="G3620" s="136">
        <v>3617</v>
      </c>
      <c r="H3620" s="136" t="s">
        <v>613</v>
      </c>
      <c r="I3620" s="136" t="s">
        <v>613</v>
      </c>
      <c r="J3620" s="136" t="s">
        <v>15913</v>
      </c>
      <c r="L3620" s="136"/>
      <c r="M3620" s="136"/>
      <c r="N3620" s="136"/>
    </row>
    <row r="3621" spans="6:14">
      <c r="F3621" s="136" t="s">
        <v>15914</v>
      </c>
      <c r="G3621" s="136">
        <v>3618</v>
      </c>
      <c r="H3621" s="136" t="s">
        <v>3921</v>
      </c>
      <c r="I3621" s="136" t="s">
        <v>3921</v>
      </c>
      <c r="J3621" s="136" t="s">
        <v>15915</v>
      </c>
      <c r="L3621" s="136"/>
      <c r="M3621" s="136"/>
      <c r="N3621" s="136"/>
    </row>
    <row r="3622" spans="6:14">
      <c r="F3622" s="136" t="s">
        <v>15916</v>
      </c>
      <c r="G3622" s="136">
        <v>3619</v>
      </c>
      <c r="H3622" s="136" t="s">
        <v>3623</v>
      </c>
      <c r="I3622" s="136" t="s">
        <v>3624</v>
      </c>
      <c r="J3622" s="136" t="s">
        <v>15917</v>
      </c>
      <c r="L3622" s="136"/>
      <c r="M3622" s="136"/>
      <c r="N3622" s="136"/>
    </row>
    <row r="3623" spans="6:14">
      <c r="F3623" s="136" t="s">
        <v>15918</v>
      </c>
      <c r="G3623" s="136">
        <v>3620</v>
      </c>
      <c r="H3623" s="136" t="s">
        <v>5359</v>
      </c>
      <c r="I3623" s="136" t="s">
        <v>5358</v>
      </c>
      <c r="J3623" s="136" t="s">
        <v>15919</v>
      </c>
      <c r="L3623" s="136"/>
      <c r="M3623" s="136"/>
      <c r="N3623" s="136"/>
    </row>
    <row r="3624" spans="6:14">
      <c r="F3624" s="136" t="s">
        <v>15920</v>
      </c>
      <c r="G3624" s="136">
        <v>3621</v>
      </c>
      <c r="H3624" s="136" t="s">
        <v>15921</v>
      </c>
      <c r="I3624" s="136" t="s">
        <v>15922</v>
      </c>
      <c r="J3624" s="136" t="s">
        <v>15923</v>
      </c>
      <c r="L3624" s="136"/>
      <c r="M3624" s="136"/>
      <c r="N3624" s="136"/>
    </row>
    <row r="3625" spans="6:14">
      <c r="F3625" s="136" t="s">
        <v>15924</v>
      </c>
      <c r="G3625" s="136">
        <v>3622</v>
      </c>
      <c r="H3625" s="136" t="s">
        <v>15925</v>
      </c>
      <c r="I3625" s="136" t="s">
        <v>15926</v>
      </c>
      <c r="J3625" s="136" t="s">
        <v>15927</v>
      </c>
      <c r="L3625" s="136"/>
      <c r="M3625" s="136"/>
      <c r="N3625" s="136"/>
    </row>
    <row r="3626" spans="6:14">
      <c r="F3626" s="136" t="s">
        <v>15928</v>
      </c>
      <c r="G3626" s="136">
        <v>3623</v>
      </c>
      <c r="H3626" s="136" t="s">
        <v>15929</v>
      </c>
      <c r="I3626" s="136" t="s">
        <v>15930</v>
      </c>
      <c r="J3626" s="136" t="s">
        <v>15931</v>
      </c>
      <c r="L3626" s="136"/>
      <c r="M3626" s="136"/>
      <c r="N3626" s="136"/>
    </row>
    <row r="3627" spans="6:14">
      <c r="F3627" s="136" t="s">
        <v>15932</v>
      </c>
      <c r="G3627" s="136">
        <v>3624</v>
      </c>
      <c r="H3627" s="136" t="s">
        <v>15933</v>
      </c>
      <c r="I3627" s="136" t="s">
        <v>15934</v>
      </c>
      <c r="J3627" s="136" t="s">
        <v>15935</v>
      </c>
      <c r="L3627" s="136"/>
      <c r="M3627" s="136"/>
      <c r="N3627" s="136"/>
    </row>
    <row r="3628" spans="6:14">
      <c r="F3628" s="136" t="s">
        <v>15936</v>
      </c>
      <c r="G3628" s="136">
        <v>3625</v>
      </c>
      <c r="H3628" s="136" t="s">
        <v>1636</v>
      </c>
      <c r="I3628" s="136" t="s">
        <v>1643</v>
      </c>
      <c r="J3628" s="136" t="s">
        <v>15937</v>
      </c>
      <c r="L3628" s="136"/>
      <c r="M3628" s="136"/>
      <c r="N3628" s="136"/>
    </row>
    <row r="3629" spans="6:14">
      <c r="F3629" s="136" t="s">
        <v>15938</v>
      </c>
      <c r="G3629" s="136">
        <v>3626</v>
      </c>
      <c r="H3629" s="136" t="s">
        <v>1550</v>
      </c>
      <c r="I3629" s="136" t="s">
        <v>1550</v>
      </c>
      <c r="J3629" s="136" t="s">
        <v>15939</v>
      </c>
      <c r="L3629" s="136"/>
      <c r="M3629" s="136"/>
      <c r="N3629" s="136"/>
    </row>
    <row r="3630" spans="6:14">
      <c r="F3630" s="136" t="s">
        <v>15940</v>
      </c>
      <c r="G3630" s="136">
        <v>3627</v>
      </c>
      <c r="H3630" s="136" t="s">
        <v>2529</v>
      </c>
      <c r="I3630" s="136" t="s">
        <v>2529</v>
      </c>
      <c r="J3630" s="136" t="s">
        <v>15941</v>
      </c>
      <c r="L3630" s="136"/>
      <c r="M3630" s="136"/>
      <c r="N3630" s="136"/>
    </row>
    <row r="3631" spans="6:14">
      <c r="F3631" s="136" t="s">
        <v>15942</v>
      </c>
      <c r="G3631" s="136">
        <v>3628</v>
      </c>
      <c r="H3631" s="136" t="s">
        <v>2273</v>
      </c>
      <c r="I3631" s="136" t="s">
        <v>2274</v>
      </c>
      <c r="J3631" s="136" t="s">
        <v>15943</v>
      </c>
      <c r="L3631" s="136"/>
      <c r="M3631" s="136"/>
      <c r="N3631" s="136"/>
    </row>
    <row r="3632" spans="6:14">
      <c r="F3632" s="136" t="s">
        <v>15944</v>
      </c>
      <c r="G3632" s="136">
        <v>3629</v>
      </c>
      <c r="H3632" s="136" t="s">
        <v>1058</v>
      </c>
      <c r="I3632" s="136" t="s">
        <v>1058</v>
      </c>
      <c r="J3632" s="136" t="s">
        <v>15945</v>
      </c>
      <c r="L3632" s="136"/>
      <c r="M3632" s="136"/>
      <c r="N3632" s="136"/>
    </row>
    <row r="3633" spans="6:14">
      <c r="F3633" s="136" t="s">
        <v>15946</v>
      </c>
      <c r="G3633" s="136">
        <v>3630</v>
      </c>
      <c r="H3633" s="136" t="s">
        <v>5024</v>
      </c>
      <c r="I3633" s="136" t="s">
        <v>5025</v>
      </c>
      <c r="J3633" s="136" t="s">
        <v>15947</v>
      </c>
      <c r="L3633" s="136"/>
      <c r="M3633" s="136"/>
      <c r="N3633" s="136"/>
    </row>
    <row r="3634" spans="6:14">
      <c r="F3634" s="136" t="s">
        <v>15948</v>
      </c>
      <c r="G3634" s="136">
        <v>3631</v>
      </c>
      <c r="H3634" s="136" t="s">
        <v>4576</v>
      </c>
      <c r="I3634" s="136" t="s">
        <v>4576</v>
      </c>
      <c r="J3634" s="136" t="s">
        <v>15949</v>
      </c>
      <c r="L3634" s="136"/>
      <c r="M3634" s="136"/>
      <c r="N3634" s="136"/>
    </row>
    <row r="3635" spans="6:14">
      <c r="F3635" s="136" t="s">
        <v>15950</v>
      </c>
      <c r="G3635" s="136">
        <v>3632</v>
      </c>
      <c r="H3635" s="136" t="s">
        <v>3582</v>
      </c>
      <c r="I3635" s="136" t="s">
        <v>3582</v>
      </c>
      <c r="J3635" s="136" t="s">
        <v>15951</v>
      </c>
      <c r="L3635" s="136"/>
      <c r="M3635" s="136"/>
      <c r="N3635" s="136"/>
    </row>
    <row r="3636" spans="6:14">
      <c r="F3636" s="136" t="s">
        <v>15952</v>
      </c>
      <c r="G3636" s="136">
        <v>3633</v>
      </c>
      <c r="H3636" s="136" t="s">
        <v>197</v>
      </c>
      <c r="I3636" s="136" t="s">
        <v>197</v>
      </c>
      <c r="J3636" s="136" t="s">
        <v>15953</v>
      </c>
      <c r="L3636" s="136"/>
      <c r="M3636" s="136"/>
      <c r="N3636" s="136"/>
    </row>
    <row r="3637" spans="6:14">
      <c r="F3637" s="136" t="s">
        <v>15954</v>
      </c>
      <c r="G3637" s="136">
        <v>3634</v>
      </c>
      <c r="H3637" s="136" t="s">
        <v>15955</v>
      </c>
      <c r="I3637" s="136" t="s">
        <v>15956</v>
      </c>
      <c r="J3637" s="136" t="s">
        <v>15957</v>
      </c>
      <c r="L3637" s="136"/>
      <c r="M3637" s="136"/>
      <c r="N3637" s="136"/>
    </row>
    <row r="3638" spans="6:14">
      <c r="F3638" s="136" t="s">
        <v>15958</v>
      </c>
      <c r="G3638" s="136">
        <v>3635</v>
      </c>
      <c r="H3638" s="136" t="s">
        <v>202</v>
      </c>
      <c r="I3638" s="136" t="s">
        <v>202</v>
      </c>
      <c r="J3638" s="136" t="s">
        <v>15959</v>
      </c>
      <c r="L3638" s="136"/>
      <c r="M3638" s="136"/>
      <c r="N3638" s="136"/>
    </row>
    <row r="3639" spans="6:14">
      <c r="F3639" s="136" t="s">
        <v>15960</v>
      </c>
      <c r="G3639" s="136">
        <v>3636</v>
      </c>
      <c r="H3639" s="136" t="s">
        <v>1918</v>
      </c>
      <c r="I3639" s="136" t="s">
        <v>1919</v>
      </c>
      <c r="J3639" s="136" t="s">
        <v>15961</v>
      </c>
      <c r="L3639" s="136"/>
      <c r="M3639" s="136"/>
      <c r="N3639" s="136"/>
    </row>
    <row r="3640" spans="6:14">
      <c r="F3640" s="136" t="s">
        <v>15962</v>
      </c>
      <c r="G3640" s="136">
        <v>3637</v>
      </c>
      <c r="H3640" s="136" t="s">
        <v>5521</v>
      </c>
      <c r="I3640" s="136" t="s">
        <v>5522</v>
      </c>
      <c r="J3640" s="136" t="s">
        <v>15963</v>
      </c>
      <c r="L3640" s="136"/>
      <c r="M3640" s="136"/>
      <c r="N3640" s="136"/>
    </row>
    <row r="3641" spans="6:14">
      <c r="F3641" s="136" t="s">
        <v>15964</v>
      </c>
      <c r="G3641" s="136">
        <v>3638</v>
      </c>
      <c r="H3641" s="136" t="s">
        <v>5148</v>
      </c>
      <c r="I3641" s="136" t="s">
        <v>5149</v>
      </c>
      <c r="J3641" s="136" t="s">
        <v>15965</v>
      </c>
      <c r="L3641" s="136"/>
      <c r="M3641" s="136"/>
      <c r="N3641" s="136"/>
    </row>
    <row r="3642" spans="6:14">
      <c r="F3642" s="136" t="s">
        <v>15966</v>
      </c>
      <c r="G3642" s="136">
        <v>3639</v>
      </c>
      <c r="H3642" s="136" t="s">
        <v>3665</v>
      </c>
      <c r="I3642" s="136" t="s">
        <v>3665</v>
      </c>
      <c r="J3642" s="136" t="s">
        <v>15967</v>
      </c>
      <c r="L3642" s="136"/>
      <c r="M3642" s="136"/>
      <c r="N3642" s="136"/>
    </row>
    <row r="3643" spans="6:14">
      <c r="F3643" s="136" t="s">
        <v>15968</v>
      </c>
      <c r="G3643" s="136">
        <v>3640</v>
      </c>
      <c r="H3643" s="136" t="s">
        <v>5660</v>
      </c>
      <c r="I3643" s="136" t="s">
        <v>5661</v>
      </c>
      <c r="J3643" s="136" t="s">
        <v>15969</v>
      </c>
      <c r="L3643" s="136"/>
      <c r="M3643" s="136"/>
      <c r="N3643" s="136"/>
    </row>
    <row r="3644" spans="6:14">
      <c r="F3644" s="136" t="s">
        <v>15970</v>
      </c>
      <c r="G3644" s="136">
        <v>3641</v>
      </c>
      <c r="H3644" s="136" t="s">
        <v>3951</v>
      </c>
      <c r="I3644" s="136" t="s">
        <v>3952</v>
      </c>
      <c r="J3644" s="136" t="s">
        <v>15971</v>
      </c>
      <c r="L3644" s="136"/>
      <c r="M3644" s="136"/>
      <c r="N3644" s="136"/>
    </row>
    <row r="3645" spans="6:14">
      <c r="F3645" s="136" t="s">
        <v>15972</v>
      </c>
      <c r="G3645" s="136">
        <v>3642</v>
      </c>
      <c r="H3645" s="136" t="s">
        <v>1783</v>
      </c>
      <c r="I3645" s="136" t="s">
        <v>1784</v>
      </c>
      <c r="J3645" s="136" t="s">
        <v>15973</v>
      </c>
      <c r="L3645" s="136"/>
      <c r="M3645" s="136"/>
      <c r="N3645" s="136"/>
    </row>
    <row r="3646" spans="6:14">
      <c r="F3646" s="136" t="s">
        <v>15974</v>
      </c>
      <c r="G3646" s="136">
        <v>3643</v>
      </c>
      <c r="H3646" s="136" t="s">
        <v>3496</v>
      </c>
      <c r="I3646" s="136" t="s">
        <v>3497</v>
      </c>
      <c r="J3646" s="136" t="s">
        <v>15975</v>
      </c>
      <c r="L3646" s="136"/>
      <c r="M3646" s="136"/>
      <c r="N3646" s="136"/>
    </row>
    <row r="3647" spans="6:14">
      <c r="F3647" s="136" t="s">
        <v>15976</v>
      </c>
      <c r="G3647" s="136">
        <v>40901292818</v>
      </c>
      <c r="H3647" s="136" t="s">
        <v>249</v>
      </c>
      <c r="I3647" s="136" t="s">
        <v>250</v>
      </c>
      <c r="J3647" s="136" t="s">
        <v>15977</v>
      </c>
      <c r="L3647" s="136"/>
      <c r="M3647" s="136"/>
      <c r="N3647" s="136"/>
    </row>
    <row r="3648" spans="6:14">
      <c r="F3648" s="136" t="s">
        <v>15978</v>
      </c>
      <c r="G3648" s="136">
        <v>14988147860</v>
      </c>
      <c r="H3648" s="136" t="s">
        <v>5403</v>
      </c>
      <c r="I3648" s="136" t="s">
        <v>5404</v>
      </c>
      <c r="J3648" s="136" t="s">
        <v>15979</v>
      </c>
      <c r="L3648" s="136"/>
      <c r="M3648" s="136"/>
      <c r="N3648" s="136"/>
    </row>
    <row r="3649" spans="6:14">
      <c r="F3649" s="136" t="s">
        <v>15980</v>
      </c>
      <c r="G3649" s="136">
        <v>31164659839</v>
      </c>
      <c r="H3649" s="136" t="s">
        <v>5253</v>
      </c>
      <c r="I3649" s="136" t="s">
        <v>5253</v>
      </c>
      <c r="J3649" s="136" t="s">
        <v>15981</v>
      </c>
      <c r="L3649" s="136"/>
      <c r="M3649" s="136"/>
      <c r="N3649" s="136"/>
    </row>
    <row r="3650" spans="6:14">
      <c r="F3650" s="136" t="s">
        <v>15982</v>
      </c>
      <c r="G3650" s="136">
        <v>3647</v>
      </c>
      <c r="H3650" s="136" t="s">
        <v>5050</v>
      </c>
      <c r="I3650" s="136" t="s">
        <v>5050</v>
      </c>
      <c r="J3650" s="136" t="s">
        <v>15983</v>
      </c>
      <c r="L3650" s="136"/>
      <c r="M3650" s="136"/>
      <c r="N3650" s="136"/>
    </row>
    <row r="3651" spans="6:14">
      <c r="F3651" s="136" t="s">
        <v>15984</v>
      </c>
      <c r="G3651" s="136">
        <v>3648</v>
      </c>
      <c r="H3651" s="136" t="s">
        <v>1064</v>
      </c>
      <c r="I3651" s="136" t="s">
        <v>1065</v>
      </c>
      <c r="J3651" s="136" t="s">
        <v>15985</v>
      </c>
      <c r="L3651" s="136"/>
      <c r="M3651" s="136"/>
      <c r="N3651" s="136"/>
    </row>
    <row r="3652" spans="6:14">
      <c r="F3652" s="136" t="s">
        <v>15986</v>
      </c>
      <c r="G3652" s="136">
        <v>3649</v>
      </c>
      <c r="H3652" s="136" t="s">
        <v>3859</v>
      </c>
      <c r="I3652" s="136" t="s">
        <v>3859</v>
      </c>
      <c r="J3652" s="136" t="s">
        <v>15987</v>
      </c>
      <c r="L3652" s="136"/>
      <c r="M3652" s="136"/>
      <c r="N3652" s="136"/>
    </row>
    <row r="3653" spans="6:14">
      <c r="F3653" s="136" t="s">
        <v>15988</v>
      </c>
      <c r="G3653" s="136">
        <v>3650</v>
      </c>
      <c r="H3653" s="136" t="s">
        <v>760</v>
      </c>
      <c r="I3653" s="136" t="s">
        <v>761</v>
      </c>
      <c r="J3653" s="136" t="s">
        <v>15989</v>
      </c>
      <c r="L3653" s="136"/>
      <c r="M3653" s="136"/>
      <c r="N3653" s="136"/>
    </row>
    <row r="3654" spans="6:14">
      <c r="F3654" s="136" t="s">
        <v>15990</v>
      </c>
      <c r="G3654" s="136">
        <v>3651</v>
      </c>
      <c r="H3654" s="136" t="s">
        <v>2251</v>
      </c>
      <c r="I3654" s="136" t="s">
        <v>2251</v>
      </c>
      <c r="J3654" s="136" t="s">
        <v>15991</v>
      </c>
      <c r="L3654" s="136"/>
      <c r="M3654" s="136"/>
      <c r="N3654" s="136"/>
    </row>
    <row r="3655" spans="6:14">
      <c r="F3655" s="136" t="s">
        <v>15992</v>
      </c>
      <c r="G3655" s="136">
        <v>3652</v>
      </c>
      <c r="H3655" s="136" t="s">
        <v>267</v>
      </c>
      <c r="I3655" s="136" t="s">
        <v>268</v>
      </c>
      <c r="J3655" s="136" t="s">
        <v>15993</v>
      </c>
      <c r="L3655" s="136"/>
      <c r="M3655" s="136"/>
      <c r="N3655" s="136"/>
    </row>
    <row r="3656" spans="6:14">
      <c r="F3656" s="136" t="s">
        <v>15994</v>
      </c>
      <c r="G3656" s="136">
        <v>3653</v>
      </c>
      <c r="H3656" s="136" t="s">
        <v>3173</v>
      </c>
      <c r="I3656" s="136" t="s">
        <v>3173</v>
      </c>
      <c r="J3656" s="136" t="s">
        <v>15995</v>
      </c>
      <c r="L3656" s="136"/>
      <c r="M3656" s="136"/>
      <c r="N3656" s="136"/>
    </row>
    <row r="3657" spans="6:14">
      <c r="F3657" s="136" t="s">
        <v>15996</v>
      </c>
      <c r="G3657" s="136">
        <v>3654</v>
      </c>
      <c r="H3657" s="136" t="s">
        <v>3242</v>
      </c>
      <c r="I3657" s="136" t="s">
        <v>3242</v>
      </c>
      <c r="J3657" s="136" t="s">
        <v>15997</v>
      </c>
      <c r="L3657" s="136"/>
      <c r="M3657" s="136"/>
      <c r="N3657" s="136"/>
    </row>
    <row r="3658" spans="6:14">
      <c r="F3658" s="136" t="s">
        <v>15998</v>
      </c>
      <c r="G3658" s="136">
        <v>3655</v>
      </c>
      <c r="H3658" s="136" t="s">
        <v>5903</v>
      </c>
      <c r="I3658" s="136" t="s">
        <v>5903</v>
      </c>
      <c r="J3658" s="136" t="s">
        <v>15999</v>
      </c>
      <c r="L3658" s="136"/>
      <c r="M3658" s="136"/>
      <c r="N3658" s="136"/>
    </row>
    <row r="3659" spans="6:14">
      <c r="F3659" s="136" t="s">
        <v>16000</v>
      </c>
      <c r="G3659" s="136">
        <v>3656</v>
      </c>
      <c r="H3659" s="136" t="s">
        <v>16001</v>
      </c>
      <c r="I3659" s="136" t="s">
        <v>16002</v>
      </c>
      <c r="J3659" s="136" t="s">
        <v>16003</v>
      </c>
      <c r="L3659" s="136"/>
      <c r="M3659" s="136"/>
      <c r="N3659" s="136"/>
    </row>
    <row r="3660" spans="6:14">
      <c r="F3660" s="136" t="s">
        <v>16004</v>
      </c>
      <c r="G3660" s="136">
        <v>3657</v>
      </c>
      <c r="H3660" s="136" t="s">
        <v>4246</v>
      </c>
      <c r="I3660" s="136" t="s">
        <v>4247</v>
      </c>
      <c r="J3660" s="136" t="s">
        <v>16005</v>
      </c>
      <c r="L3660" s="136"/>
      <c r="M3660" s="136"/>
      <c r="N3660" s="136"/>
    </row>
    <row r="3661" spans="6:14">
      <c r="F3661" s="136" t="s">
        <v>16006</v>
      </c>
      <c r="G3661" s="136">
        <v>3658</v>
      </c>
      <c r="H3661" s="136" t="s">
        <v>3280</v>
      </c>
      <c r="I3661" s="136" t="s">
        <v>3280</v>
      </c>
      <c r="J3661" s="136" t="s">
        <v>16007</v>
      </c>
      <c r="L3661" s="136"/>
      <c r="M3661" s="136"/>
      <c r="N3661" s="136"/>
    </row>
    <row r="3662" spans="6:14">
      <c r="F3662" s="136" t="s">
        <v>16008</v>
      </c>
      <c r="G3662" s="136">
        <v>3659</v>
      </c>
      <c r="H3662" s="136" t="s">
        <v>322</v>
      </c>
      <c r="I3662" s="136" t="s">
        <v>322</v>
      </c>
      <c r="J3662" s="136" t="s">
        <v>16009</v>
      </c>
      <c r="L3662" s="136"/>
      <c r="M3662" s="136"/>
      <c r="N3662" s="136"/>
    </row>
    <row r="3663" spans="6:14">
      <c r="F3663" s="136" t="s">
        <v>16010</v>
      </c>
      <c r="G3663" s="136">
        <v>3660</v>
      </c>
      <c r="H3663" s="136" t="s">
        <v>2602</v>
      </c>
      <c r="I3663" s="136" t="s">
        <v>2604</v>
      </c>
      <c r="J3663" s="136" t="s">
        <v>16011</v>
      </c>
      <c r="L3663" s="136"/>
      <c r="M3663" s="136"/>
      <c r="N3663" s="136"/>
    </row>
    <row r="3664" spans="6:14">
      <c r="F3664" s="136" t="s">
        <v>16012</v>
      </c>
      <c r="G3664" s="136">
        <v>3661</v>
      </c>
      <c r="H3664" s="136" t="s">
        <v>2523</v>
      </c>
      <c r="I3664" s="136" t="s">
        <v>2524</v>
      </c>
      <c r="J3664" s="136" t="s">
        <v>16013</v>
      </c>
      <c r="L3664" s="136"/>
      <c r="M3664" s="136"/>
      <c r="N3664" s="136"/>
    </row>
    <row r="3665" spans="6:14">
      <c r="F3665" s="136" t="s">
        <v>16014</v>
      </c>
      <c r="G3665" s="136">
        <v>3662</v>
      </c>
      <c r="H3665" s="136" t="s">
        <v>3870</v>
      </c>
      <c r="I3665" s="136" t="s">
        <v>3871</v>
      </c>
      <c r="J3665" s="136" t="s">
        <v>16015</v>
      </c>
      <c r="L3665" s="136"/>
      <c r="M3665" s="136"/>
      <c r="N3665" s="136"/>
    </row>
    <row r="3666" spans="6:14">
      <c r="F3666" s="136" t="s">
        <v>16016</v>
      </c>
      <c r="G3666" s="136">
        <v>3663</v>
      </c>
      <c r="H3666" s="136" t="s">
        <v>5140</v>
      </c>
      <c r="I3666" s="136" t="s">
        <v>5141</v>
      </c>
      <c r="J3666" s="136" t="s">
        <v>16017</v>
      </c>
      <c r="L3666" s="136"/>
      <c r="M3666" s="136"/>
      <c r="N3666" s="136"/>
    </row>
    <row r="3667" spans="6:14">
      <c r="F3667" s="136" t="s">
        <v>16018</v>
      </c>
      <c r="G3667" s="136">
        <v>3664</v>
      </c>
      <c r="H3667" s="136" t="s">
        <v>16019</v>
      </c>
      <c r="I3667" s="136" t="s">
        <v>16020</v>
      </c>
      <c r="J3667" s="136" t="s">
        <v>16021</v>
      </c>
      <c r="L3667" s="136"/>
      <c r="M3667" s="136"/>
      <c r="N3667" s="136"/>
    </row>
    <row r="3668" spans="6:14">
      <c r="F3668" s="136" t="s">
        <v>16022</v>
      </c>
      <c r="G3668" s="136">
        <v>39556746811</v>
      </c>
      <c r="H3668" s="136" t="s">
        <v>118</v>
      </c>
      <c r="I3668" s="136" t="s">
        <v>118</v>
      </c>
      <c r="J3668" s="136" t="s">
        <v>16023</v>
      </c>
      <c r="L3668" s="136"/>
      <c r="M3668" s="136"/>
      <c r="N3668" s="136"/>
    </row>
    <row r="3669" spans="6:14">
      <c r="F3669" s="136" t="s">
        <v>16024</v>
      </c>
      <c r="G3669" s="136">
        <v>5730466544</v>
      </c>
      <c r="H3669" s="136" t="s">
        <v>3580</v>
      </c>
      <c r="I3669" s="136" t="s">
        <v>3581</v>
      </c>
      <c r="J3669" s="136" t="s">
        <v>16025</v>
      </c>
      <c r="L3669" s="136"/>
      <c r="M3669" s="136"/>
      <c r="N3669" s="136"/>
    </row>
    <row r="3670" spans="6:14">
      <c r="F3670" s="136" t="s">
        <v>16026</v>
      </c>
      <c r="G3670" s="136">
        <v>36753778810</v>
      </c>
      <c r="H3670" s="136" t="s">
        <v>1660</v>
      </c>
      <c r="I3670" s="136" t="s">
        <v>1660</v>
      </c>
      <c r="J3670" s="136" t="s">
        <v>16027</v>
      </c>
      <c r="L3670" s="136"/>
      <c r="M3670" s="136"/>
      <c r="N3670" s="136"/>
    </row>
    <row r="3671" spans="6:14">
      <c r="F3671" s="136" t="s">
        <v>16028</v>
      </c>
      <c r="G3671" s="136">
        <v>48277721854</v>
      </c>
      <c r="H3671" s="136" t="s">
        <v>5808</v>
      </c>
      <c r="I3671" s="136" t="s">
        <v>5808</v>
      </c>
      <c r="J3671" s="136" t="s">
        <v>16029</v>
      </c>
      <c r="L3671" s="136"/>
      <c r="M3671" s="136"/>
      <c r="N3671" s="136"/>
    </row>
    <row r="3672" spans="6:14">
      <c r="F3672" s="136" t="s">
        <v>16030</v>
      </c>
      <c r="G3672" s="136">
        <v>3669</v>
      </c>
      <c r="H3672" s="136" t="s">
        <v>4333</v>
      </c>
      <c r="I3672" s="136" t="s">
        <v>4334</v>
      </c>
      <c r="J3672" s="136" t="s">
        <v>16031</v>
      </c>
      <c r="L3672" s="136"/>
      <c r="M3672" s="136"/>
      <c r="N3672" s="136"/>
    </row>
    <row r="3673" spans="6:14">
      <c r="F3673" s="136" t="s">
        <v>16032</v>
      </c>
      <c r="G3673" s="136">
        <v>3670</v>
      </c>
      <c r="H3673" s="136" t="s">
        <v>731</v>
      </c>
      <c r="I3673" s="136" t="s">
        <v>731</v>
      </c>
      <c r="J3673" s="136" t="s">
        <v>16033</v>
      </c>
      <c r="L3673" s="136"/>
      <c r="M3673" s="136"/>
      <c r="N3673" s="136"/>
    </row>
    <row r="3674" spans="6:14">
      <c r="F3674" s="136" t="s">
        <v>16034</v>
      </c>
      <c r="G3674" s="136">
        <v>3671</v>
      </c>
      <c r="H3674" s="136" t="s">
        <v>4371</v>
      </c>
      <c r="I3674" s="136" t="s">
        <v>4371</v>
      </c>
      <c r="J3674" s="136" t="s">
        <v>16035</v>
      </c>
      <c r="L3674" s="136"/>
      <c r="M3674" s="136"/>
      <c r="N3674" s="136"/>
    </row>
    <row r="3675" spans="6:14">
      <c r="F3675" s="136" t="s">
        <v>16036</v>
      </c>
      <c r="G3675" s="136">
        <v>3672</v>
      </c>
      <c r="H3675" s="136" t="s">
        <v>3316</v>
      </c>
      <c r="I3675" s="136" t="s">
        <v>3317</v>
      </c>
      <c r="J3675" s="136" t="s">
        <v>16037</v>
      </c>
      <c r="L3675" s="136"/>
      <c r="M3675" s="136"/>
      <c r="N3675" s="136"/>
    </row>
    <row r="3676" spans="6:14">
      <c r="F3676" s="136" t="s">
        <v>16038</v>
      </c>
      <c r="G3676" s="136">
        <v>3673</v>
      </c>
      <c r="H3676" s="136" t="s">
        <v>4416</v>
      </c>
      <c r="I3676" s="136" t="s">
        <v>4417</v>
      </c>
      <c r="J3676" s="136" t="s">
        <v>16039</v>
      </c>
      <c r="L3676" s="136"/>
      <c r="M3676" s="136"/>
      <c r="N3676" s="136"/>
    </row>
    <row r="3677" spans="6:14">
      <c r="F3677" s="136" t="s">
        <v>16040</v>
      </c>
      <c r="G3677" s="136">
        <v>3674</v>
      </c>
      <c r="H3677" s="136" t="s">
        <v>910</v>
      </c>
      <c r="I3677" s="136" t="s">
        <v>911</v>
      </c>
      <c r="J3677" s="136" t="s">
        <v>16041</v>
      </c>
      <c r="L3677" s="136"/>
      <c r="M3677" s="136"/>
      <c r="N3677" s="136"/>
    </row>
    <row r="3678" spans="6:14">
      <c r="F3678" s="136" t="s">
        <v>16042</v>
      </c>
      <c r="G3678" s="136">
        <v>3675</v>
      </c>
      <c r="H3678" s="136" t="s">
        <v>2945</v>
      </c>
      <c r="I3678" s="136" t="s">
        <v>2946</v>
      </c>
      <c r="J3678" s="136" t="s">
        <v>16043</v>
      </c>
      <c r="L3678" s="136"/>
      <c r="M3678" s="136"/>
      <c r="N3678" s="136"/>
    </row>
    <row r="3679" spans="6:14">
      <c r="F3679" s="136" t="s">
        <v>16044</v>
      </c>
      <c r="G3679" s="136">
        <v>3676</v>
      </c>
      <c r="H3679" s="136" t="s">
        <v>6204</v>
      </c>
      <c r="I3679" s="136" t="s">
        <v>6205</v>
      </c>
      <c r="J3679" s="136" t="s">
        <v>16045</v>
      </c>
      <c r="L3679" s="136"/>
      <c r="M3679" s="136"/>
      <c r="N3679" s="136"/>
    </row>
    <row r="3680" spans="6:14">
      <c r="F3680" s="136" t="s">
        <v>16046</v>
      </c>
      <c r="G3680" s="136">
        <v>3677</v>
      </c>
      <c r="H3680" s="136" t="s">
        <v>16047</v>
      </c>
      <c r="I3680" s="136" t="s">
        <v>16048</v>
      </c>
      <c r="J3680" s="136" t="s">
        <v>16049</v>
      </c>
      <c r="L3680" s="136"/>
      <c r="M3680" s="136"/>
      <c r="N3680" s="136"/>
    </row>
    <row r="3681" spans="6:14">
      <c r="F3681" s="136" t="s">
        <v>16050</v>
      </c>
      <c r="G3681" s="136">
        <v>3678</v>
      </c>
      <c r="H3681" s="136" t="s">
        <v>16051</v>
      </c>
      <c r="I3681" s="136" t="s">
        <v>16052</v>
      </c>
      <c r="J3681" s="136" t="s">
        <v>16053</v>
      </c>
      <c r="L3681" s="136"/>
      <c r="M3681" s="136"/>
      <c r="N3681" s="136"/>
    </row>
    <row r="3682" spans="6:14">
      <c r="F3682" s="136" t="s">
        <v>16054</v>
      </c>
      <c r="G3682" s="136">
        <v>3679</v>
      </c>
      <c r="H3682" s="136" t="s">
        <v>3126</v>
      </c>
      <c r="I3682" s="136" t="s">
        <v>3126</v>
      </c>
      <c r="J3682" s="136" t="s">
        <v>16055</v>
      </c>
      <c r="L3682" s="136"/>
      <c r="M3682" s="136"/>
      <c r="N3682" s="136"/>
    </row>
    <row r="3683" spans="6:14">
      <c r="F3683" s="136" t="s">
        <v>16056</v>
      </c>
      <c r="G3683" s="136">
        <v>3680</v>
      </c>
      <c r="H3683" s="136" t="s">
        <v>5273</v>
      </c>
      <c r="I3683" s="136" t="s">
        <v>5274</v>
      </c>
      <c r="J3683" s="136" t="s">
        <v>16057</v>
      </c>
      <c r="L3683" s="136"/>
      <c r="M3683" s="136"/>
      <c r="N3683" s="136"/>
    </row>
    <row r="3684" spans="6:14">
      <c r="F3684" s="136" t="s">
        <v>16058</v>
      </c>
      <c r="G3684" s="136">
        <v>3681</v>
      </c>
      <c r="H3684" s="136" t="s">
        <v>5308</v>
      </c>
      <c r="I3684" s="136" t="s">
        <v>5308</v>
      </c>
      <c r="J3684" s="136" t="s">
        <v>16059</v>
      </c>
      <c r="L3684" s="136"/>
      <c r="M3684" s="136"/>
      <c r="N3684" s="136"/>
    </row>
    <row r="3685" spans="6:14">
      <c r="F3685" s="136" t="s">
        <v>16060</v>
      </c>
      <c r="G3685" s="136">
        <v>3682</v>
      </c>
      <c r="H3685" s="136" t="s">
        <v>16061</v>
      </c>
      <c r="I3685" s="136" t="s">
        <v>16062</v>
      </c>
      <c r="J3685" s="136" t="s">
        <v>16063</v>
      </c>
      <c r="L3685" s="136"/>
      <c r="M3685" s="136"/>
      <c r="N3685" s="136"/>
    </row>
    <row r="3686" spans="6:14">
      <c r="F3686" s="136" t="s">
        <v>16064</v>
      </c>
      <c r="G3686" s="136">
        <v>1807852148</v>
      </c>
      <c r="H3686" s="136" t="s">
        <v>3811</v>
      </c>
      <c r="I3686" s="136" t="s">
        <v>3812</v>
      </c>
      <c r="J3686" s="136" t="s">
        <v>16065</v>
      </c>
      <c r="L3686" s="136"/>
      <c r="M3686" s="136"/>
      <c r="N3686" s="136"/>
    </row>
    <row r="3687" spans="6:14">
      <c r="F3687" s="136" t="s">
        <v>16066</v>
      </c>
      <c r="G3687" s="136">
        <v>3684</v>
      </c>
      <c r="H3687" s="136" t="s">
        <v>5015</v>
      </c>
      <c r="I3687" s="136" t="s">
        <v>5015</v>
      </c>
      <c r="J3687" s="136" t="s">
        <v>16067</v>
      </c>
      <c r="L3687" s="136"/>
      <c r="M3687" s="136"/>
      <c r="N3687" s="136"/>
    </row>
    <row r="3688" spans="6:14">
      <c r="F3688" s="136" t="s">
        <v>16068</v>
      </c>
      <c r="G3688" s="136">
        <v>3685</v>
      </c>
      <c r="H3688" s="136" t="s">
        <v>2085</v>
      </c>
      <c r="I3688" s="136" t="s">
        <v>2086</v>
      </c>
      <c r="J3688" s="136" t="s">
        <v>16069</v>
      </c>
      <c r="L3688" s="136"/>
      <c r="M3688" s="136"/>
      <c r="N3688" s="136"/>
    </row>
    <row r="3689" spans="6:14">
      <c r="F3689" s="136" t="s">
        <v>16070</v>
      </c>
      <c r="G3689" s="136">
        <v>3686</v>
      </c>
      <c r="H3689" s="136" t="s">
        <v>21316</v>
      </c>
      <c r="I3689" s="136" t="s">
        <v>21317</v>
      </c>
      <c r="J3689" s="136" t="s">
        <v>16071</v>
      </c>
      <c r="L3689" s="136"/>
      <c r="M3689" s="136"/>
      <c r="N3689" s="136"/>
    </row>
    <row r="3690" spans="6:14">
      <c r="F3690" s="136" t="s">
        <v>16072</v>
      </c>
      <c r="G3690" s="136">
        <v>3687</v>
      </c>
      <c r="H3690" s="136" t="s">
        <v>887</v>
      </c>
      <c r="I3690" s="136" t="s">
        <v>887</v>
      </c>
      <c r="J3690" s="136" t="s">
        <v>16073</v>
      </c>
      <c r="L3690" s="136"/>
      <c r="M3690" s="136"/>
      <c r="N3690" s="136"/>
    </row>
    <row r="3691" spans="6:14">
      <c r="F3691" s="136" t="s">
        <v>16074</v>
      </c>
      <c r="G3691" s="136">
        <v>3688</v>
      </c>
      <c r="H3691" s="136" t="s">
        <v>1994</v>
      </c>
      <c r="I3691" s="136" t="s">
        <v>1994</v>
      </c>
      <c r="J3691" s="136" t="s">
        <v>16075</v>
      </c>
      <c r="L3691" s="136"/>
      <c r="M3691" s="136"/>
      <c r="N3691" s="136"/>
    </row>
    <row r="3692" spans="6:14">
      <c r="F3692" s="136" t="s">
        <v>16076</v>
      </c>
      <c r="G3692" s="136">
        <v>3689</v>
      </c>
      <c r="H3692" s="136" t="s">
        <v>3310</v>
      </c>
      <c r="I3692" s="136" t="s">
        <v>3310</v>
      </c>
      <c r="J3692" s="136" t="s">
        <v>16077</v>
      </c>
      <c r="L3692" s="136"/>
      <c r="M3692" s="136"/>
      <c r="N3692" s="136"/>
    </row>
    <row r="3693" spans="6:14">
      <c r="F3693" s="136" t="s">
        <v>16078</v>
      </c>
      <c r="G3693" s="136">
        <v>3690</v>
      </c>
      <c r="H3693" s="136" t="s">
        <v>5480</v>
      </c>
      <c r="I3693" s="136" t="s">
        <v>5481</v>
      </c>
      <c r="J3693" s="136" t="s">
        <v>16079</v>
      </c>
      <c r="L3693" s="136"/>
      <c r="M3693" s="136"/>
      <c r="N3693" s="136"/>
    </row>
    <row r="3694" spans="6:14">
      <c r="F3694" s="136" t="s">
        <v>16080</v>
      </c>
      <c r="G3694" s="136">
        <v>3691</v>
      </c>
      <c r="H3694" s="136" t="s">
        <v>16081</v>
      </c>
      <c r="I3694" s="136" t="s">
        <v>16082</v>
      </c>
      <c r="J3694" s="136" t="s">
        <v>16083</v>
      </c>
      <c r="L3694" s="136"/>
      <c r="M3694" s="136"/>
      <c r="N3694" s="136"/>
    </row>
    <row r="3695" spans="6:14">
      <c r="F3695" s="136" t="s">
        <v>16084</v>
      </c>
      <c r="G3695" s="136">
        <v>15376092461</v>
      </c>
      <c r="H3695" s="136" t="s">
        <v>3071</v>
      </c>
      <c r="I3695" s="136" t="s">
        <v>3072</v>
      </c>
      <c r="J3695" s="136" t="s">
        <v>16085</v>
      </c>
      <c r="L3695" s="136"/>
      <c r="M3695" s="136"/>
      <c r="N3695" s="136"/>
    </row>
    <row r="3696" spans="6:14">
      <c r="F3696" s="136" t="s">
        <v>16086</v>
      </c>
      <c r="G3696" s="136">
        <v>3693</v>
      </c>
      <c r="H3696" s="136" t="s">
        <v>3732</v>
      </c>
      <c r="I3696" s="136" t="s">
        <v>3733</v>
      </c>
      <c r="J3696" s="136" t="s">
        <v>16087</v>
      </c>
      <c r="L3696" s="136"/>
      <c r="M3696" s="136"/>
      <c r="N3696" s="136"/>
    </row>
    <row r="3697" spans="6:14">
      <c r="F3697" s="136" t="s">
        <v>16088</v>
      </c>
      <c r="G3697" s="136">
        <v>3694</v>
      </c>
      <c r="H3697" s="136" t="s">
        <v>4049</v>
      </c>
      <c r="I3697" s="136" t="s">
        <v>4049</v>
      </c>
      <c r="J3697" s="136" t="s">
        <v>16089</v>
      </c>
      <c r="L3697" s="136"/>
      <c r="M3697" s="136"/>
      <c r="N3697" s="136"/>
    </row>
    <row r="3698" spans="6:14">
      <c r="F3698" s="136" t="s">
        <v>16090</v>
      </c>
      <c r="G3698" s="136">
        <v>3695</v>
      </c>
      <c r="H3698" s="136" t="s">
        <v>1232</v>
      </c>
      <c r="I3698" s="136" t="s">
        <v>1232</v>
      </c>
      <c r="J3698" s="136" t="s">
        <v>16091</v>
      </c>
      <c r="L3698" s="136"/>
      <c r="M3698" s="136"/>
      <c r="N3698" s="136"/>
    </row>
    <row r="3699" spans="6:14">
      <c r="F3699" s="136" t="s">
        <v>16092</v>
      </c>
      <c r="G3699" s="136">
        <v>3696</v>
      </c>
      <c r="H3699" s="136" t="s">
        <v>2910</v>
      </c>
      <c r="I3699" s="136" t="s">
        <v>2911</v>
      </c>
      <c r="J3699" s="136" t="s">
        <v>16093</v>
      </c>
      <c r="L3699" s="136"/>
      <c r="M3699" s="136"/>
      <c r="N3699" s="136"/>
    </row>
    <row r="3700" spans="6:14">
      <c r="F3700" s="136" t="s">
        <v>16094</v>
      </c>
      <c r="G3700" s="136">
        <v>3697</v>
      </c>
      <c r="H3700" s="136" t="s">
        <v>1072</v>
      </c>
      <c r="I3700" s="136" t="s">
        <v>1073</v>
      </c>
      <c r="J3700" s="136" t="s">
        <v>16095</v>
      </c>
      <c r="L3700" s="136"/>
      <c r="M3700" s="136"/>
      <c r="N3700" s="136"/>
    </row>
    <row r="3701" spans="6:14">
      <c r="F3701" s="136" t="s">
        <v>16096</v>
      </c>
      <c r="G3701" s="136">
        <v>3698</v>
      </c>
      <c r="H3701" s="136" t="s">
        <v>3793</v>
      </c>
      <c r="I3701" s="136" t="s">
        <v>3794</v>
      </c>
      <c r="J3701" s="136" t="s">
        <v>16097</v>
      </c>
      <c r="L3701" s="136"/>
      <c r="M3701" s="136"/>
      <c r="N3701" s="136"/>
    </row>
    <row r="3702" spans="6:14">
      <c r="F3702" s="136" t="s">
        <v>16098</v>
      </c>
      <c r="G3702" s="136">
        <v>3699</v>
      </c>
      <c r="H3702" s="136" t="s">
        <v>2360</v>
      </c>
      <c r="I3702" s="136" t="s">
        <v>2361</v>
      </c>
      <c r="J3702" s="136" t="s">
        <v>16099</v>
      </c>
      <c r="L3702" s="136"/>
      <c r="M3702" s="136"/>
      <c r="N3702" s="136"/>
    </row>
    <row r="3703" spans="6:14">
      <c r="F3703" s="136" t="s">
        <v>16100</v>
      </c>
      <c r="G3703" s="136">
        <v>3700</v>
      </c>
      <c r="H3703" s="136" t="s">
        <v>7261</v>
      </c>
      <c r="I3703" s="136" t="s">
        <v>7262</v>
      </c>
      <c r="J3703" s="136" t="s">
        <v>16101</v>
      </c>
      <c r="L3703" s="136"/>
      <c r="M3703" s="136"/>
      <c r="N3703" s="136"/>
    </row>
    <row r="3704" spans="6:14">
      <c r="F3704" s="136" t="s">
        <v>16102</v>
      </c>
      <c r="G3704" s="136">
        <v>3701</v>
      </c>
      <c r="H3704" s="136" t="s">
        <v>5662</v>
      </c>
      <c r="I3704" s="136" t="s">
        <v>5663</v>
      </c>
      <c r="J3704" s="136" t="s">
        <v>16103</v>
      </c>
      <c r="L3704" s="136"/>
      <c r="M3704" s="136"/>
      <c r="N3704" s="136"/>
    </row>
    <row r="3705" spans="6:14">
      <c r="F3705" s="136" t="s">
        <v>16104</v>
      </c>
      <c r="G3705" s="136">
        <v>3702</v>
      </c>
      <c r="H3705" s="136" t="s">
        <v>4205</v>
      </c>
      <c r="I3705" s="136" t="s">
        <v>4206</v>
      </c>
      <c r="J3705" s="136" t="s">
        <v>16105</v>
      </c>
      <c r="L3705" s="136"/>
      <c r="M3705" s="136"/>
      <c r="N3705" s="136"/>
    </row>
    <row r="3706" spans="6:14">
      <c r="F3706" s="136" t="s">
        <v>16106</v>
      </c>
      <c r="G3706" s="136">
        <v>3703</v>
      </c>
      <c r="H3706" s="136" t="s">
        <v>5727</v>
      </c>
      <c r="I3706" s="136" t="s">
        <v>5728</v>
      </c>
      <c r="J3706" s="136" t="s">
        <v>16107</v>
      </c>
      <c r="L3706" s="136"/>
      <c r="M3706" s="136"/>
      <c r="N3706" s="136"/>
    </row>
    <row r="3707" spans="6:14">
      <c r="F3707" s="136" t="s">
        <v>16108</v>
      </c>
      <c r="G3707" s="136">
        <v>3704</v>
      </c>
      <c r="H3707" s="136" t="s">
        <v>5604</v>
      </c>
      <c r="I3707" s="136" t="s">
        <v>5605</v>
      </c>
      <c r="J3707" s="136" t="s">
        <v>16109</v>
      </c>
      <c r="L3707" s="136"/>
      <c r="M3707" s="136"/>
      <c r="N3707" s="136"/>
    </row>
    <row r="3708" spans="6:14">
      <c r="F3708" s="136" t="s">
        <v>16110</v>
      </c>
      <c r="G3708" s="136">
        <v>3705</v>
      </c>
      <c r="H3708" s="136" t="s">
        <v>5816</v>
      </c>
      <c r="I3708" s="136" t="s">
        <v>5817</v>
      </c>
      <c r="J3708" s="136" t="s">
        <v>16111</v>
      </c>
      <c r="L3708" s="136"/>
      <c r="M3708" s="136"/>
      <c r="N3708" s="136"/>
    </row>
    <row r="3709" spans="6:14">
      <c r="F3709" s="136" t="s">
        <v>16112</v>
      </c>
      <c r="G3709" s="136">
        <v>3706</v>
      </c>
      <c r="H3709" s="136" t="s">
        <v>1293</v>
      </c>
      <c r="I3709" s="136" t="s">
        <v>1294</v>
      </c>
      <c r="J3709" s="136" t="s">
        <v>16113</v>
      </c>
      <c r="L3709" s="136"/>
      <c r="M3709" s="136"/>
      <c r="N3709" s="136"/>
    </row>
    <row r="3710" spans="6:14">
      <c r="F3710" s="136" t="s">
        <v>16114</v>
      </c>
      <c r="G3710" s="136">
        <v>3707</v>
      </c>
      <c r="H3710" s="136" t="s">
        <v>16115</v>
      </c>
      <c r="I3710" s="136" t="s">
        <v>16116</v>
      </c>
      <c r="J3710" s="136" t="s">
        <v>16117</v>
      </c>
      <c r="L3710" s="136"/>
      <c r="M3710" s="136"/>
      <c r="N3710" s="136"/>
    </row>
    <row r="3711" spans="6:14">
      <c r="F3711" s="136" t="s">
        <v>16118</v>
      </c>
      <c r="G3711" s="136">
        <v>3708</v>
      </c>
      <c r="H3711" s="136" t="s">
        <v>2871</v>
      </c>
      <c r="I3711" s="136" t="s">
        <v>2872</v>
      </c>
      <c r="J3711" s="136" t="s">
        <v>16119</v>
      </c>
      <c r="L3711" s="136"/>
      <c r="M3711" s="136"/>
      <c r="N3711" s="136"/>
    </row>
    <row r="3712" spans="6:14">
      <c r="F3712" s="136" t="s">
        <v>16120</v>
      </c>
      <c r="G3712" s="136">
        <v>3709</v>
      </c>
      <c r="H3712" s="136" t="s">
        <v>6152</v>
      </c>
      <c r="I3712" s="136" t="s">
        <v>6153</v>
      </c>
      <c r="J3712" s="136" t="s">
        <v>16121</v>
      </c>
      <c r="L3712" s="136"/>
      <c r="M3712" s="136"/>
      <c r="N3712" s="136"/>
    </row>
    <row r="3713" spans="6:14">
      <c r="F3713" s="136" t="s">
        <v>16122</v>
      </c>
      <c r="G3713" s="136">
        <v>3710</v>
      </c>
      <c r="H3713" s="136" t="s">
        <v>940</v>
      </c>
      <c r="I3713" s="136" t="s">
        <v>941</v>
      </c>
      <c r="J3713" s="136" t="s">
        <v>16123</v>
      </c>
      <c r="L3713" s="136"/>
      <c r="M3713" s="136"/>
      <c r="N3713" s="136"/>
    </row>
    <row r="3714" spans="6:14">
      <c r="F3714" s="136" t="s">
        <v>16124</v>
      </c>
      <c r="G3714" s="136">
        <v>3711</v>
      </c>
      <c r="H3714" s="136" t="s">
        <v>616</v>
      </c>
      <c r="I3714" s="136" t="s">
        <v>617</v>
      </c>
      <c r="J3714" s="136" t="s">
        <v>16125</v>
      </c>
      <c r="L3714" s="136"/>
      <c r="M3714" s="136"/>
      <c r="N3714" s="136"/>
    </row>
    <row r="3715" spans="6:14">
      <c r="F3715" s="136" t="s">
        <v>16126</v>
      </c>
      <c r="G3715" s="136">
        <v>3712</v>
      </c>
      <c r="H3715" s="136" t="s">
        <v>2912</v>
      </c>
      <c r="I3715" s="136" t="s">
        <v>2912</v>
      </c>
      <c r="J3715" s="136" t="s">
        <v>16127</v>
      </c>
      <c r="L3715" s="136"/>
      <c r="M3715" s="136"/>
      <c r="N3715" s="136"/>
    </row>
    <row r="3716" spans="6:14">
      <c r="F3716" s="136" t="s">
        <v>16128</v>
      </c>
      <c r="G3716" s="136">
        <v>3713</v>
      </c>
      <c r="H3716" s="136" t="s">
        <v>3132</v>
      </c>
      <c r="I3716" s="136" t="s">
        <v>3133</v>
      </c>
      <c r="J3716" s="136" t="s">
        <v>16129</v>
      </c>
      <c r="L3716" s="136"/>
      <c r="M3716" s="136"/>
      <c r="N3716" s="136"/>
    </row>
    <row r="3717" spans="6:14">
      <c r="F3717" s="136" t="s">
        <v>16130</v>
      </c>
      <c r="G3717" s="136">
        <v>14730512901</v>
      </c>
      <c r="H3717" s="136" t="s">
        <v>4613</v>
      </c>
      <c r="I3717" s="136" t="s">
        <v>4614</v>
      </c>
      <c r="J3717" s="136" t="s">
        <v>16131</v>
      </c>
      <c r="L3717" s="136"/>
      <c r="M3717" s="136"/>
      <c r="N3717" s="136"/>
    </row>
    <row r="3718" spans="6:14">
      <c r="F3718" s="136" t="s">
        <v>16132</v>
      </c>
      <c r="G3718" s="136">
        <v>46175133889</v>
      </c>
      <c r="H3718" s="136" t="s">
        <v>3487</v>
      </c>
      <c r="I3718" s="136" t="s">
        <v>3488</v>
      </c>
      <c r="J3718" s="136" t="s">
        <v>16133</v>
      </c>
      <c r="L3718" s="136"/>
      <c r="M3718" s="136"/>
      <c r="N3718" s="136"/>
    </row>
    <row r="3719" spans="6:14">
      <c r="F3719" s="136" t="s">
        <v>16134</v>
      </c>
      <c r="G3719" s="136">
        <v>3716</v>
      </c>
      <c r="H3719" s="136" t="s">
        <v>16135</v>
      </c>
      <c r="I3719" s="136" t="s">
        <v>16136</v>
      </c>
      <c r="J3719" s="136" t="s">
        <v>16137</v>
      </c>
      <c r="L3719" s="136"/>
      <c r="M3719" s="136"/>
      <c r="N3719" s="136"/>
    </row>
    <row r="3720" spans="6:14">
      <c r="F3720" s="136" t="s">
        <v>16138</v>
      </c>
      <c r="G3720" s="136">
        <v>3717</v>
      </c>
      <c r="H3720" s="136" t="s">
        <v>16139</v>
      </c>
      <c r="I3720" s="136" t="s">
        <v>16140</v>
      </c>
      <c r="J3720" s="136" t="s">
        <v>16141</v>
      </c>
      <c r="L3720" s="136"/>
      <c r="M3720" s="136"/>
      <c r="N3720" s="136"/>
    </row>
    <row r="3721" spans="6:14">
      <c r="F3721" s="136" t="s">
        <v>16142</v>
      </c>
      <c r="G3721" s="136">
        <v>3718</v>
      </c>
      <c r="H3721" s="136" t="s">
        <v>5306</v>
      </c>
      <c r="I3721" s="136" t="s">
        <v>5307</v>
      </c>
      <c r="J3721" s="136" t="s">
        <v>16143</v>
      </c>
      <c r="L3721" s="136"/>
      <c r="M3721" s="136"/>
      <c r="N3721" s="136"/>
    </row>
    <row r="3722" spans="6:14">
      <c r="F3722" s="136" t="s">
        <v>16144</v>
      </c>
      <c r="G3722" s="136">
        <v>3719</v>
      </c>
      <c r="H3722" s="136" t="s">
        <v>2514</v>
      </c>
      <c r="I3722" s="136" t="s">
        <v>2516</v>
      </c>
      <c r="J3722" s="136" t="s">
        <v>16145</v>
      </c>
      <c r="L3722" s="136"/>
      <c r="M3722" s="136"/>
      <c r="N3722" s="136"/>
    </row>
    <row r="3723" spans="6:14">
      <c r="F3723" s="136" t="s">
        <v>16146</v>
      </c>
      <c r="G3723" s="136">
        <v>3720</v>
      </c>
      <c r="H3723" s="136" t="s">
        <v>3868</v>
      </c>
      <c r="I3723" s="136" t="s">
        <v>3869</v>
      </c>
      <c r="J3723" s="136" t="s">
        <v>16147</v>
      </c>
      <c r="L3723" s="136"/>
      <c r="M3723" s="136"/>
      <c r="N3723" s="136"/>
    </row>
    <row r="3724" spans="6:14">
      <c r="F3724" s="136" t="s">
        <v>16148</v>
      </c>
      <c r="G3724" s="136">
        <v>3721</v>
      </c>
      <c r="H3724" s="136" t="s">
        <v>14074</v>
      </c>
      <c r="I3724" s="136" t="s">
        <v>16149</v>
      </c>
      <c r="J3724" s="136" t="s">
        <v>16150</v>
      </c>
      <c r="L3724" s="136"/>
      <c r="M3724" s="136"/>
      <c r="N3724" s="136"/>
    </row>
    <row r="3725" spans="6:14">
      <c r="F3725" s="136" t="s">
        <v>16151</v>
      </c>
      <c r="G3725" s="136">
        <v>3722</v>
      </c>
      <c r="H3725" s="136" t="s">
        <v>3256</v>
      </c>
      <c r="I3725" s="136" t="s">
        <v>3256</v>
      </c>
      <c r="J3725" s="136" t="s">
        <v>16152</v>
      </c>
      <c r="L3725" s="136"/>
      <c r="M3725" s="136"/>
      <c r="N3725" s="136"/>
    </row>
    <row r="3726" spans="6:14">
      <c r="F3726" s="136" t="s">
        <v>16153</v>
      </c>
      <c r="G3726" s="136">
        <v>44089786800</v>
      </c>
      <c r="H3726" s="136" t="s">
        <v>5437</v>
      </c>
      <c r="I3726" s="136" t="s">
        <v>5437</v>
      </c>
      <c r="J3726" s="136" t="s">
        <v>16154</v>
      </c>
      <c r="L3726" s="136"/>
      <c r="M3726" s="136"/>
      <c r="N3726" s="136"/>
    </row>
    <row r="3727" spans="6:14">
      <c r="F3727" s="136" t="s">
        <v>16155</v>
      </c>
      <c r="G3727" s="136">
        <v>3724</v>
      </c>
      <c r="H3727" s="136" t="s">
        <v>16156</v>
      </c>
      <c r="I3727" s="136" t="s">
        <v>16157</v>
      </c>
      <c r="J3727" s="136" t="s">
        <v>16158</v>
      </c>
      <c r="L3727" s="136"/>
      <c r="M3727" s="136"/>
      <c r="N3727" s="136"/>
    </row>
    <row r="3728" spans="6:14">
      <c r="F3728" s="136" t="s">
        <v>16159</v>
      </c>
      <c r="G3728" s="136">
        <v>3725</v>
      </c>
      <c r="H3728" s="136" t="s">
        <v>3807</v>
      </c>
      <c r="I3728" s="136" t="s">
        <v>3808</v>
      </c>
      <c r="J3728" s="136" t="s">
        <v>16160</v>
      </c>
      <c r="L3728" s="136"/>
      <c r="M3728" s="136"/>
      <c r="N3728" s="136"/>
    </row>
    <row r="3729" spans="6:14">
      <c r="F3729" s="136" t="s">
        <v>16161</v>
      </c>
      <c r="G3729" s="136">
        <v>3726</v>
      </c>
      <c r="H3729" s="136" t="s">
        <v>2987</v>
      </c>
      <c r="I3729" s="136" t="s">
        <v>2988</v>
      </c>
      <c r="J3729" s="136" t="s">
        <v>16162</v>
      </c>
      <c r="L3729" s="136"/>
      <c r="M3729" s="136"/>
      <c r="N3729" s="136"/>
    </row>
    <row r="3730" spans="6:14">
      <c r="F3730" s="136" t="s">
        <v>16163</v>
      </c>
      <c r="G3730" s="136">
        <v>3727</v>
      </c>
      <c r="H3730" s="136" t="s">
        <v>238</v>
      </c>
      <c r="I3730" s="136" t="s">
        <v>239</v>
      </c>
      <c r="J3730" s="136" t="s">
        <v>16164</v>
      </c>
      <c r="L3730" s="136"/>
      <c r="M3730" s="136"/>
      <c r="N3730" s="136"/>
    </row>
    <row r="3731" spans="6:14">
      <c r="F3731" s="136" t="s">
        <v>16165</v>
      </c>
      <c r="G3731" s="136">
        <v>3728</v>
      </c>
      <c r="H3731" s="136" t="s">
        <v>16166</v>
      </c>
      <c r="I3731" s="136" t="s">
        <v>16167</v>
      </c>
      <c r="J3731" s="136" t="s">
        <v>16168</v>
      </c>
      <c r="L3731" s="136"/>
      <c r="M3731" s="136"/>
      <c r="N3731" s="136"/>
    </row>
    <row r="3732" spans="6:14">
      <c r="F3732" s="136" t="s">
        <v>16169</v>
      </c>
      <c r="G3732" s="136">
        <v>3729</v>
      </c>
      <c r="H3732" s="136" t="s">
        <v>16170</v>
      </c>
      <c r="I3732" s="136" t="s">
        <v>16171</v>
      </c>
      <c r="J3732" s="136" t="s">
        <v>16172</v>
      </c>
      <c r="L3732" s="136"/>
      <c r="M3732" s="136"/>
      <c r="N3732" s="136"/>
    </row>
    <row r="3733" spans="6:14">
      <c r="F3733" s="136" t="s">
        <v>16173</v>
      </c>
      <c r="G3733" s="136">
        <v>3730</v>
      </c>
      <c r="H3733" s="136" t="s">
        <v>16174</v>
      </c>
      <c r="I3733" s="136" t="s">
        <v>16175</v>
      </c>
      <c r="J3733" s="136" t="s">
        <v>16176</v>
      </c>
      <c r="L3733" s="136"/>
      <c r="M3733" s="136"/>
      <c r="N3733" s="136"/>
    </row>
    <row r="3734" spans="6:14">
      <c r="F3734" s="136" t="s">
        <v>16177</v>
      </c>
      <c r="G3734" s="136">
        <v>3731</v>
      </c>
      <c r="H3734" s="136" t="s">
        <v>16178</v>
      </c>
      <c r="I3734" s="136" t="s">
        <v>16179</v>
      </c>
      <c r="J3734" s="136" t="s">
        <v>16180</v>
      </c>
      <c r="L3734" s="136"/>
      <c r="M3734" s="136"/>
      <c r="N3734" s="136"/>
    </row>
    <row r="3735" spans="6:14">
      <c r="F3735" s="136" t="s">
        <v>16181</v>
      </c>
      <c r="G3735" s="136">
        <v>3732</v>
      </c>
      <c r="H3735" s="136" t="s">
        <v>6072</v>
      </c>
      <c r="I3735" s="136" t="s">
        <v>6073</v>
      </c>
      <c r="J3735" s="136" t="s">
        <v>16182</v>
      </c>
      <c r="L3735" s="136"/>
      <c r="M3735" s="136"/>
      <c r="N3735" s="136"/>
    </row>
    <row r="3736" spans="6:14">
      <c r="F3736" s="136" t="s">
        <v>16183</v>
      </c>
      <c r="G3736" s="136">
        <v>3733</v>
      </c>
      <c r="H3736" s="136" t="s">
        <v>16184</v>
      </c>
      <c r="I3736" s="136" t="s">
        <v>16185</v>
      </c>
      <c r="J3736" s="136" t="s">
        <v>16186</v>
      </c>
      <c r="L3736" s="136"/>
      <c r="M3736" s="136"/>
      <c r="N3736" s="136"/>
    </row>
    <row r="3737" spans="6:14">
      <c r="F3737" s="136" t="s">
        <v>16187</v>
      </c>
      <c r="G3737" s="136">
        <v>3734</v>
      </c>
      <c r="H3737" s="136" t="s">
        <v>16188</v>
      </c>
      <c r="I3737" s="136" t="s">
        <v>16189</v>
      </c>
      <c r="J3737" s="136" t="s">
        <v>16190</v>
      </c>
      <c r="L3737" s="136"/>
      <c r="M3737" s="136"/>
      <c r="N3737" s="136"/>
    </row>
    <row r="3738" spans="6:14">
      <c r="F3738" s="136" t="s">
        <v>16191</v>
      </c>
      <c r="G3738" s="136">
        <v>3735</v>
      </c>
      <c r="H3738" s="136" t="s">
        <v>132</v>
      </c>
      <c r="I3738" s="136" t="s">
        <v>133</v>
      </c>
      <c r="J3738" s="136" t="s">
        <v>16192</v>
      </c>
      <c r="L3738" s="136"/>
      <c r="M3738" s="136"/>
      <c r="N3738" s="136"/>
    </row>
    <row r="3739" spans="6:14">
      <c r="F3739" s="136" t="s">
        <v>16193</v>
      </c>
      <c r="G3739" s="136">
        <v>3736</v>
      </c>
      <c r="H3739" s="136" t="s">
        <v>1183</v>
      </c>
      <c r="I3739" s="136" t="s">
        <v>1184</v>
      </c>
      <c r="J3739" s="136" t="s">
        <v>16194</v>
      </c>
      <c r="L3739" s="136"/>
      <c r="M3739" s="136"/>
      <c r="N3739" s="136"/>
    </row>
    <row r="3740" spans="6:14">
      <c r="F3740" s="136" t="s">
        <v>16195</v>
      </c>
      <c r="G3740" s="136">
        <v>3737</v>
      </c>
      <c r="H3740" s="136" t="s">
        <v>16196</v>
      </c>
      <c r="I3740" s="136" t="s">
        <v>16197</v>
      </c>
      <c r="J3740" s="136" t="s">
        <v>16198</v>
      </c>
      <c r="L3740" s="136"/>
      <c r="M3740" s="136"/>
      <c r="N3740" s="136"/>
    </row>
    <row r="3741" spans="6:14">
      <c r="F3741" s="136" t="s">
        <v>16199</v>
      </c>
      <c r="G3741" s="136">
        <v>3738</v>
      </c>
      <c r="H3741" s="136" t="s">
        <v>16200</v>
      </c>
      <c r="I3741" s="136" t="s">
        <v>16201</v>
      </c>
      <c r="J3741" s="136" t="s">
        <v>16202</v>
      </c>
      <c r="L3741" s="136"/>
      <c r="M3741" s="136"/>
      <c r="N3741" s="136"/>
    </row>
    <row r="3742" spans="6:14">
      <c r="F3742" s="136" t="s">
        <v>16203</v>
      </c>
      <c r="G3742" s="136">
        <v>3739</v>
      </c>
      <c r="H3742" s="136" t="s">
        <v>2304</v>
      </c>
      <c r="I3742" s="136" t="s">
        <v>2305</v>
      </c>
      <c r="J3742" s="136" t="s">
        <v>16204</v>
      </c>
      <c r="L3742" s="136"/>
      <c r="M3742" s="136"/>
      <c r="N3742" s="136"/>
    </row>
    <row r="3743" spans="6:14">
      <c r="F3743" s="136" t="s">
        <v>16205</v>
      </c>
      <c r="G3743" s="136">
        <v>3740</v>
      </c>
      <c r="H3743" s="136" t="s">
        <v>306</v>
      </c>
      <c r="I3743" s="136" t="s">
        <v>307</v>
      </c>
      <c r="J3743" s="136" t="s">
        <v>16206</v>
      </c>
      <c r="L3743" s="136"/>
      <c r="M3743" s="136"/>
      <c r="N3743" s="136"/>
    </row>
    <row r="3744" spans="6:14">
      <c r="F3744" s="136" t="s">
        <v>16207</v>
      </c>
      <c r="G3744" s="136">
        <v>3741</v>
      </c>
      <c r="H3744" s="136" t="s">
        <v>16208</v>
      </c>
      <c r="I3744" s="136" t="s">
        <v>16209</v>
      </c>
      <c r="J3744" s="136" t="s">
        <v>16210</v>
      </c>
      <c r="L3744" s="136"/>
      <c r="M3744" s="136"/>
      <c r="N3744" s="136"/>
    </row>
    <row r="3745" spans="6:14">
      <c r="F3745" s="136" t="s">
        <v>16211</v>
      </c>
      <c r="G3745" s="136">
        <v>3742</v>
      </c>
      <c r="H3745" s="136" t="s">
        <v>16212</v>
      </c>
      <c r="I3745" s="136" t="s">
        <v>16213</v>
      </c>
      <c r="J3745" s="136" t="s">
        <v>16214</v>
      </c>
      <c r="L3745" s="136"/>
      <c r="M3745" s="136"/>
      <c r="N3745" s="136"/>
    </row>
    <row r="3746" spans="6:14">
      <c r="F3746" s="136" t="s">
        <v>16215</v>
      </c>
      <c r="G3746" s="136">
        <v>3743</v>
      </c>
      <c r="H3746" s="136" t="s">
        <v>16216</v>
      </c>
      <c r="I3746" s="136" t="s">
        <v>16216</v>
      </c>
      <c r="J3746" s="136" t="s">
        <v>16217</v>
      </c>
      <c r="L3746" s="136"/>
      <c r="M3746" s="136"/>
      <c r="N3746" s="136"/>
    </row>
    <row r="3747" spans="6:14">
      <c r="F3747" s="136" t="s">
        <v>16218</v>
      </c>
      <c r="G3747" s="136">
        <v>3744</v>
      </c>
      <c r="H3747" s="136" t="s">
        <v>1733</v>
      </c>
      <c r="I3747" s="136" t="s">
        <v>1734</v>
      </c>
      <c r="J3747" s="136" t="s">
        <v>16219</v>
      </c>
      <c r="L3747" s="136"/>
      <c r="M3747" s="136"/>
      <c r="N3747" s="136"/>
    </row>
    <row r="3748" spans="6:14">
      <c r="F3748" s="136" t="s">
        <v>16220</v>
      </c>
      <c r="G3748" s="136">
        <v>3745</v>
      </c>
      <c r="H3748" s="136" t="s">
        <v>167</v>
      </c>
      <c r="I3748" s="136" t="s">
        <v>167</v>
      </c>
      <c r="J3748" s="136" t="s">
        <v>16221</v>
      </c>
      <c r="L3748" s="136"/>
      <c r="M3748" s="136"/>
      <c r="N3748" s="136"/>
    </row>
    <row r="3749" spans="6:14">
      <c r="F3749" s="136" t="s">
        <v>16222</v>
      </c>
      <c r="G3749" s="136">
        <v>3746</v>
      </c>
      <c r="H3749" s="136" t="s">
        <v>5167</v>
      </c>
      <c r="I3749" s="136" t="s">
        <v>5167</v>
      </c>
      <c r="J3749" s="136" t="s">
        <v>16223</v>
      </c>
      <c r="L3749" s="136"/>
      <c r="M3749" s="136"/>
      <c r="N3749" s="136"/>
    </row>
    <row r="3750" spans="6:14">
      <c r="F3750" s="136" t="s">
        <v>16224</v>
      </c>
      <c r="G3750" s="136">
        <v>3747</v>
      </c>
      <c r="H3750" s="136" t="s">
        <v>5970</v>
      </c>
      <c r="I3750" s="136" t="s">
        <v>5971</v>
      </c>
      <c r="J3750" s="136" t="s">
        <v>16225</v>
      </c>
      <c r="L3750" s="136"/>
      <c r="M3750" s="136"/>
      <c r="N3750" s="136"/>
    </row>
    <row r="3751" spans="6:14">
      <c r="F3751" s="136" t="s">
        <v>16226</v>
      </c>
      <c r="G3751" s="136">
        <v>3748</v>
      </c>
      <c r="H3751" s="136" t="s">
        <v>5643</v>
      </c>
      <c r="I3751" s="136" t="s">
        <v>5644</v>
      </c>
      <c r="J3751" s="136" t="s">
        <v>16227</v>
      </c>
      <c r="L3751" s="136"/>
      <c r="M3751" s="136"/>
      <c r="N3751" s="136"/>
    </row>
    <row r="3752" spans="6:14">
      <c r="F3752" s="136" t="s">
        <v>16228</v>
      </c>
      <c r="G3752" s="136">
        <v>3749</v>
      </c>
      <c r="H3752" s="136" t="s">
        <v>2390</v>
      </c>
      <c r="I3752" s="136" t="s">
        <v>2390</v>
      </c>
      <c r="J3752" s="136" t="s">
        <v>16229</v>
      </c>
      <c r="L3752" s="136"/>
      <c r="M3752" s="136"/>
      <c r="N3752" s="136"/>
    </row>
    <row r="3753" spans="6:14">
      <c r="F3753" s="136" t="s">
        <v>16230</v>
      </c>
      <c r="G3753" s="136">
        <v>3750</v>
      </c>
      <c r="H3753" s="136" t="s">
        <v>16231</v>
      </c>
      <c r="I3753" s="136" t="s">
        <v>16231</v>
      </c>
      <c r="J3753" s="136" t="s">
        <v>16232</v>
      </c>
      <c r="L3753" s="136"/>
      <c r="M3753" s="136"/>
      <c r="N3753" s="136"/>
    </row>
    <row r="3754" spans="6:14">
      <c r="F3754" s="136" t="s">
        <v>16233</v>
      </c>
      <c r="G3754" s="136">
        <v>3751</v>
      </c>
      <c r="H3754" s="136" t="s">
        <v>16234</v>
      </c>
      <c r="I3754" s="136" t="s">
        <v>16235</v>
      </c>
      <c r="J3754" s="136" t="s">
        <v>16236</v>
      </c>
      <c r="L3754" s="136"/>
      <c r="M3754" s="136"/>
      <c r="N3754" s="136"/>
    </row>
    <row r="3755" spans="6:14">
      <c r="F3755" s="136" t="s">
        <v>16237</v>
      </c>
      <c r="G3755" s="136">
        <v>3752</v>
      </c>
      <c r="H3755" s="136" t="s">
        <v>4402</v>
      </c>
      <c r="I3755" s="136" t="s">
        <v>4403</v>
      </c>
      <c r="J3755" s="136" t="s">
        <v>16238</v>
      </c>
      <c r="L3755" s="136"/>
      <c r="M3755" s="136"/>
      <c r="N3755" s="136"/>
    </row>
    <row r="3756" spans="6:14">
      <c r="F3756" s="136" t="s">
        <v>16239</v>
      </c>
      <c r="G3756" s="136">
        <v>3753</v>
      </c>
      <c r="H3756" s="136" t="s">
        <v>445</v>
      </c>
      <c r="I3756" s="136" t="s">
        <v>447</v>
      </c>
      <c r="J3756" s="136" t="s">
        <v>16240</v>
      </c>
      <c r="L3756" s="136"/>
      <c r="M3756" s="136"/>
      <c r="N3756" s="136"/>
    </row>
    <row r="3757" spans="6:14">
      <c r="F3757" s="136" t="s">
        <v>16241</v>
      </c>
      <c r="G3757" s="136">
        <v>3754</v>
      </c>
      <c r="H3757" s="136" t="s">
        <v>1104</v>
      </c>
      <c r="I3757" s="136" t="s">
        <v>1105</v>
      </c>
      <c r="J3757" s="136" t="s">
        <v>16242</v>
      </c>
      <c r="L3757" s="136"/>
      <c r="M3757" s="136"/>
      <c r="N3757" s="136"/>
    </row>
    <row r="3758" spans="6:14">
      <c r="F3758" s="136" t="s">
        <v>16243</v>
      </c>
      <c r="G3758" s="136">
        <v>3755</v>
      </c>
      <c r="H3758" s="136" t="s">
        <v>5904</v>
      </c>
      <c r="I3758" s="136" t="s">
        <v>5905</v>
      </c>
      <c r="J3758" s="136" t="s">
        <v>16244</v>
      </c>
      <c r="L3758" s="136"/>
      <c r="M3758" s="136"/>
      <c r="N3758" s="136"/>
    </row>
    <row r="3759" spans="6:14">
      <c r="F3759" s="136" t="s">
        <v>16245</v>
      </c>
      <c r="G3759" s="136">
        <v>3756</v>
      </c>
      <c r="H3759" s="136" t="s">
        <v>2136</v>
      </c>
      <c r="I3759" s="136" t="s">
        <v>2136</v>
      </c>
      <c r="J3759" s="136" t="s">
        <v>16246</v>
      </c>
      <c r="L3759" s="136"/>
      <c r="M3759" s="136"/>
      <c r="N3759" s="136"/>
    </row>
    <row r="3760" spans="6:14">
      <c r="F3760" s="136" t="s">
        <v>16247</v>
      </c>
      <c r="G3760" s="136">
        <v>3757</v>
      </c>
      <c r="H3760" s="136" t="s">
        <v>16248</v>
      </c>
      <c r="I3760" s="136" t="s">
        <v>16249</v>
      </c>
      <c r="J3760" s="136" t="s">
        <v>16250</v>
      </c>
      <c r="L3760" s="136"/>
      <c r="M3760" s="136"/>
      <c r="N3760" s="136"/>
    </row>
    <row r="3761" spans="6:14">
      <c r="F3761" s="136" t="s">
        <v>16251</v>
      </c>
      <c r="G3761" s="136">
        <v>3758</v>
      </c>
      <c r="H3761" s="136" t="s">
        <v>16252</v>
      </c>
      <c r="I3761" s="136" t="s">
        <v>16253</v>
      </c>
      <c r="J3761" s="136" t="s">
        <v>16254</v>
      </c>
      <c r="L3761" s="136"/>
      <c r="M3761" s="136"/>
      <c r="N3761" s="136"/>
    </row>
    <row r="3762" spans="6:14">
      <c r="F3762" s="136" t="s">
        <v>16255</v>
      </c>
      <c r="G3762" s="136">
        <v>3759</v>
      </c>
      <c r="H3762" s="136" t="s">
        <v>177</v>
      </c>
      <c r="I3762" s="136" t="s">
        <v>177</v>
      </c>
      <c r="J3762" s="136" t="s">
        <v>16256</v>
      </c>
      <c r="L3762" s="136"/>
      <c r="M3762" s="136"/>
      <c r="N3762" s="136"/>
    </row>
    <row r="3763" spans="6:14">
      <c r="F3763" s="136" t="s">
        <v>16257</v>
      </c>
      <c r="G3763" s="136">
        <v>53106012870</v>
      </c>
      <c r="H3763" s="136" t="s">
        <v>143</v>
      </c>
      <c r="I3763" s="136" t="s">
        <v>144</v>
      </c>
      <c r="J3763" s="136" t="s">
        <v>16258</v>
      </c>
      <c r="L3763" s="136"/>
      <c r="M3763" s="136"/>
      <c r="N3763" s="136"/>
    </row>
    <row r="3764" spans="6:14">
      <c r="F3764" s="136" t="s">
        <v>16259</v>
      </c>
      <c r="G3764" s="136">
        <v>10062403818</v>
      </c>
      <c r="H3764" s="136" t="s">
        <v>4072</v>
      </c>
      <c r="I3764" s="136" t="s">
        <v>4072</v>
      </c>
      <c r="J3764" s="136" t="s">
        <v>16260</v>
      </c>
      <c r="L3764" s="136"/>
      <c r="M3764" s="136"/>
      <c r="N3764" s="136"/>
    </row>
    <row r="3765" spans="6:14">
      <c r="F3765" s="136" t="s">
        <v>16261</v>
      </c>
      <c r="G3765" s="136">
        <v>3762</v>
      </c>
      <c r="H3765" s="136" t="s">
        <v>2706</v>
      </c>
      <c r="I3765" s="136" t="s">
        <v>2707</v>
      </c>
      <c r="J3765" s="136" t="s">
        <v>16262</v>
      </c>
      <c r="L3765" s="136"/>
      <c r="M3765" s="136"/>
      <c r="N3765" s="136"/>
    </row>
    <row r="3766" spans="6:14">
      <c r="F3766" s="136" t="s">
        <v>16263</v>
      </c>
      <c r="G3766" s="136">
        <v>3763</v>
      </c>
      <c r="H3766" s="136" t="s">
        <v>2102</v>
      </c>
      <c r="I3766" s="136" t="s">
        <v>2102</v>
      </c>
      <c r="J3766" s="136" t="s">
        <v>16264</v>
      </c>
      <c r="L3766" s="136"/>
      <c r="M3766" s="136"/>
      <c r="N3766" s="136"/>
    </row>
    <row r="3767" spans="6:14">
      <c r="F3767" s="136" t="s">
        <v>16265</v>
      </c>
      <c r="G3767" s="136">
        <v>3764</v>
      </c>
      <c r="H3767" s="136" t="s">
        <v>16266</v>
      </c>
      <c r="I3767" s="136" t="s">
        <v>16267</v>
      </c>
      <c r="J3767" s="136" t="s">
        <v>16268</v>
      </c>
      <c r="L3767" s="136"/>
      <c r="M3767" s="136"/>
      <c r="N3767" s="136"/>
    </row>
    <row r="3768" spans="6:14">
      <c r="F3768" s="136" t="s">
        <v>16269</v>
      </c>
      <c r="G3768" s="136">
        <v>3765</v>
      </c>
      <c r="H3768" s="136" t="s">
        <v>288</v>
      </c>
      <c r="I3768" s="136" t="s">
        <v>289</v>
      </c>
      <c r="J3768" s="136" t="s">
        <v>16270</v>
      </c>
      <c r="L3768" s="136"/>
      <c r="M3768" s="136"/>
      <c r="N3768" s="136"/>
    </row>
    <row r="3769" spans="6:14">
      <c r="F3769" s="136" t="s">
        <v>16271</v>
      </c>
      <c r="G3769" s="136">
        <v>3766</v>
      </c>
      <c r="H3769" s="136" t="s">
        <v>3803</v>
      </c>
      <c r="I3769" s="136" t="s">
        <v>3804</v>
      </c>
      <c r="J3769" s="136" t="s">
        <v>16272</v>
      </c>
      <c r="L3769" s="136"/>
      <c r="M3769" s="136"/>
      <c r="N3769" s="136"/>
    </row>
    <row r="3770" spans="6:14">
      <c r="F3770" s="136" t="s">
        <v>16273</v>
      </c>
      <c r="G3770" s="136">
        <v>3767</v>
      </c>
      <c r="H3770" s="136" t="s">
        <v>16274</v>
      </c>
      <c r="I3770" s="136" t="s">
        <v>16275</v>
      </c>
      <c r="J3770" s="136" t="s">
        <v>16276</v>
      </c>
      <c r="L3770" s="136"/>
      <c r="M3770" s="136"/>
      <c r="N3770" s="136"/>
    </row>
    <row r="3771" spans="6:14">
      <c r="F3771" s="136" t="s">
        <v>16277</v>
      </c>
      <c r="G3771" s="136">
        <v>3768</v>
      </c>
      <c r="H3771" s="136" t="s">
        <v>5377</v>
      </c>
      <c r="I3771" s="136" t="s">
        <v>5377</v>
      </c>
      <c r="J3771" s="136" t="s">
        <v>16278</v>
      </c>
      <c r="L3771" s="136"/>
      <c r="M3771" s="136"/>
      <c r="N3771" s="136"/>
    </row>
    <row r="3772" spans="6:14">
      <c r="F3772" s="136" t="s">
        <v>16279</v>
      </c>
      <c r="G3772" s="136">
        <v>3769</v>
      </c>
      <c r="H3772" s="136" t="s">
        <v>3156</v>
      </c>
      <c r="I3772" s="136" t="s">
        <v>3157</v>
      </c>
      <c r="J3772" s="136" t="s">
        <v>16280</v>
      </c>
      <c r="L3772" s="136"/>
      <c r="M3772" s="136"/>
      <c r="N3772" s="136"/>
    </row>
    <row r="3773" spans="6:14">
      <c r="F3773" s="136" t="s">
        <v>16281</v>
      </c>
      <c r="G3773" s="136">
        <v>3770</v>
      </c>
      <c r="H3773" s="136" t="s">
        <v>5064</v>
      </c>
      <c r="I3773" s="136" t="s">
        <v>5065</v>
      </c>
      <c r="J3773" s="136" t="s">
        <v>16282</v>
      </c>
      <c r="L3773" s="136"/>
      <c r="M3773" s="136"/>
      <c r="N3773" s="136"/>
    </row>
    <row r="3774" spans="6:14">
      <c r="F3774" s="136" t="s">
        <v>16283</v>
      </c>
      <c r="G3774" s="136">
        <v>3771</v>
      </c>
      <c r="H3774" s="136" t="s">
        <v>1094</v>
      </c>
      <c r="I3774" s="136" t="s">
        <v>1095</v>
      </c>
      <c r="J3774" s="136" t="s">
        <v>16284</v>
      </c>
      <c r="L3774" s="136"/>
      <c r="M3774" s="136"/>
      <c r="N3774" s="136"/>
    </row>
    <row r="3775" spans="6:14">
      <c r="F3775" s="136" t="s">
        <v>16285</v>
      </c>
      <c r="G3775" s="136">
        <v>3772</v>
      </c>
      <c r="H3775" s="136" t="s">
        <v>2188</v>
      </c>
      <c r="I3775" s="136" t="s">
        <v>2188</v>
      </c>
      <c r="J3775" s="136" t="s">
        <v>16286</v>
      </c>
      <c r="L3775" s="136"/>
      <c r="M3775" s="136"/>
      <c r="N3775" s="136"/>
    </row>
    <row r="3776" spans="6:14">
      <c r="F3776" s="136" t="s">
        <v>16287</v>
      </c>
      <c r="G3776" s="136">
        <v>3773</v>
      </c>
      <c r="H3776" s="136" t="s">
        <v>2084</v>
      </c>
      <c r="I3776" s="136" t="s">
        <v>2084</v>
      </c>
      <c r="J3776" s="136" t="s">
        <v>16288</v>
      </c>
      <c r="L3776" s="136"/>
      <c r="M3776" s="136"/>
      <c r="N3776" s="136"/>
    </row>
    <row r="3777" spans="6:14">
      <c r="F3777" s="136" t="s">
        <v>16289</v>
      </c>
      <c r="G3777" s="136">
        <v>3774</v>
      </c>
      <c r="H3777" s="136" t="s">
        <v>879</v>
      </c>
      <c r="I3777" s="136" t="s">
        <v>880</v>
      </c>
      <c r="J3777" s="136" t="s">
        <v>16290</v>
      </c>
      <c r="L3777" s="136"/>
      <c r="M3777" s="136"/>
      <c r="N3777" s="136"/>
    </row>
    <row r="3778" spans="6:14">
      <c r="F3778" s="136" t="s">
        <v>16291</v>
      </c>
      <c r="G3778" s="136">
        <v>3775</v>
      </c>
      <c r="H3778" s="136" t="s">
        <v>16292</v>
      </c>
      <c r="I3778" s="136" t="s">
        <v>16293</v>
      </c>
      <c r="J3778" s="136" t="s">
        <v>16294</v>
      </c>
      <c r="L3778" s="136"/>
      <c r="M3778" s="136"/>
      <c r="N3778" s="136"/>
    </row>
    <row r="3779" spans="6:14">
      <c r="F3779" s="136" t="s">
        <v>16295</v>
      </c>
      <c r="G3779" s="136">
        <v>3776</v>
      </c>
      <c r="H3779" s="136" t="s">
        <v>5877</v>
      </c>
      <c r="I3779" s="136" t="s">
        <v>5878</v>
      </c>
      <c r="J3779" s="136" t="s">
        <v>16296</v>
      </c>
      <c r="L3779" s="136"/>
      <c r="M3779" s="136"/>
      <c r="N3779" s="136"/>
    </row>
    <row r="3780" spans="6:14">
      <c r="F3780" s="136" t="s">
        <v>16297</v>
      </c>
      <c r="G3780" s="136">
        <v>3777</v>
      </c>
      <c r="H3780" s="136" t="s">
        <v>2098</v>
      </c>
      <c r="I3780" s="136" t="s">
        <v>2099</v>
      </c>
      <c r="J3780" s="136" t="s">
        <v>16298</v>
      </c>
      <c r="L3780" s="136"/>
      <c r="M3780" s="136"/>
      <c r="N3780" s="136"/>
    </row>
    <row r="3781" spans="6:14">
      <c r="F3781" s="136" t="s">
        <v>16299</v>
      </c>
      <c r="G3781" s="136">
        <v>3778</v>
      </c>
      <c r="H3781" s="136" t="s">
        <v>1011</v>
      </c>
      <c r="I3781" s="136" t="s">
        <v>1012</v>
      </c>
      <c r="J3781" s="136" t="s">
        <v>16300</v>
      </c>
      <c r="L3781" s="136"/>
      <c r="M3781" s="136"/>
      <c r="N3781" s="136"/>
    </row>
    <row r="3782" spans="6:14">
      <c r="F3782" s="136" t="s">
        <v>16301</v>
      </c>
      <c r="G3782" s="136">
        <v>3779</v>
      </c>
      <c r="H3782" s="136" t="s">
        <v>16302</v>
      </c>
      <c r="I3782" s="136" t="s">
        <v>16303</v>
      </c>
      <c r="J3782" s="136" t="s">
        <v>16304</v>
      </c>
      <c r="L3782" s="136"/>
      <c r="M3782" s="136"/>
      <c r="N3782" s="136"/>
    </row>
    <row r="3783" spans="6:14">
      <c r="F3783" s="136" t="s">
        <v>16305</v>
      </c>
      <c r="G3783" s="136">
        <v>3780</v>
      </c>
      <c r="H3783" s="136" t="s">
        <v>5988</v>
      </c>
      <c r="I3783" s="136" t="s">
        <v>5989</v>
      </c>
      <c r="J3783" s="136" t="s">
        <v>16306</v>
      </c>
      <c r="L3783" s="136"/>
      <c r="M3783" s="136"/>
      <c r="N3783" s="136"/>
    </row>
    <row r="3784" spans="6:14">
      <c r="F3784" s="136" t="s">
        <v>16307</v>
      </c>
      <c r="G3784" s="136">
        <v>3781</v>
      </c>
      <c r="H3784" s="136" t="s">
        <v>3442</v>
      </c>
      <c r="I3784" s="136" t="s">
        <v>3442</v>
      </c>
      <c r="J3784" s="136" t="s">
        <v>16308</v>
      </c>
      <c r="L3784" s="136"/>
      <c r="M3784" s="136"/>
      <c r="N3784" s="136"/>
    </row>
    <row r="3785" spans="6:14">
      <c r="F3785" s="136" t="s">
        <v>16309</v>
      </c>
      <c r="G3785" s="136">
        <v>43918089860</v>
      </c>
      <c r="H3785" s="136" t="s">
        <v>3217</v>
      </c>
      <c r="I3785" s="136" t="s">
        <v>3217</v>
      </c>
      <c r="J3785" s="136" t="s">
        <v>16310</v>
      </c>
      <c r="L3785" s="136"/>
      <c r="M3785" s="136"/>
      <c r="N3785" s="136"/>
    </row>
    <row r="3786" spans="6:14">
      <c r="F3786" s="136" t="s">
        <v>16311</v>
      </c>
      <c r="G3786" s="136">
        <v>7687357930</v>
      </c>
      <c r="H3786" s="136" t="s">
        <v>1458</v>
      </c>
      <c r="I3786" s="136" t="s">
        <v>1459</v>
      </c>
      <c r="J3786" s="136" t="s">
        <v>16312</v>
      </c>
      <c r="L3786" s="136"/>
      <c r="M3786" s="136"/>
      <c r="N3786" s="136"/>
    </row>
    <row r="3787" spans="6:14">
      <c r="F3787" s="136" t="s">
        <v>16313</v>
      </c>
      <c r="G3787" s="136">
        <v>3784</v>
      </c>
      <c r="H3787" s="136" t="s">
        <v>1620</v>
      </c>
      <c r="I3787" s="136" t="s">
        <v>1621</v>
      </c>
      <c r="J3787" s="136" t="s">
        <v>16314</v>
      </c>
      <c r="L3787" s="136"/>
      <c r="M3787" s="136"/>
      <c r="N3787" s="136"/>
    </row>
    <row r="3788" spans="6:14">
      <c r="F3788" s="136" t="s">
        <v>16315</v>
      </c>
      <c r="G3788" s="136">
        <v>3785</v>
      </c>
      <c r="H3788" s="136" t="s">
        <v>3741</v>
      </c>
      <c r="I3788" s="136" t="s">
        <v>3741</v>
      </c>
      <c r="J3788" s="136" t="s">
        <v>16316</v>
      </c>
      <c r="L3788" s="136"/>
      <c r="M3788" s="136"/>
      <c r="N3788" s="136"/>
    </row>
    <row r="3789" spans="6:14">
      <c r="F3789" s="136" t="s">
        <v>16317</v>
      </c>
      <c r="G3789" s="136">
        <v>3786</v>
      </c>
      <c r="H3789" s="136" t="s">
        <v>854</v>
      </c>
      <c r="I3789" s="136" t="s">
        <v>855</v>
      </c>
      <c r="J3789" s="136" t="s">
        <v>16318</v>
      </c>
      <c r="L3789" s="136"/>
      <c r="M3789" s="136"/>
      <c r="N3789" s="136"/>
    </row>
    <row r="3790" spans="6:14">
      <c r="F3790" s="136" t="s">
        <v>16319</v>
      </c>
      <c r="G3790" s="136">
        <v>3787</v>
      </c>
      <c r="H3790" s="136" t="s">
        <v>3742</v>
      </c>
      <c r="I3790" s="136" t="s">
        <v>3743</v>
      </c>
      <c r="J3790" s="136" t="s">
        <v>16320</v>
      </c>
      <c r="L3790" s="136"/>
      <c r="M3790" s="136"/>
      <c r="N3790" s="136"/>
    </row>
    <row r="3791" spans="6:14">
      <c r="F3791" s="136" t="s">
        <v>16321</v>
      </c>
      <c r="G3791" s="136">
        <v>3788</v>
      </c>
      <c r="H3791" s="136" t="s">
        <v>16322</v>
      </c>
      <c r="I3791" s="136" t="s">
        <v>16323</v>
      </c>
      <c r="J3791" s="136" t="s">
        <v>16324</v>
      </c>
      <c r="L3791" s="136"/>
      <c r="M3791" s="136"/>
      <c r="N3791" s="136"/>
    </row>
    <row r="3792" spans="6:14">
      <c r="F3792" s="136" t="s">
        <v>16325</v>
      </c>
      <c r="G3792" s="136">
        <v>3789</v>
      </c>
      <c r="H3792" s="136" t="s">
        <v>16326</v>
      </c>
      <c r="I3792" s="136" t="s">
        <v>16326</v>
      </c>
      <c r="J3792" s="136" t="s">
        <v>16327</v>
      </c>
      <c r="L3792" s="136"/>
      <c r="M3792" s="136"/>
      <c r="N3792" s="136"/>
    </row>
    <row r="3793" spans="6:14">
      <c r="F3793" s="136" t="s">
        <v>16328</v>
      </c>
      <c r="G3793" s="136">
        <v>3790</v>
      </c>
      <c r="H3793" s="136" t="s">
        <v>787</v>
      </c>
      <c r="I3793" s="136" t="s">
        <v>788</v>
      </c>
      <c r="J3793" s="136" t="s">
        <v>16329</v>
      </c>
      <c r="L3793" s="136"/>
      <c r="M3793" s="136"/>
      <c r="N3793" s="136"/>
    </row>
    <row r="3794" spans="6:14">
      <c r="F3794" s="136" t="s">
        <v>16330</v>
      </c>
      <c r="G3794" s="136">
        <v>3791</v>
      </c>
      <c r="H3794" s="136" t="s">
        <v>4610</v>
      </c>
      <c r="I3794" s="136" t="s">
        <v>4610</v>
      </c>
      <c r="J3794" s="136" t="s">
        <v>16331</v>
      </c>
      <c r="L3794" s="136"/>
      <c r="M3794" s="136"/>
      <c r="N3794" s="136"/>
    </row>
    <row r="3795" spans="6:14">
      <c r="F3795" s="136" t="s">
        <v>16332</v>
      </c>
      <c r="G3795" s="136">
        <v>3792</v>
      </c>
      <c r="H3795" s="136" t="s">
        <v>16333</v>
      </c>
      <c r="I3795" s="136" t="s">
        <v>16334</v>
      </c>
      <c r="J3795" s="136" t="s">
        <v>16335</v>
      </c>
      <c r="L3795" s="136"/>
      <c r="M3795" s="136"/>
      <c r="N3795" s="136"/>
    </row>
    <row r="3796" spans="6:14">
      <c r="F3796" s="136" t="s">
        <v>16336</v>
      </c>
      <c r="G3796" s="136">
        <v>3793</v>
      </c>
      <c r="H3796" s="136" t="s">
        <v>3227</v>
      </c>
      <c r="I3796" s="136" t="s">
        <v>3228</v>
      </c>
      <c r="J3796" s="136" t="s">
        <v>16337</v>
      </c>
      <c r="L3796" s="136"/>
      <c r="M3796" s="136"/>
      <c r="N3796" s="136"/>
    </row>
    <row r="3797" spans="6:14">
      <c r="F3797" s="136" t="s">
        <v>16338</v>
      </c>
      <c r="G3797" s="136">
        <v>3794</v>
      </c>
      <c r="H3797" s="136" t="s">
        <v>5037</v>
      </c>
      <c r="I3797" s="136" t="s">
        <v>5037</v>
      </c>
      <c r="J3797" s="136" t="s">
        <v>16339</v>
      </c>
      <c r="L3797" s="136"/>
      <c r="M3797" s="136"/>
      <c r="N3797" s="136"/>
    </row>
    <row r="3798" spans="6:14">
      <c r="F3798" s="136" t="s">
        <v>16340</v>
      </c>
      <c r="G3798" s="136">
        <v>3795</v>
      </c>
      <c r="H3798" s="136" t="s">
        <v>185</v>
      </c>
      <c r="I3798" s="136" t="s">
        <v>186</v>
      </c>
      <c r="J3798" s="136" t="s">
        <v>16341</v>
      </c>
      <c r="L3798" s="136"/>
      <c r="M3798" s="136"/>
      <c r="N3798" s="136"/>
    </row>
    <row r="3799" spans="6:14">
      <c r="F3799" s="136" t="s">
        <v>16342</v>
      </c>
      <c r="G3799" s="136">
        <v>3796</v>
      </c>
      <c r="H3799" s="136" t="s">
        <v>4471</v>
      </c>
      <c r="I3799" s="136" t="s">
        <v>4472</v>
      </c>
      <c r="J3799" s="136" t="s">
        <v>16343</v>
      </c>
      <c r="L3799" s="136"/>
      <c r="M3799" s="136"/>
      <c r="N3799" s="136"/>
    </row>
    <row r="3800" spans="6:14">
      <c r="F3800" s="136" t="s">
        <v>16344</v>
      </c>
      <c r="G3800" s="136">
        <v>3797</v>
      </c>
      <c r="H3800" s="136" t="s">
        <v>392</v>
      </c>
      <c r="I3800" s="136" t="s">
        <v>392</v>
      </c>
      <c r="J3800" s="136" t="s">
        <v>16345</v>
      </c>
      <c r="L3800" s="136"/>
      <c r="M3800" s="136"/>
      <c r="N3800" s="136"/>
    </row>
    <row r="3801" spans="6:14">
      <c r="F3801" s="136" t="s">
        <v>16346</v>
      </c>
      <c r="G3801" s="136">
        <v>3798</v>
      </c>
      <c r="H3801" s="136" t="s">
        <v>16347</v>
      </c>
      <c r="I3801" s="136" t="s">
        <v>16348</v>
      </c>
      <c r="J3801" s="136" t="s">
        <v>16349</v>
      </c>
      <c r="L3801" s="136"/>
      <c r="M3801" s="136"/>
      <c r="N3801" s="136"/>
    </row>
    <row r="3802" spans="6:14">
      <c r="F3802" s="136" t="s">
        <v>16350</v>
      </c>
      <c r="G3802" s="136">
        <v>3799</v>
      </c>
      <c r="H3802" s="136" t="s">
        <v>4391</v>
      </c>
      <c r="I3802" s="136" t="s">
        <v>4392</v>
      </c>
      <c r="J3802" s="136" t="s">
        <v>16351</v>
      </c>
      <c r="L3802" s="136"/>
      <c r="M3802" s="136"/>
      <c r="N3802" s="136"/>
    </row>
    <row r="3803" spans="6:14">
      <c r="F3803" s="136" t="s">
        <v>16352</v>
      </c>
      <c r="G3803" s="136">
        <v>3800</v>
      </c>
      <c r="H3803" s="136" t="s">
        <v>16353</v>
      </c>
      <c r="I3803" s="136" t="s">
        <v>16354</v>
      </c>
      <c r="J3803" s="136" t="s">
        <v>16355</v>
      </c>
      <c r="L3803" s="136"/>
      <c r="M3803" s="136"/>
      <c r="N3803" s="136"/>
    </row>
    <row r="3804" spans="6:14">
      <c r="F3804" s="136" t="s">
        <v>16356</v>
      </c>
      <c r="G3804" s="136">
        <v>3801</v>
      </c>
      <c r="H3804" s="136" t="s">
        <v>16357</v>
      </c>
      <c r="I3804" s="136" t="s">
        <v>16358</v>
      </c>
      <c r="J3804" s="136" t="s">
        <v>16359</v>
      </c>
      <c r="L3804" s="136"/>
      <c r="M3804" s="136"/>
      <c r="N3804" s="136"/>
    </row>
    <row r="3805" spans="6:14">
      <c r="F3805" s="136" t="s">
        <v>16360</v>
      </c>
      <c r="G3805" s="136">
        <v>3802</v>
      </c>
      <c r="H3805" s="136" t="s">
        <v>4313</v>
      </c>
      <c r="I3805" s="136" t="s">
        <v>4314</v>
      </c>
      <c r="J3805" s="136" t="s">
        <v>16361</v>
      </c>
      <c r="L3805" s="136"/>
      <c r="M3805" s="136"/>
      <c r="N3805" s="136"/>
    </row>
    <row r="3806" spans="6:14">
      <c r="F3806" s="136" t="s">
        <v>16362</v>
      </c>
      <c r="G3806" s="136">
        <v>75342618720</v>
      </c>
      <c r="H3806" s="136" t="s">
        <v>3887</v>
      </c>
      <c r="I3806" s="136" t="s">
        <v>3888</v>
      </c>
      <c r="J3806" s="136" t="s">
        <v>16363</v>
      </c>
      <c r="L3806" s="136"/>
      <c r="M3806" s="136"/>
      <c r="N3806" s="136"/>
    </row>
    <row r="3807" spans="6:14">
      <c r="F3807" s="136" t="s">
        <v>16364</v>
      </c>
      <c r="G3807" s="136">
        <v>8294943835</v>
      </c>
      <c r="H3807" s="136" t="s">
        <v>1252</v>
      </c>
      <c r="I3807" s="136" t="s">
        <v>1252</v>
      </c>
      <c r="J3807" s="136" t="s">
        <v>16365</v>
      </c>
      <c r="L3807" s="136"/>
      <c r="M3807" s="136"/>
      <c r="N3807" s="136"/>
    </row>
    <row r="3808" spans="6:14">
      <c r="F3808" s="136" t="s">
        <v>16366</v>
      </c>
      <c r="G3808" s="136">
        <v>6453344998</v>
      </c>
      <c r="H3808" s="136" t="s">
        <v>1799</v>
      </c>
      <c r="I3808" s="136" t="s">
        <v>1799</v>
      </c>
      <c r="J3808" s="136" t="s">
        <v>16367</v>
      </c>
      <c r="L3808" s="136"/>
      <c r="M3808" s="136"/>
      <c r="N3808" s="136"/>
    </row>
    <row r="3809" spans="6:14">
      <c r="F3809" s="136" t="s">
        <v>16368</v>
      </c>
      <c r="G3809" s="136">
        <v>33055374851</v>
      </c>
      <c r="H3809" s="136" t="s">
        <v>1581</v>
      </c>
      <c r="I3809" s="136" t="s">
        <v>1581</v>
      </c>
      <c r="J3809" s="136" t="s">
        <v>16369</v>
      </c>
      <c r="L3809" s="136"/>
      <c r="M3809" s="136"/>
      <c r="N3809" s="136"/>
    </row>
    <row r="3810" spans="6:14">
      <c r="F3810" s="136" t="s">
        <v>16370</v>
      </c>
      <c r="G3810" s="136">
        <v>3807</v>
      </c>
      <c r="H3810" s="136" t="s">
        <v>1930</v>
      </c>
      <c r="I3810" s="136" t="s">
        <v>1932</v>
      </c>
      <c r="J3810" s="136" t="s">
        <v>16371</v>
      </c>
      <c r="L3810" s="136"/>
      <c r="M3810" s="136"/>
      <c r="N3810" s="136"/>
    </row>
    <row r="3811" spans="6:14">
      <c r="F3811" s="136" t="s">
        <v>16372</v>
      </c>
      <c r="G3811" s="136">
        <v>10714429880</v>
      </c>
      <c r="H3811" s="136" t="s">
        <v>4600</v>
      </c>
      <c r="I3811" s="136" t="s">
        <v>4600</v>
      </c>
      <c r="J3811" s="136" t="s">
        <v>16373</v>
      </c>
      <c r="L3811" s="136"/>
      <c r="M3811" s="136"/>
      <c r="N3811" s="136"/>
    </row>
    <row r="3812" spans="6:14">
      <c r="F3812" s="136" t="s">
        <v>16374</v>
      </c>
      <c r="G3812" s="136">
        <v>3809</v>
      </c>
      <c r="H3812" s="136" t="s">
        <v>2270</v>
      </c>
      <c r="I3812" s="136" t="s">
        <v>2270</v>
      </c>
      <c r="J3812" s="136" t="s">
        <v>16375</v>
      </c>
      <c r="L3812" s="136"/>
      <c r="M3812" s="136"/>
      <c r="N3812" s="136"/>
    </row>
    <row r="3813" spans="6:14">
      <c r="F3813" s="136" t="s">
        <v>16376</v>
      </c>
      <c r="G3813" s="136">
        <v>3810</v>
      </c>
      <c r="H3813" s="136" t="s">
        <v>6093</v>
      </c>
      <c r="I3813" s="136" t="s">
        <v>6094</v>
      </c>
      <c r="J3813" s="136" t="s">
        <v>16377</v>
      </c>
      <c r="L3813" s="136"/>
      <c r="M3813" s="136"/>
      <c r="N3813" s="136"/>
    </row>
    <row r="3814" spans="6:14">
      <c r="F3814" s="136" t="s">
        <v>16378</v>
      </c>
      <c r="G3814" s="136">
        <v>3811</v>
      </c>
      <c r="H3814" s="136" t="s">
        <v>5790</v>
      </c>
      <c r="I3814" s="136" t="s">
        <v>5790</v>
      </c>
      <c r="J3814" s="136" t="s">
        <v>16379</v>
      </c>
      <c r="L3814" s="136"/>
      <c r="M3814" s="136"/>
      <c r="N3814" s="136"/>
    </row>
    <row r="3815" spans="6:14">
      <c r="F3815" s="136" t="s">
        <v>16380</v>
      </c>
      <c r="G3815" s="136">
        <v>3812</v>
      </c>
      <c r="H3815" s="136" t="s">
        <v>16381</v>
      </c>
      <c r="I3815" s="136" t="s">
        <v>16382</v>
      </c>
      <c r="J3815" s="136" t="s">
        <v>16383</v>
      </c>
      <c r="L3815" s="136"/>
      <c r="M3815" s="136"/>
      <c r="N3815" s="136"/>
    </row>
    <row r="3816" spans="6:14">
      <c r="F3816" s="136" t="s">
        <v>16384</v>
      </c>
      <c r="G3816" s="136">
        <v>3813</v>
      </c>
      <c r="H3816" s="136" t="s">
        <v>4181</v>
      </c>
      <c r="I3816" s="136" t="s">
        <v>2603</v>
      </c>
      <c r="J3816" s="136" t="s">
        <v>16385</v>
      </c>
      <c r="L3816" s="136"/>
      <c r="M3816" s="136"/>
      <c r="N3816" s="136"/>
    </row>
    <row r="3817" spans="6:14">
      <c r="F3817" s="136" t="s">
        <v>16386</v>
      </c>
      <c r="G3817" s="136">
        <v>3814</v>
      </c>
      <c r="H3817" s="136" t="s">
        <v>3980</v>
      </c>
      <c r="I3817" s="136" t="s">
        <v>3981</v>
      </c>
      <c r="J3817" s="136" t="s">
        <v>16387</v>
      </c>
      <c r="L3817" s="136"/>
      <c r="M3817" s="136"/>
      <c r="N3817" s="136"/>
    </row>
    <row r="3818" spans="6:14">
      <c r="F3818" s="136" t="s">
        <v>16388</v>
      </c>
      <c r="G3818" s="136">
        <v>3815</v>
      </c>
      <c r="H3818" s="136" t="s">
        <v>16389</v>
      </c>
      <c r="I3818" s="136" t="s">
        <v>16390</v>
      </c>
      <c r="J3818" s="136" t="s">
        <v>16391</v>
      </c>
      <c r="L3818" s="136"/>
      <c r="M3818" s="136"/>
      <c r="N3818" s="136"/>
    </row>
    <row r="3819" spans="6:14">
      <c r="F3819" s="136" t="s">
        <v>16392</v>
      </c>
      <c r="G3819" s="136">
        <v>3816</v>
      </c>
      <c r="H3819" s="136" t="s">
        <v>1514</v>
      </c>
      <c r="I3819" s="136" t="s">
        <v>1515</v>
      </c>
      <c r="J3819" s="136" t="s">
        <v>16393</v>
      </c>
      <c r="L3819" s="136"/>
      <c r="M3819" s="136"/>
      <c r="N3819" s="136"/>
    </row>
    <row r="3820" spans="6:14">
      <c r="F3820" s="136" t="s">
        <v>16394</v>
      </c>
      <c r="G3820" s="136">
        <v>3817</v>
      </c>
      <c r="H3820" s="136" t="s">
        <v>1297</v>
      </c>
      <c r="I3820" s="136" t="s">
        <v>1298</v>
      </c>
      <c r="J3820" s="136" t="s">
        <v>16395</v>
      </c>
      <c r="L3820" s="136"/>
      <c r="M3820" s="136"/>
      <c r="N3820" s="136"/>
    </row>
    <row r="3821" spans="6:14">
      <c r="F3821" s="136" t="s">
        <v>16396</v>
      </c>
      <c r="G3821" s="136">
        <v>3818</v>
      </c>
      <c r="H3821" s="136" t="s">
        <v>16397</v>
      </c>
      <c r="I3821" s="136" t="s">
        <v>16398</v>
      </c>
      <c r="J3821" s="136" t="s">
        <v>16399</v>
      </c>
      <c r="L3821" s="136"/>
      <c r="M3821" s="136"/>
      <c r="N3821" s="136"/>
    </row>
    <row r="3822" spans="6:14">
      <c r="F3822" s="136" t="s">
        <v>16400</v>
      </c>
      <c r="G3822" s="136">
        <v>27343066897</v>
      </c>
      <c r="H3822" s="136" t="s">
        <v>3667</v>
      </c>
      <c r="I3822" s="136" t="s">
        <v>3667</v>
      </c>
      <c r="J3822" s="136" t="s">
        <v>16401</v>
      </c>
      <c r="L3822" s="136"/>
      <c r="M3822" s="136"/>
      <c r="N3822" s="136"/>
    </row>
    <row r="3823" spans="6:14">
      <c r="F3823" s="136" t="s">
        <v>16402</v>
      </c>
      <c r="G3823" s="136">
        <v>3820</v>
      </c>
      <c r="H3823" s="136" t="s">
        <v>16403</v>
      </c>
      <c r="I3823" s="136" t="s">
        <v>16404</v>
      </c>
      <c r="J3823" s="136" t="s">
        <v>16405</v>
      </c>
      <c r="L3823" s="136"/>
      <c r="M3823" s="136"/>
      <c r="N3823" s="136"/>
    </row>
    <row r="3824" spans="6:14">
      <c r="F3824" s="136" t="s">
        <v>16406</v>
      </c>
      <c r="G3824" s="136">
        <v>3821</v>
      </c>
      <c r="H3824" s="136" t="s">
        <v>16407</v>
      </c>
      <c r="I3824" s="136" t="s">
        <v>16408</v>
      </c>
      <c r="J3824" s="136" t="s">
        <v>16409</v>
      </c>
      <c r="L3824" s="136"/>
      <c r="M3824" s="136"/>
      <c r="N3824" s="136"/>
    </row>
    <row r="3825" spans="6:14">
      <c r="F3825" s="136" t="s">
        <v>16410</v>
      </c>
      <c r="G3825" s="136">
        <v>3822</v>
      </c>
      <c r="H3825" s="136" t="s">
        <v>5600</v>
      </c>
      <c r="I3825" s="136" t="s">
        <v>5601</v>
      </c>
      <c r="J3825" s="136" t="s">
        <v>16411</v>
      </c>
      <c r="L3825" s="136"/>
      <c r="M3825" s="136"/>
      <c r="N3825" s="136"/>
    </row>
    <row r="3826" spans="6:14">
      <c r="F3826" s="136" t="s">
        <v>16412</v>
      </c>
      <c r="G3826" s="136">
        <v>3823</v>
      </c>
      <c r="H3826" s="136" t="s">
        <v>4295</v>
      </c>
      <c r="I3826" s="136" t="s">
        <v>4296</v>
      </c>
      <c r="J3826" s="136" t="s">
        <v>16413</v>
      </c>
      <c r="L3826" s="136"/>
      <c r="M3826" s="136"/>
      <c r="N3826" s="136"/>
    </row>
    <row r="3827" spans="6:14">
      <c r="F3827" s="136" t="s">
        <v>16414</v>
      </c>
      <c r="G3827" s="136">
        <v>3824</v>
      </c>
      <c r="H3827" s="136" t="s">
        <v>5602</v>
      </c>
      <c r="I3827" s="136" t="s">
        <v>5603</v>
      </c>
      <c r="J3827" s="136" t="s">
        <v>16415</v>
      </c>
      <c r="L3827" s="136"/>
      <c r="M3827" s="136"/>
      <c r="N3827" s="136"/>
    </row>
    <row r="3828" spans="6:14">
      <c r="F3828" s="136" t="s">
        <v>16416</v>
      </c>
      <c r="G3828" s="136">
        <v>3825</v>
      </c>
      <c r="H3828" s="136" t="s">
        <v>3736</v>
      </c>
      <c r="I3828" s="136" t="s">
        <v>3737</v>
      </c>
      <c r="J3828" s="136" t="s">
        <v>16417</v>
      </c>
      <c r="L3828" s="136"/>
      <c r="M3828" s="136"/>
      <c r="N3828" s="136"/>
    </row>
    <row r="3829" spans="6:14">
      <c r="F3829" s="136" t="s">
        <v>16418</v>
      </c>
      <c r="G3829" s="136">
        <v>3826</v>
      </c>
      <c r="H3829" s="136" t="s">
        <v>4052</v>
      </c>
      <c r="I3829" s="136" t="s">
        <v>4053</v>
      </c>
      <c r="J3829" s="136" t="s">
        <v>16419</v>
      </c>
      <c r="L3829" s="136"/>
      <c r="M3829" s="136"/>
      <c r="N3829" s="136"/>
    </row>
    <row r="3830" spans="6:14">
      <c r="F3830" s="136" t="s">
        <v>16420</v>
      </c>
      <c r="G3830" s="136">
        <v>3827</v>
      </c>
      <c r="H3830" s="136" t="s">
        <v>16421</v>
      </c>
      <c r="I3830" s="136" t="s">
        <v>16422</v>
      </c>
      <c r="J3830" s="136" t="s">
        <v>16423</v>
      </c>
      <c r="L3830" s="136"/>
      <c r="M3830" s="136"/>
      <c r="N3830" s="136"/>
    </row>
    <row r="3831" spans="6:14">
      <c r="F3831" s="136" t="s">
        <v>16424</v>
      </c>
      <c r="G3831" s="136">
        <v>3828</v>
      </c>
      <c r="H3831" s="136" t="s">
        <v>16425</v>
      </c>
      <c r="I3831" s="136" t="s">
        <v>16426</v>
      </c>
      <c r="J3831" s="136" t="s">
        <v>16427</v>
      </c>
      <c r="L3831" s="136"/>
      <c r="M3831" s="136"/>
      <c r="N3831" s="136"/>
    </row>
    <row r="3832" spans="6:14">
      <c r="F3832" s="136" t="s">
        <v>16428</v>
      </c>
      <c r="G3832" s="136">
        <v>3829</v>
      </c>
      <c r="H3832" s="136" t="s">
        <v>4357</v>
      </c>
      <c r="I3832" s="136" t="s">
        <v>4357</v>
      </c>
      <c r="J3832" s="136" t="s">
        <v>16429</v>
      </c>
      <c r="L3832" s="136"/>
      <c r="M3832" s="136"/>
      <c r="N3832" s="136"/>
    </row>
    <row r="3833" spans="6:14">
      <c r="F3833" s="136" t="s">
        <v>16430</v>
      </c>
      <c r="G3833" s="136">
        <v>3830</v>
      </c>
      <c r="H3833" s="136" t="s">
        <v>16431</v>
      </c>
      <c r="I3833" s="136" t="s">
        <v>16432</v>
      </c>
      <c r="J3833" s="136" t="s">
        <v>16433</v>
      </c>
      <c r="L3833" s="136"/>
      <c r="M3833" s="136"/>
      <c r="N3833" s="136"/>
    </row>
    <row r="3834" spans="6:14">
      <c r="F3834" s="136" t="s">
        <v>16434</v>
      </c>
      <c r="G3834" s="136">
        <v>3831</v>
      </c>
      <c r="H3834" s="136" t="s">
        <v>16435</v>
      </c>
      <c r="I3834" s="136" t="s">
        <v>16436</v>
      </c>
      <c r="J3834" s="136" t="s">
        <v>16437</v>
      </c>
      <c r="L3834" s="136"/>
      <c r="M3834" s="136"/>
      <c r="N3834" s="136"/>
    </row>
    <row r="3835" spans="6:14">
      <c r="F3835" s="136" t="s">
        <v>16438</v>
      </c>
      <c r="G3835" s="136">
        <v>3832</v>
      </c>
      <c r="H3835" s="136" t="s">
        <v>16439</v>
      </c>
      <c r="I3835" s="136" t="s">
        <v>16440</v>
      </c>
      <c r="J3835" s="136" t="s">
        <v>16441</v>
      </c>
      <c r="L3835" s="136"/>
      <c r="M3835" s="136"/>
      <c r="N3835" s="136"/>
    </row>
    <row r="3836" spans="6:14">
      <c r="F3836" s="136" t="s">
        <v>16442</v>
      </c>
      <c r="G3836" s="136">
        <v>3833</v>
      </c>
      <c r="H3836" s="136" t="s">
        <v>16443</v>
      </c>
      <c r="I3836" s="136" t="s">
        <v>16444</v>
      </c>
      <c r="J3836" s="136" t="s">
        <v>16445</v>
      </c>
      <c r="L3836" s="136"/>
      <c r="M3836" s="136"/>
      <c r="N3836" s="136"/>
    </row>
    <row r="3837" spans="6:14">
      <c r="F3837" s="136" t="s">
        <v>16446</v>
      </c>
      <c r="G3837" s="136">
        <v>3834</v>
      </c>
      <c r="H3837" s="136" t="s">
        <v>5422</v>
      </c>
      <c r="I3837" s="136" t="s">
        <v>5422</v>
      </c>
      <c r="J3837" s="136" t="s">
        <v>16447</v>
      </c>
      <c r="L3837" s="136"/>
      <c r="M3837" s="136"/>
      <c r="N3837" s="136"/>
    </row>
    <row r="3838" spans="6:14">
      <c r="F3838" s="136" t="s">
        <v>16448</v>
      </c>
      <c r="G3838" s="136">
        <v>3835</v>
      </c>
      <c r="H3838" s="136" t="s">
        <v>5389</v>
      </c>
      <c r="I3838" s="136" t="s">
        <v>5389</v>
      </c>
      <c r="J3838" s="136" t="s">
        <v>16449</v>
      </c>
      <c r="L3838" s="136"/>
      <c r="M3838" s="136"/>
      <c r="N3838" s="136"/>
    </row>
    <row r="3839" spans="6:14">
      <c r="F3839" s="136" t="s">
        <v>16450</v>
      </c>
      <c r="G3839" s="136">
        <v>3836</v>
      </c>
      <c r="H3839" s="136" t="s">
        <v>3510</v>
      </c>
      <c r="I3839" s="136" t="s">
        <v>3511</v>
      </c>
      <c r="J3839" s="136" t="s">
        <v>16451</v>
      </c>
      <c r="L3839" s="136"/>
      <c r="M3839" s="136"/>
      <c r="N3839" s="136"/>
    </row>
    <row r="3840" spans="6:14">
      <c r="F3840" s="136" t="s">
        <v>16452</v>
      </c>
      <c r="G3840" s="136">
        <v>3837</v>
      </c>
      <c r="H3840" s="136" t="s">
        <v>4252</v>
      </c>
      <c r="I3840" s="136" t="s">
        <v>4253</v>
      </c>
      <c r="J3840" s="136" t="s">
        <v>16453</v>
      </c>
      <c r="L3840" s="136"/>
      <c r="M3840" s="136"/>
      <c r="N3840" s="136"/>
    </row>
    <row r="3841" spans="6:14">
      <c r="F3841" s="136" t="s">
        <v>16454</v>
      </c>
      <c r="G3841" s="136">
        <v>3838</v>
      </c>
      <c r="H3841" s="136" t="s">
        <v>16455</v>
      </c>
      <c r="I3841" s="136" t="s">
        <v>16456</v>
      </c>
      <c r="J3841" s="136" t="s">
        <v>16457</v>
      </c>
      <c r="L3841" s="136"/>
      <c r="M3841" s="136"/>
      <c r="N3841" s="136"/>
    </row>
    <row r="3842" spans="6:14">
      <c r="F3842" s="136" t="s">
        <v>16458</v>
      </c>
      <c r="G3842" s="136">
        <v>3839</v>
      </c>
      <c r="H3842" s="136" t="s">
        <v>5291</v>
      </c>
      <c r="I3842" s="136" t="s">
        <v>5292</v>
      </c>
      <c r="J3842" s="136" t="s">
        <v>16459</v>
      </c>
      <c r="L3842" s="136"/>
      <c r="M3842" s="136"/>
      <c r="N3842" s="136"/>
    </row>
    <row r="3843" spans="6:14">
      <c r="F3843" s="136" t="s">
        <v>16460</v>
      </c>
      <c r="G3843" s="136">
        <v>3840</v>
      </c>
      <c r="H3843" s="136" t="s">
        <v>3267</v>
      </c>
      <c r="I3843" s="136" t="s">
        <v>3268</v>
      </c>
      <c r="J3843" s="136" t="s">
        <v>16461</v>
      </c>
      <c r="L3843" s="136"/>
      <c r="M3843" s="136"/>
      <c r="N3843" s="136"/>
    </row>
    <row r="3844" spans="6:14">
      <c r="F3844" s="136" t="s">
        <v>16462</v>
      </c>
      <c r="G3844" s="136">
        <v>3841</v>
      </c>
      <c r="H3844" s="136" t="s">
        <v>2970</v>
      </c>
      <c r="I3844" s="136" t="s">
        <v>2970</v>
      </c>
      <c r="J3844" s="136" t="s">
        <v>16463</v>
      </c>
      <c r="L3844" s="136"/>
      <c r="M3844" s="136"/>
      <c r="N3844" s="136"/>
    </row>
    <row r="3845" spans="6:14">
      <c r="F3845" s="136" t="s">
        <v>16464</v>
      </c>
      <c r="G3845" s="136">
        <v>3842</v>
      </c>
      <c r="H3845" s="136" t="s">
        <v>1802</v>
      </c>
      <c r="I3845" s="136" t="s">
        <v>1803</v>
      </c>
      <c r="J3845" s="136" t="s">
        <v>16465</v>
      </c>
      <c r="L3845" s="136"/>
      <c r="M3845" s="136"/>
      <c r="N3845" s="136"/>
    </row>
    <row r="3846" spans="6:14">
      <c r="F3846" s="136" t="s">
        <v>16466</v>
      </c>
      <c r="G3846" s="136">
        <v>3843</v>
      </c>
      <c r="H3846" s="136" t="s">
        <v>316</v>
      </c>
      <c r="I3846" s="136" t="s">
        <v>317</v>
      </c>
      <c r="J3846" s="136" t="s">
        <v>16467</v>
      </c>
      <c r="L3846" s="136"/>
      <c r="M3846" s="136"/>
      <c r="N3846" s="136"/>
    </row>
    <row r="3847" spans="6:14">
      <c r="F3847" s="136" t="s">
        <v>16468</v>
      </c>
      <c r="G3847" s="136">
        <v>3844</v>
      </c>
      <c r="H3847" s="136" t="s">
        <v>2074</v>
      </c>
      <c r="I3847" s="136" t="s">
        <v>2074</v>
      </c>
      <c r="J3847" s="136" t="s">
        <v>16469</v>
      </c>
      <c r="L3847" s="136"/>
      <c r="M3847" s="136"/>
      <c r="N3847" s="136"/>
    </row>
    <row r="3848" spans="6:14">
      <c r="F3848" s="136" t="s">
        <v>16470</v>
      </c>
      <c r="G3848" s="136">
        <v>7335066662</v>
      </c>
      <c r="H3848" s="136" t="s">
        <v>3907</v>
      </c>
      <c r="I3848" s="136" t="s">
        <v>3907</v>
      </c>
      <c r="J3848" s="136" t="s">
        <v>16471</v>
      </c>
      <c r="L3848" s="136"/>
      <c r="M3848" s="136"/>
      <c r="N3848" s="136"/>
    </row>
    <row r="3849" spans="6:14">
      <c r="F3849" s="136" t="s">
        <v>16472</v>
      </c>
      <c r="G3849" s="136">
        <v>31187510882</v>
      </c>
      <c r="H3849" s="136" t="s">
        <v>3972</v>
      </c>
      <c r="I3849" s="136" t="s">
        <v>3972</v>
      </c>
      <c r="J3849" s="136" t="s">
        <v>16473</v>
      </c>
      <c r="L3849" s="136"/>
      <c r="M3849" s="136"/>
      <c r="N3849" s="136"/>
    </row>
    <row r="3850" spans="6:14">
      <c r="F3850" s="136" t="s">
        <v>16474</v>
      </c>
      <c r="G3850" s="136">
        <v>39009163814</v>
      </c>
      <c r="H3850" s="136" t="s">
        <v>6216</v>
      </c>
      <c r="I3850" s="136" t="s">
        <v>6216</v>
      </c>
      <c r="J3850" s="136" t="s">
        <v>16475</v>
      </c>
      <c r="L3850" s="136"/>
      <c r="M3850" s="136"/>
      <c r="N3850" s="136"/>
    </row>
    <row r="3851" spans="6:14">
      <c r="F3851" s="136" t="s">
        <v>16476</v>
      </c>
      <c r="G3851" s="136">
        <v>98399560359</v>
      </c>
      <c r="H3851" s="136" t="s">
        <v>369</v>
      </c>
      <c r="I3851" s="136" t="s">
        <v>369</v>
      </c>
      <c r="J3851" s="136" t="s">
        <v>16477</v>
      </c>
      <c r="L3851" s="136"/>
      <c r="M3851" s="136"/>
      <c r="N3851" s="136"/>
    </row>
    <row r="3852" spans="6:14">
      <c r="F3852" s="136" t="s">
        <v>16478</v>
      </c>
      <c r="G3852" s="136">
        <v>48554110862</v>
      </c>
      <c r="H3852" s="136" t="s">
        <v>5782</v>
      </c>
      <c r="I3852" s="136" t="s">
        <v>5782</v>
      </c>
      <c r="J3852" s="136" t="s">
        <v>16479</v>
      </c>
      <c r="L3852" s="136"/>
      <c r="M3852" s="136"/>
      <c r="N3852" s="136"/>
    </row>
    <row r="3853" spans="6:14">
      <c r="F3853" s="136" t="s">
        <v>16480</v>
      </c>
      <c r="G3853" s="136">
        <v>11732068682</v>
      </c>
      <c r="H3853" s="136" t="s">
        <v>225</v>
      </c>
      <c r="I3853" s="136" t="s">
        <v>225</v>
      </c>
      <c r="J3853" s="136" t="s">
        <v>16481</v>
      </c>
      <c r="L3853" s="136"/>
      <c r="M3853" s="136"/>
      <c r="N3853" s="136"/>
    </row>
    <row r="3854" spans="6:14">
      <c r="F3854" s="136" t="s">
        <v>16482</v>
      </c>
      <c r="G3854" s="136">
        <v>3851</v>
      </c>
      <c r="H3854" s="136" t="s">
        <v>16483</v>
      </c>
      <c r="I3854" s="136" t="s">
        <v>16484</v>
      </c>
      <c r="J3854" s="136" t="s">
        <v>16485</v>
      </c>
      <c r="L3854" s="136"/>
      <c r="M3854" s="136"/>
      <c r="N3854" s="136"/>
    </row>
    <row r="3855" spans="6:14">
      <c r="F3855" s="136" t="s">
        <v>16486</v>
      </c>
      <c r="G3855" s="136">
        <v>3852</v>
      </c>
      <c r="H3855" s="136" t="s">
        <v>2138</v>
      </c>
      <c r="I3855" s="136" t="s">
        <v>2138</v>
      </c>
      <c r="J3855" s="136" t="s">
        <v>16487</v>
      </c>
      <c r="L3855" s="136"/>
      <c r="M3855" s="136"/>
      <c r="N3855" s="136"/>
    </row>
    <row r="3856" spans="6:14">
      <c r="F3856" s="136" t="s">
        <v>16488</v>
      </c>
      <c r="G3856" s="136">
        <v>3853</v>
      </c>
      <c r="H3856" s="136" t="s">
        <v>4990</v>
      </c>
      <c r="I3856" s="136" t="s">
        <v>4991</v>
      </c>
      <c r="J3856" s="136" t="s">
        <v>16489</v>
      </c>
      <c r="L3856" s="136"/>
      <c r="M3856" s="136"/>
      <c r="N3856" s="136"/>
    </row>
    <row r="3857" spans="6:14">
      <c r="F3857" s="136" t="s">
        <v>16490</v>
      </c>
      <c r="G3857" s="136">
        <v>3854</v>
      </c>
      <c r="H3857" s="136" t="s">
        <v>156</v>
      </c>
      <c r="I3857" s="136" t="s">
        <v>156</v>
      </c>
      <c r="J3857" s="136" t="s">
        <v>16491</v>
      </c>
      <c r="L3857" s="136"/>
      <c r="M3857" s="136"/>
      <c r="N3857" s="136"/>
    </row>
    <row r="3858" spans="6:14">
      <c r="F3858" s="136" t="s">
        <v>16492</v>
      </c>
      <c r="G3858" s="136">
        <v>3855</v>
      </c>
      <c r="H3858" s="136" t="s">
        <v>6224</v>
      </c>
      <c r="I3858" s="136" t="s">
        <v>6225</v>
      </c>
      <c r="J3858" s="136" t="s">
        <v>16493</v>
      </c>
      <c r="L3858" s="136"/>
      <c r="M3858" s="136"/>
      <c r="N3858" s="136"/>
    </row>
    <row r="3859" spans="6:14">
      <c r="F3859" s="136" t="s">
        <v>16494</v>
      </c>
      <c r="G3859" s="136">
        <v>3856</v>
      </c>
      <c r="H3859" s="136" t="s">
        <v>279</v>
      </c>
      <c r="I3859" s="136" t="s">
        <v>280</v>
      </c>
      <c r="J3859" s="136" t="s">
        <v>16495</v>
      </c>
      <c r="L3859" s="136"/>
      <c r="M3859" s="136"/>
      <c r="N3859" s="136"/>
    </row>
    <row r="3860" spans="6:14">
      <c r="F3860" s="136" t="s">
        <v>16496</v>
      </c>
      <c r="G3860" s="136">
        <v>3857</v>
      </c>
      <c r="H3860" s="136" t="s">
        <v>16497</v>
      </c>
      <c r="I3860" s="136" t="s">
        <v>8863</v>
      </c>
      <c r="J3860" s="136" t="s">
        <v>16498</v>
      </c>
      <c r="L3860" s="136"/>
      <c r="M3860" s="136"/>
      <c r="N3860" s="136"/>
    </row>
    <row r="3861" spans="6:14">
      <c r="F3861" s="136" t="s">
        <v>16499</v>
      </c>
      <c r="G3861" s="136">
        <v>3858</v>
      </c>
      <c r="H3861" s="136" t="s">
        <v>3494</v>
      </c>
      <c r="I3861" s="136" t="s">
        <v>3495</v>
      </c>
      <c r="J3861" s="136" t="s">
        <v>16500</v>
      </c>
      <c r="L3861" s="136"/>
      <c r="M3861" s="136"/>
      <c r="N3861" s="136"/>
    </row>
    <row r="3862" spans="6:14">
      <c r="F3862" s="136" t="s">
        <v>16501</v>
      </c>
      <c r="G3862" s="136">
        <v>3859</v>
      </c>
      <c r="H3862" s="136" t="s">
        <v>1426</v>
      </c>
      <c r="I3862" s="136" t="s">
        <v>1427</v>
      </c>
      <c r="J3862" s="136" t="s">
        <v>16502</v>
      </c>
      <c r="L3862" s="136"/>
      <c r="M3862" s="136"/>
      <c r="N3862" s="136"/>
    </row>
    <row r="3863" spans="6:14">
      <c r="F3863" s="136" t="s">
        <v>16503</v>
      </c>
      <c r="G3863" s="136">
        <v>3860</v>
      </c>
      <c r="H3863" s="136" t="s">
        <v>5174</v>
      </c>
      <c r="I3863" s="136" t="s">
        <v>5174</v>
      </c>
      <c r="J3863" s="136" t="s">
        <v>16504</v>
      </c>
      <c r="L3863" s="136"/>
      <c r="M3863" s="136"/>
      <c r="N3863" s="136"/>
    </row>
    <row r="3864" spans="6:14">
      <c r="F3864" s="136" t="s">
        <v>16505</v>
      </c>
      <c r="G3864" s="136">
        <v>3861</v>
      </c>
      <c r="H3864" s="136" t="s">
        <v>5269</v>
      </c>
      <c r="I3864" s="136" t="s">
        <v>5269</v>
      </c>
      <c r="J3864" s="136" t="s">
        <v>16506</v>
      </c>
      <c r="L3864" s="136"/>
      <c r="M3864" s="136"/>
      <c r="N3864" s="136"/>
    </row>
    <row r="3865" spans="6:14">
      <c r="F3865" s="136" t="s">
        <v>16507</v>
      </c>
      <c r="G3865" s="136">
        <v>35980720820</v>
      </c>
      <c r="H3865" s="136" t="s">
        <v>454</v>
      </c>
      <c r="I3865" s="136" t="s">
        <v>454</v>
      </c>
      <c r="J3865" s="136" t="s">
        <v>16508</v>
      </c>
      <c r="L3865" s="136"/>
      <c r="M3865" s="136"/>
      <c r="N3865" s="136"/>
    </row>
    <row r="3866" spans="6:14">
      <c r="F3866" s="136" t="s">
        <v>16509</v>
      </c>
      <c r="G3866" s="136">
        <v>33108662899</v>
      </c>
      <c r="H3866" s="136" t="s">
        <v>1492</v>
      </c>
      <c r="I3866" s="136" t="s">
        <v>1493</v>
      </c>
      <c r="J3866" s="136" t="s">
        <v>16510</v>
      </c>
      <c r="L3866" s="136"/>
      <c r="M3866" s="136"/>
      <c r="N3866" s="136"/>
    </row>
    <row r="3867" spans="6:14">
      <c r="F3867" s="136" t="s">
        <v>16511</v>
      </c>
      <c r="G3867" s="136">
        <v>52390589898</v>
      </c>
      <c r="H3867" s="136" t="s">
        <v>3924</v>
      </c>
      <c r="I3867" s="136" t="s">
        <v>3924</v>
      </c>
      <c r="J3867" s="136" t="s">
        <v>16512</v>
      </c>
      <c r="L3867" s="136"/>
      <c r="M3867" s="136"/>
      <c r="N3867" s="136"/>
    </row>
    <row r="3868" spans="6:14">
      <c r="F3868" s="136" t="s">
        <v>16513</v>
      </c>
      <c r="G3868" s="136">
        <v>3865</v>
      </c>
      <c r="H3868" s="136" t="s">
        <v>16514</v>
      </c>
      <c r="I3868" s="136" t="s">
        <v>16515</v>
      </c>
      <c r="J3868" s="136" t="s">
        <v>16516</v>
      </c>
      <c r="L3868" s="136"/>
      <c r="M3868" s="136"/>
      <c r="N3868" s="136"/>
    </row>
    <row r="3869" spans="6:14">
      <c r="F3869" s="136" t="s">
        <v>16517</v>
      </c>
      <c r="G3869" s="136">
        <v>3866</v>
      </c>
      <c r="H3869" s="136" t="s">
        <v>2169</v>
      </c>
      <c r="I3869" s="136" t="s">
        <v>2170</v>
      </c>
      <c r="J3869" s="136" t="s">
        <v>16518</v>
      </c>
      <c r="L3869" s="136"/>
      <c r="M3869" s="136"/>
      <c r="N3869" s="136"/>
    </row>
    <row r="3870" spans="6:14">
      <c r="F3870" s="136" t="s">
        <v>16519</v>
      </c>
      <c r="G3870" s="136">
        <v>3867</v>
      </c>
      <c r="H3870" s="136" t="s">
        <v>5997</v>
      </c>
      <c r="I3870" s="136" t="s">
        <v>5997</v>
      </c>
      <c r="J3870" s="136" t="s">
        <v>16520</v>
      </c>
      <c r="L3870" s="136"/>
      <c r="M3870" s="136"/>
      <c r="N3870" s="136"/>
    </row>
    <row r="3871" spans="6:14">
      <c r="F3871" s="136" t="s">
        <v>16521</v>
      </c>
      <c r="G3871" s="136">
        <v>42789522871</v>
      </c>
      <c r="H3871" s="136" t="s">
        <v>2241</v>
      </c>
      <c r="I3871" s="136" t="s">
        <v>2241</v>
      </c>
      <c r="J3871" s="136" t="s">
        <v>16522</v>
      </c>
      <c r="L3871" s="136"/>
      <c r="M3871" s="136"/>
      <c r="N3871" s="136"/>
    </row>
    <row r="3872" spans="6:14">
      <c r="F3872" s="136" t="s">
        <v>16523</v>
      </c>
      <c r="G3872" s="136">
        <v>3869</v>
      </c>
      <c r="H3872" s="136" t="s">
        <v>3181</v>
      </c>
      <c r="I3872" s="136" t="s">
        <v>3182</v>
      </c>
      <c r="J3872" s="136" t="s">
        <v>16524</v>
      </c>
      <c r="L3872" s="136"/>
      <c r="M3872" s="136"/>
      <c r="N3872" s="136"/>
    </row>
    <row r="3873" spans="6:14">
      <c r="F3873" s="136" t="s">
        <v>16525</v>
      </c>
      <c r="G3873" s="136">
        <v>3870</v>
      </c>
      <c r="H3873" s="136" t="s">
        <v>16526</v>
      </c>
      <c r="I3873" s="136" t="s">
        <v>16526</v>
      </c>
      <c r="J3873" s="136" t="s">
        <v>16527</v>
      </c>
      <c r="L3873" s="136"/>
      <c r="M3873" s="136"/>
      <c r="N3873" s="136"/>
    </row>
    <row r="3874" spans="6:14">
      <c r="F3874" s="136" t="s">
        <v>16528</v>
      </c>
      <c r="G3874" s="136">
        <v>3871</v>
      </c>
      <c r="H3874" s="136" t="s">
        <v>3336</v>
      </c>
      <c r="I3874" s="136" t="s">
        <v>3337</v>
      </c>
      <c r="J3874" s="136" t="s">
        <v>16529</v>
      </c>
      <c r="L3874" s="136"/>
      <c r="M3874" s="136"/>
      <c r="N3874" s="136"/>
    </row>
    <row r="3875" spans="6:14">
      <c r="F3875" s="136" t="s">
        <v>16530</v>
      </c>
      <c r="G3875" s="136">
        <v>3872</v>
      </c>
      <c r="H3875" s="136" t="s">
        <v>16531</v>
      </c>
      <c r="I3875" s="136" t="s">
        <v>16532</v>
      </c>
      <c r="J3875" s="136" t="s">
        <v>16533</v>
      </c>
      <c r="L3875" s="136"/>
      <c r="M3875" s="136"/>
      <c r="N3875" s="136"/>
    </row>
    <row r="3876" spans="6:14">
      <c r="F3876" s="136" t="s">
        <v>16534</v>
      </c>
      <c r="G3876" s="136">
        <v>6618486980</v>
      </c>
      <c r="H3876" s="136" t="s">
        <v>868</v>
      </c>
      <c r="I3876" s="136" t="s">
        <v>868</v>
      </c>
      <c r="J3876" s="136" t="s">
        <v>16535</v>
      </c>
      <c r="L3876" s="136"/>
      <c r="M3876" s="136"/>
      <c r="N3876" s="136"/>
    </row>
    <row r="3877" spans="6:14">
      <c r="F3877" s="136" t="s">
        <v>16536</v>
      </c>
      <c r="G3877" s="136">
        <v>3874</v>
      </c>
      <c r="H3877" s="136" t="s">
        <v>3412</v>
      </c>
      <c r="I3877" s="136" t="s">
        <v>3413</v>
      </c>
      <c r="J3877" s="136" t="s">
        <v>16537</v>
      </c>
      <c r="L3877" s="136"/>
      <c r="M3877" s="136"/>
      <c r="N3877" s="136"/>
    </row>
    <row r="3878" spans="6:14">
      <c r="F3878" s="136" t="s">
        <v>16538</v>
      </c>
      <c r="G3878" s="136">
        <v>3875</v>
      </c>
      <c r="H3878" s="136" t="s">
        <v>3745</v>
      </c>
      <c r="I3878" s="136" t="s">
        <v>3746</v>
      </c>
      <c r="J3878" s="136" t="s">
        <v>16539</v>
      </c>
      <c r="L3878" s="136"/>
      <c r="M3878" s="136"/>
      <c r="N3878" s="136"/>
    </row>
    <row r="3879" spans="6:14">
      <c r="F3879" s="136" t="s">
        <v>16540</v>
      </c>
      <c r="G3879" s="136">
        <v>3876</v>
      </c>
      <c r="H3879" s="136" t="s">
        <v>3476</v>
      </c>
      <c r="I3879" s="136" t="s">
        <v>3477</v>
      </c>
      <c r="J3879" s="136" t="s">
        <v>16541</v>
      </c>
      <c r="L3879" s="136"/>
      <c r="M3879" s="136"/>
      <c r="N3879" s="136"/>
    </row>
    <row r="3880" spans="6:14">
      <c r="F3880" s="136" t="s">
        <v>16542</v>
      </c>
      <c r="G3880" s="136">
        <v>3877</v>
      </c>
      <c r="H3880" s="136" t="s">
        <v>3771</v>
      </c>
      <c r="I3880" s="136" t="s">
        <v>3772</v>
      </c>
      <c r="J3880" s="136" t="s">
        <v>16543</v>
      </c>
      <c r="L3880" s="136"/>
      <c r="M3880" s="136"/>
      <c r="N3880" s="136"/>
    </row>
    <row r="3881" spans="6:14">
      <c r="F3881" s="136" t="s">
        <v>16544</v>
      </c>
      <c r="G3881" s="136">
        <v>3878</v>
      </c>
      <c r="H3881" s="136" t="s">
        <v>387</v>
      </c>
      <c r="I3881" s="136" t="s">
        <v>388</v>
      </c>
      <c r="J3881" s="136" t="s">
        <v>16545</v>
      </c>
      <c r="L3881" s="136"/>
      <c r="M3881" s="136"/>
      <c r="N3881" s="136"/>
    </row>
    <row r="3882" spans="6:14">
      <c r="F3882" s="136" t="s">
        <v>16546</v>
      </c>
      <c r="G3882" s="136">
        <v>3879</v>
      </c>
      <c r="H3882" s="136" t="s">
        <v>16547</v>
      </c>
      <c r="I3882" s="136" t="s">
        <v>16548</v>
      </c>
      <c r="J3882" s="136" t="s">
        <v>16549</v>
      </c>
      <c r="L3882" s="136"/>
      <c r="M3882" s="136"/>
      <c r="N3882" s="136"/>
    </row>
    <row r="3883" spans="6:14">
      <c r="F3883" s="136" t="s">
        <v>16550</v>
      </c>
      <c r="G3883" s="136">
        <v>3880</v>
      </c>
      <c r="H3883" s="136" t="s">
        <v>2925</v>
      </c>
      <c r="I3883" s="136" t="s">
        <v>2925</v>
      </c>
      <c r="J3883" s="136" t="s">
        <v>16551</v>
      </c>
      <c r="L3883" s="136"/>
      <c r="M3883" s="136"/>
      <c r="N3883" s="136"/>
    </row>
    <row r="3884" spans="6:14">
      <c r="F3884" s="136" t="s">
        <v>16552</v>
      </c>
      <c r="G3884" s="136">
        <v>3881</v>
      </c>
      <c r="H3884" s="136" t="s">
        <v>2243</v>
      </c>
      <c r="I3884" s="136" t="s">
        <v>2243</v>
      </c>
      <c r="J3884" s="136" t="s">
        <v>16553</v>
      </c>
      <c r="L3884" s="136"/>
      <c r="M3884" s="136"/>
      <c r="N3884" s="136"/>
    </row>
    <row r="3885" spans="6:14">
      <c r="F3885" s="136" t="s">
        <v>16554</v>
      </c>
      <c r="G3885" s="136">
        <v>3882</v>
      </c>
      <c r="H3885" s="136" t="s">
        <v>3788</v>
      </c>
      <c r="I3885" s="136" t="s">
        <v>3789</v>
      </c>
      <c r="J3885" s="136" t="s">
        <v>16555</v>
      </c>
      <c r="L3885" s="136"/>
      <c r="M3885" s="136"/>
      <c r="N3885" s="136"/>
    </row>
    <row r="3886" spans="6:14">
      <c r="F3886" s="136" t="s">
        <v>16556</v>
      </c>
      <c r="G3886" s="136">
        <v>3883</v>
      </c>
      <c r="H3886" s="136" t="s">
        <v>872</v>
      </c>
      <c r="I3886" s="136" t="s">
        <v>873</v>
      </c>
      <c r="J3886" s="136" t="s">
        <v>16557</v>
      </c>
      <c r="L3886" s="136"/>
      <c r="M3886" s="136"/>
      <c r="N3886" s="136"/>
    </row>
    <row r="3887" spans="6:14">
      <c r="F3887" s="136" t="s">
        <v>16558</v>
      </c>
      <c r="G3887" s="136">
        <v>9905483764</v>
      </c>
      <c r="H3887" s="136" t="s">
        <v>452</v>
      </c>
      <c r="I3887" s="136" t="s">
        <v>452</v>
      </c>
      <c r="J3887" s="136" t="s">
        <v>16559</v>
      </c>
      <c r="L3887" s="136"/>
      <c r="M3887" s="136"/>
      <c r="N3887" s="136"/>
    </row>
    <row r="3888" spans="6:14">
      <c r="F3888" s="136" t="s">
        <v>16560</v>
      </c>
      <c r="G3888" s="136">
        <v>3885</v>
      </c>
      <c r="H3888" s="136" t="s">
        <v>4453</v>
      </c>
      <c r="I3888" s="136" t="s">
        <v>4454</v>
      </c>
      <c r="J3888" s="136" t="s">
        <v>16561</v>
      </c>
      <c r="L3888" s="136"/>
      <c r="M3888" s="136"/>
      <c r="N3888" s="136"/>
    </row>
    <row r="3889" spans="6:14">
      <c r="F3889" s="136" t="s">
        <v>16562</v>
      </c>
      <c r="G3889" s="136">
        <v>3886</v>
      </c>
      <c r="H3889" s="136" t="s">
        <v>548</v>
      </c>
      <c r="I3889" s="136" t="s">
        <v>592</v>
      </c>
      <c r="J3889" s="136" t="s">
        <v>16563</v>
      </c>
      <c r="L3889" s="136"/>
      <c r="M3889" s="136"/>
      <c r="N3889" s="136"/>
    </row>
    <row r="3890" spans="6:14">
      <c r="F3890" s="136" t="s">
        <v>16564</v>
      </c>
      <c r="G3890" s="136">
        <v>3887</v>
      </c>
      <c r="H3890" s="136" t="s">
        <v>4288</v>
      </c>
      <c r="I3890" s="136" t="s">
        <v>4289</v>
      </c>
      <c r="J3890" s="136" t="s">
        <v>16565</v>
      </c>
      <c r="L3890" s="136"/>
      <c r="M3890" s="136"/>
      <c r="N3890" s="136"/>
    </row>
    <row r="3891" spans="6:14">
      <c r="F3891" s="136" t="s">
        <v>16566</v>
      </c>
      <c r="G3891" s="136">
        <v>3888</v>
      </c>
      <c r="H3891" s="136" t="s">
        <v>1591</v>
      </c>
      <c r="I3891" s="136" t="s">
        <v>1592</v>
      </c>
      <c r="J3891" s="136" t="s">
        <v>16567</v>
      </c>
      <c r="L3891" s="136"/>
      <c r="M3891" s="136"/>
      <c r="N3891" s="136"/>
    </row>
    <row r="3892" spans="6:14">
      <c r="F3892" s="136" t="s">
        <v>16568</v>
      </c>
      <c r="G3892" s="136">
        <v>42698555840</v>
      </c>
      <c r="H3892" s="136" t="s">
        <v>5965</v>
      </c>
      <c r="I3892" s="136" t="s">
        <v>5965</v>
      </c>
      <c r="J3892" s="136" t="s">
        <v>16569</v>
      </c>
      <c r="L3892" s="136"/>
      <c r="M3892" s="136"/>
      <c r="N3892" s="136"/>
    </row>
    <row r="3893" spans="6:14">
      <c r="F3893" s="136" t="s">
        <v>16570</v>
      </c>
      <c r="G3893" s="136">
        <v>21509410821</v>
      </c>
      <c r="H3893" s="136" t="s">
        <v>2371</v>
      </c>
      <c r="I3893" s="136" t="s">
        <v>2371</v>
      </c>
      <c r="J3893" s="136" t="s">
        <v>16571</v>
      </c>
      <c r="L3893" s="136"/>
      <c r="M3893" s="136"/>
      <c r="N3893" s="136"/>
    </row>
    <row r="3894" spans="6:14">
      <c r="F3894" s="136" t="s">
        <v>16572</v>
      </c>
      <c r="G3894" s="136">
        <v>3891</v>
      </c>
      <c r="H3894" s="136" t="s">
        <v>1970</v>
      </c>
      <c r="I3894" s="136" t="s">
        <v>1971</v>
      </c>
      <c r="J3894" s="136" t="s">
        <v>16573</v>
      </c>
      <c r="L3894" s="136"/>
      <c r="M3894" s="136"/>
      <c r="N3894" s="136"/>
    </row>
    <row r="3895" spans="6:14">
      <c r="F3895" s="136" t="s">
        <v>16574</v>
      </c>
      <c r="G3895" s="136">
        <v>55235280300</v>
      </c>
      <c r="H3895" s="136" t="s">
        <v>3089</v>
      </c>
      <c r="I3895" s="136" t="s">
        <v>3090</v>
      </c>
      <c r="J3895" s="136" t="s">
        <v>16575</v>
      </c>
      <c r="L3895" s="136"/>
      <c r="M3895" s="136"/>
      <c r="N3895" s="136"/>
    </row>
    <row r="3896" spans="6:14">
      <c r="F3896" s="136" t="s">
        <v>16576</v>
      </c>
      <c r="G3896" s="136">
        <v>27596410820</v>
      </c>
      <c r="H3896" s="136" t="s">
        <v>5405</v>
      </c>
      <c r="I3896" s="136" t="s">
        <v>5406</v>
      </c>
      <c r="J3896" s="136" t="s">
        <v>16577</v>
      </c>
      <c r="L3896" s="136"/>
      <c r="M3896" s="136"/>
      <c r="N3896" s="136"/>
    </row>
    <row r="3897" spans="6:14">
      <c r="F3897" s="136" t="s">
        <v>16578</v>
      </c>
      <c r="G3897" s="136">
        <v>88212866491</v>
      </c>
      <c r="H3897" s="136" t="s">
        <v>2140</v>
      </c>
      <c r="I3897" s="136" t="s">
        <v>2140</v>
      </c>
      <c r="J3897" s="136" t="s">
        <v>16579</v>
      </c>
      <c r="L3897" s="136"/>
      <c r="M3897" s="136"/>
      <c r="N3897" s="136"/>
    </row>
    <row r="3898" spans="6:14">
      <c r="F3898" s="136" t="s">
        <v>16580</v>
      </c>
      <c r="G3898" s="136">
        <v>3895</v>
      </c>
      <c r="H3898" s="136" t="s">
        <v>263</v>
      </c>
      <c r="I3898" s="136" t="s">
        <v>264</v>
      </c>
      <c r="J3898" s="136" t="s">
        <v>16581</v>
      </c>
      <c r="L3898" s="136"/>
      <c r="M3898" s="136"/>
      <c r="N3898" s="136"/>
    </row>
    <row r="3899" spans="6:14">
      <c r="F3899" s="136" t="s">
        <v>16582</v>
      </c>
      <c r="G3899" s="136">
        <v>3896</v>
      </c>
      <c r="H3899" s="136" t="s">
        <v>5217</v>
      </c>
      <c r="I3899" s="136" t="s">
        <v>5218</v>
      </c>
      <c r="J3899" s="136" t="s">
        <v>16583</v>
      </c>
      <c r="L3899" s="136"/>
      <c r="M3899" s="136"/>
      <c r="N3899" s="136"/>
    </row>
    <row r="3900" spans="6:14">
      <c r="F3900" s="136" t="s">
        <v>16584</v>
      </c>
      <c r="G3900" s="136">
        <v>10013602659</v>
      </c>
      <c r="H3900" s="136" t="s">
        <v>2982</v>
      </c>
      <c r="I3900" s="136" t="s">
        <v>2983</v>
      </c>
      <c r="J3900" s="136" t="s">
        <v>16585</v>
      </c>
      <c r="L3900" s="136"/>
      <c r="M3900" s="136"/>
      <c r="N3900" s="136"/>
    </row>
    <row r="3901" spans="6:14">
      <c r="F3901" s="136" t="s">
        <v>16586</v>
      </c>
      <c r="G3901" s="136">
        <v>33469726825</v>
      </c>
      <c r="H3901" s="136" t="s">
        <v>4369</v>
      </c>
      <c r="I3901" s="136" t="s">
        <v>4370</v>
      </c>
      <c r="J3901" s="136" t="s">
        <v>16587</v>
      </c>
      <c r="L3901" s="136"/>
      <c r="M3901" s="136"/>
      <c r="N3901" s="136"/>
    </row>
    <row r="3902" spans="6:14">
      <c r="F3902" s="136" t="s">
        <v>16588</v>
      </c>
      <c r="G3902" s="136">
        <v>3899</v>
      </c>
      <c r="H3902" s="136" t="s">
        <v>3670</v>
      </c>
      <c r="I3902" s="136" t="s">
        <v>3671</v>
      </c>
      <c r="J3902" s="136" t="s">
        <v>16589</v>
      </c>
      <c r="L3902" s="136"/>
      <c r="M3902" s="136"/>
      <c r="N3902" s="136"/>
    </row>
    <row r="3903" spans="6:14">
      <c r="F3903" s="136" t="s">
        <v>16590</v>
      </c>
      <c r="G3903" s="136">
        <v>12908721635</v>
      </c>
      <c r="H3903" s="136" t="s">
        <v>4611</v>
      </c>
      <c r="I3903" s="136" t="s">
        <v>4611</v>
      </c>
      <c r="J3903" s="136" t="s">
        <v>16591</v>
      </c>
      <c r="L3903" s="136"/>
      <c r="M3903" s="136"/>
      <c r="N3903" s="136"/>
    </row>
    <row r="3904" spans="6:14">
      <c r="F3904" s="136" t="s">
        <v>16592</v>
      </c>
      <c r="G3904" s="136">
        <v>33480467857</v>
      </c>
      <c r="H3904" s="136" t="s">
        <v>5076</v>
      </c>
      <c r="I3904" s="136" t="s">
        <v>5077</v>
      </c>
      <c r="J3904" s="136" t="s">
        <v>16593</v>
      </c>
      <c r="L3904" s="136"/>
      <c r="M3904" s="136"/>
      <c r="N3904" s="136"/>
    </row>
    <row r="3905" spans="6:14">
      <c r="F3905" s="136" t="s">
        <v>16594</v>
      </c>
      <c r="G3905" s="136">
        <v>3902</v>
      </c>
      <c r="H3905" s="136" t="s">
        <v>3857</v>
      </c>
      <c r="I3905" s="136" t="s">
        <v>3858</v>
      </c>
      <c r="J3905" s="136" t="s">
        <v>16595</v>
      </c>
      <c r="L3905" s="136"/>
      <c r="M3905" s="136"/>
      <c r="N3905" s="136"/>
    </row>
    <row r="3906" spans="6:14">
      <c r="F3906" s="136" t="s">
        <v>16596</v>
      </c>
      <c r="G3906" s="136">
        <v>3903</v>
      </c>
      <c r="H3906" s="136" t="s">
        <v>2175</v>
      </c>
      <c r="I3906" s="136" t="s">
        <v>2176</v>
      </c>
      <c r="J3906" s="136" t="s">
        <v>16597</v>
      </c>
      <c r="L3906" s="136"/>
      <c r="M3906" s="136"/>
      <c r="N3906" s="136"/>
    </row>
    <row r="3907" spans="6:14">
      <c r="F3907" s="136" t="s">
        <v>16598</v>
      </c>
      <c r="G3907" s="136">
        <v>3904</v>
      </c>
      <c r="H3907" s="136" t="s">
        <v>16599</v>
      </c>
      <c r="I3907" s="136" t="s">
        <v>16600</v>
      </c>
      <c r="J3907" s="136" t="s">
        <v>16601</v>
      </c>
      <c r="L3907" s="136"/>
      <c r="M3907" s="136"/>
      <c r="N3907" s="136"/>
    </row>
    <row r="3908" spans="6:14">
      <c r="F3908" s="136" t="s">
        <v>16602</v>
      </c>
      <c r="G3908" s="136">
        <v>3905</v>
      </c>
      <c r="H3908" s="136" t="s">
        <v>1057</v>
      </c>
      <c r="I3908" s="136" t="s">
        <v>1057</v>
      </c>
      <c r="J3908" s="136" t="s">
        <v>16603</v>
      </c>
      <c r="L3908" s="136"/>
      <c r="M3908" s="136"/>
      <c r="N3908" s="136"/>
    </row>
    <row r="3909" spans="6:14">
      <c r="F3909" s="136" t="s">
        <v>16604</v>
      </c>
      <c r="G3909" s="136">
        <v>3906</v>
      </c>
      <c r="H3909" s="136" t="s">
        <v>1077</v>
      </c>
      <c r="I3909" s="136" t="s">
        <v>1078</v>
      </c>
      <c r="J3909" s="136" t="s">
        <v>16605</v>
      </c>
      <c r="L3909" s="136"/>
      <c r="M3909" s="136"/>
      <c r="N3909" s="136"/>
    </row>
    <row r="3910" spans="6:14">
      <c r="F3910" s="136" t="s">
        <v>16606</v>
      </c>
      <c r="G3910" s="136">
        <v>3907</v>
      </c>
      <c r="H3910" s="136" t="s">
        <v>4120</v>
      </c>
      <c r="I3910" s="136" t="s">
        <v>4121</v>
      </c>
      <c r="J3910" s="136" t="s">
        <v>16607</v>
      </c>
      <c r="L3910" s="136"/>
      <c r="M3910" s="136"/>
      <c r="N3910" s="136"/>
    </row>
    <row r="3911" spans="6:14">
      <c r="F3911" s="136" t="s">
        <v>16608</v>
      </c>
      <c r="G3911" s="136">
        <v>1617126659</v>
      </c>
      <c r="H3911" s="136" t="s">
        <v>393</v>
      </c>
      <c r="I3911" s="136" t="s">
        <v>393</v>
      </c>
      <c r="J3911" s="136" t="s">
        <v>16609</v>
      </c>
      <c r="L3911" s="136"/>
      <c r="M3911" s="136"/>
      <c r="N3911" s="136"/>
    </row>
    <row r="3912" spans="6:14">
      <c r="F3912" s="136" t="s">
        <v>16610</v>
      </c>
      <c r="G3912" s="136">
        <v>3909</v>
      </c>
      <c r="H3912" s="136" t="s">
        <v>16611</v>
      </c>
      <c r="I3912" s="136" t="s">
        <v>16612</v>
      </c>
      <c r="J3912" s="136" t="s">
        <v>16613</v>
      </c>
      <c r="L3912" s="136"/>
      <c r="M3912" s="136"/>
      <c r="N3912" s="136"/>
    </row>
    <row r="3913" spans="6:14">
      <c r="F3913" s="136" t="s">
        <v>16614</v>
      </c>
      <c r="G3913" s="136">
        <v>3910</v>
      </c>
      <c r="H3913" s="136" t="s">
        <v>16611</v>
      </c>
      <c r="I3913" s="136" t="s">
        <v>16612</v>
      </c>
      <c r="J3913" s="136" t="s">
        <v>16615</v>
      </c>
      <c r="L3913" s="136"/>
      <c r="M3913" s="136"/>
      <c r="N3913" s="136"/>
    </row>
    <row r="3914" spans="6:14">
      <c r="F3914" s="136" t="s">
        <v>16616</v>
      </c>
      <c r="G3914" s="136">
        <v>3911</v>
      </c>
      <c r="H3914" s="136" t="s">
        <v>16617</v>
      </c>
      <c r="I3914" s="136" t="s">
        <v>16618</v>
      </c>
      <c r="J3914" s="136" t="s">
        <v>16619</v>
      </c>
      <c r="L3914" s="136"/>
      <c r="M3914" s="136"/>
      <c r="N3914" s="136"/>
    </row>
    <row r="3915" spans="6:14">
      <c r="F3915" s="136" t="s">
        <v>16620</v>
      </c>
      <c r="G3915" s="136">
        <v>3912</v>
      </c>
      <c r="H3915" s="136" t="s">
        <v>16621</v>
      </c>
      <c r="I3915" s="136" t="s">
        <v>16621</v>
      </c>
      <c r="J3915" s="136" t="s">
        <v>16622</v>
      </c>
      <c r="L3915" s="136"/>
      <c r="M3915" s="136"/>
      <c r="N3915" s="136"/>
    </row>
    <row r="3916" spans="6:14">
      <c r="F3916" s="136" t="s">
        <v>16623</v>
      </c>
      <c r="G3916" s="136">
        <v>3913</v>
      </c>
      <c r="H3916" s="136" t="s">
        <v>4731</v>
      </c>
      <c r="I3916" s="136" t="s">
        <v>4733</v>
      </c>
      <c r="J3916" s="136" t="s">
        <v>16624</v>
      </c>
      <c r="L3916" s="136"/>
      <c r="M3916" s="136"/>
      <c r="N3916" s="136"/>
    </row>
    <row r="3917" spans="6:14">
      <c r="F3917" s="136" t="s">
        <v>16625</v>
      </c>
      <c r="G3917" s="136">
        <v>71297073649</v>
      </c>
      <c r="H3917" s="136" t="s">
        <v>3174</v>
      </c>
      <c r="I3917" s="136" t="s">
        <v>3175</v>
      </c>
      <c r="J3917" s="136" t="s">
        <v>16626</v>
      </c>
      <c r="L3917" s="136"/>
      <c r="M3917" s="136"/>
      <c r="N3917" s="136"/>
    </row>
    <row r="3918" spans="6:14">
      <c r="F3918" s="136" t="s">
        <v>16627</v>
      </c>
      <c r="G3918" s="136">
        <v>45052442882</v>
      </c>
      <c r="H3918" s="136" t="s">
        <v>1021</v>
      </c>
      <c r="I3918" s="136" t="s">
        <v>1021</v>
      </c>
      <c r="J3918" s="136" t="s">
        <v>16628</v>
      </c>
      <c r="L3918" s="136"/>
      <c r="M3918" s="136"/>
      <c r="N3918" s="136"/>
    </row>
    <row r="3919" spans="6:14">
      <c r="F3919" s="136" t="s">
        <v>16629</v>
      </c>
      <c r="G3919" s="136">
        <v>2854286839</v>
      </c>
      <c r="H3919" s="136" t="s">
        <v>5592</v>
      </c>
      <c r="I3919" s="136" t="s">
        <v>5592</v>
      </c>
      <c r="J3919" s="136" t="s">
        <v>16630</v>
      </c>
      <c r="L3919" s="136"/>
      <c r="M3919" s="136"/>
      <c r="N3919" s="136"/>
    </row>
    <row r="3920" spans="6:14">
      <c r="F3920" s="136" t="s">
        <v>16631</v>
      </c>
      <c r="G3920" s="136">
        <v>3917</v>
      </c>
      <c r="H3920" s="136" t="s">
        <v>16632</v>
      </c>
      <c r="I3920" s="136" t="s">
        <v>16633</v>
      </c>
      <c r="J3920" s="136" t="s">
        <v>16634</v>
      </c>
      <c r="L3920" s="136"/>
      <c r="M3920" s="136"/>
      <c r="N3920" s="136"/>
    </row>
    <row r="3921" spans="6:14">
      <c r="F3921" s="136" t="s">
        <v>16635</v>
      </c>
      <c r="G3921" s="136">
        <v>3918</v>
      </c>
      <c r="H3921" s="136" t="s">
        <v>696</v>
      </c>
      <c r="I3921" s="136" t="s">
        <v>696</v>
      </c>
      <c r="J3921" s="136" t="s">
        <v>16636</v>
      </c>
      <c r="L3921" s="136"/>
      <c r="M3921" s="136"/>
      <c r="N3921" s="136"/>
    </row>
    <row r="3922" spans="6:14">
      <c r="F3922" s="136" t="s">
        <v>16637</v>
      </c>
      <c r="G3922" s="136">
        <v>3919</v>
      </c>
      <c r="H3922" s="136" t="s">
        <v>16638</v>
      </c>
      <c r="I3922" s="136" t="s">
        <v>16639</v>
      </c>
      <c r="J3922" s="136" t="s">
        <v>16640</v>
      </c>
      <c r="L3922" s="136"/>
      <c r="M3922" s="136"/>
      <c r="N3922" s="136"/>
    </row>
    <row r="3923" spans="6:14">
      <c r="F3923" s="136" t="s">
        <v>16641</v>
      </c>
      <c r="G3923" s="136">
        <v>3920</v>
      </c>
      <c r="H3923" s="136" t="s">
        <v>5875</v>
      </c>
      <c r="I3923" s="136" t="s">
        <v>5876</v>
      </c>
      <c r="J3923" s="136" t="s">
        <v>16642</v>
      </c>
      <c r="L3923" s="136"/>
      <c r="M3923" s="136"/>
      <c r="N3923" s="136"/>
    </row>
    <row r="3924" spans="6:14">
      <c r="F3924" s="136" t="s">
        <v>16643</v>
      </c>
      <c r="G3924" s="136">
        <v>3921</v>
      </c>
      <c r="H3924" s="136" t="s">
        <v>4724</v>
      </c>
      <c r="I3924" s="136" t="s">
        <v>4725</v>
      </c>
      <c r="J3924" s="136" t="s">
        <v>16644</v>
      </c>
      <c r="L3924" s="136"/>
      <c r="M3924" s="136"/>
      <c r="N3924" s="136"/>
    </row>
    <row r="3925" spans="6:14">
      <c r="F3925" s="136" t="s">
        <v>16645</v>
      </c>
      <c r="G3925" s="136">
        <v>3922</v>
      </c>
      <c r="H3925" s="136" t="s">
        <v>16646</v>
      </c>
      <c r="I3925" s="136" t="s">
        <v>16647</v>
      </c>
      <c r="J3925" s="136" t="s">
        <v>16648</v>
      </c>
      <c r="L3925" s="136"/>
      <c r="M3925" s="136"/>
      <c r="N3925" s="136"/>
    </row>
    <row r="3926" spans="6:14">
      <c r="F3926" s="136" t="s">
        <v>16649</v>
      </c>
      <c r="G3926" s="136">
        <v>3923</v>
      </c>
      <c r="H3926" s="136" t="s">
        <v>1024</v>
      </c>
      <c r="I3926" s="136" t="s">
        <v>1025</v>
      </c>
      <c r="J3926" s="136" t="s">
        <v>16650</v>
      </c>
      <c r="L3926" s="136"/>
      <c r="M3926" s="136"/>
      <c r="N3926" s="136"/>
    </row>
    <row r="3927" spans="6:14">
      <c r="F3927" s="136" t="s">
        <v>16651</v>
      </c>
      <c r="G3927" s="136">
        <v>3924</v>
      </c>
      <c r="H3927" s="136" t="s">
        <v>6176</v>
      </c>
      <c r="I3927" s="136" t="s">
        <v>6178</v>
      </c>
      <c r="J3927" s="136" t="s">
        <v>16652</v>
      </c>
      <c r="L3927" s="136"/>
      <c r="M3927" s="136"/>
      <c r="N3927" s="136"/>
    </row>
    <row r="3928" spans="6:14">
      <c r="F3928" s="136" t="s">
        <v>16653</v>
      </c>
      <c r="G3928" s="136">
        <v>3925</v>
      </c>
      <c r="H3928" s="136" t="s">
        <v>6176</v>
      </c>
      <c r="I3928" s="136" t="s">
        <v>6179</v>
      </c>
      <c r="J3928" s="136" t="s">
        <v>16654</v>
      </c>
      <c r="L3928" s="136"/>
      <c r="M3928" s="136"/>
      <c r="N3928" s="136"/>
    </row>
    <row r="3929" spans="6:14">
      <c r="F3929" s="136" t="s">
        <v>16655</v>
      </c>
      <c r="G3929" s="136">
        <v>3926</v>
      </c>
      <c r="H3929" s="136" t="s">
        <v>6176</v>
      </c>
      <c r="I3929" s="136" t="s">
        <v>6180</v>
      </c>
      <c r="J3929" s="136" t="s">
        <v>16656</v>
      </c>
      <c r="L3929" s="136"/>
      <c r="M3929" s="136"/>
      <c r="N3929" s="136"/>
    </row>
    <row r="3930" spans="6:14">
      <c r="F3930" s="136" t="s">
        <v>16657</v>
      </c>
      <c r="G3930" s="136">
        <v>3927</v>
      </c>
      <c r="H3930" s="136" t="s">
        <v>6176</v>
      </c>
      <c r="I3930" s="136" t="s">
        <v>6181</v>
      </c>
      <c r="J3930" s="136" t="s">
        <v>16658</v>
      </c>
      <c r="L3930" s="136"/>
      <c r="M3930" s="136"/>
      <c r="N3930" s="136"/>
    </row>
    <row r="3931" spans="6:14">
      <c r="F3931" s="136" t="s">
        <v>16659</v>
      </c>
      <c r="G3931" s="136">
        <v>3928</v>
      </c>
      <c r="H3931" s="136" t="s">
        <v>6176</v>
      </c>
      <c r="I3931" s="136" t="s">
        <v>6182</v>
      </c>
      <c r="J3931" s="136" t="s">
        <v>16660</v>
      </c>
      <c r="L3931" s="136"/>
      <c r="M3931" s="136"/>
      <c r="N3931" s="136"/>
    </row>
    <row r="3932" spans="6:14">
      <c r="F3932" s="136" t="s">
        <v>16661</v>
      </c>
      <c r="G3932" s="136">
        <v>9061470773</v>
      </c>
      <c r="H3932" s="136" t="s">
        <v>4967</v>
      </c>
      <c r="I3932" s="136" t="s">
        <v>4967</v>
      </c>
      <c r="J3932" s="136" t="s">
        <v>16662</v>
      </c>
      <c r="L3932" s="136"/>
      <c r="M3932" s="136"/>
      <c r="N3932" s="136"/>
    </row>
    <row r="3933" spans="6:14">
      <c r="F3933" s="136" t="s">
        <v>16663</v>
      </c>
      <c r="G3933" s="136">
        <v>12274835705</v>
      </c>
      <c r="H3933" s="136" t="s">
        <v>237</v>
      </c>
      <c r="I3933" s="136" t="s">
        <v>237</v>
      </c>
      <c r="J3933" s="136" t="s">
        <v>16664</v>
      </c>
      <c r="L3933" s="136"/>
      <c r="M3933" s="136"/>
      <c r="N3933" s="136"/>
    </row>
    <row r="3934" spans="6:14">
      <c r="F3934" s="136" t="s">
        <v>16665</v>
      </c>
      <c r="G3934" s="136">
        <v>3931</v>
      </c>
      <c r="H3934" s="136" t="s">
        <v>16666</v>
      </c>
      <c r="I3934" s="136" t="s">
        <v>16667</v>
      </c>
      <c r="J3934" s="136" t="s">
        <v>16668</v>
      </c>
      <c r="L3934" s="136"/>
      <c r="M3934" s="136"/>
      <c r="N3934" s="136"/>
    </row>
    <row r="3935" spans="6:14">
      <c r="F3935" s="136" t="s">
        <v>16669</v>
      </c>
      <c r="G3935" s="136">
        <v>43636355848</v>
      </c>
      <c r="H3935" s="136" t="s">
        <v>3987</v>
      </c>
      <c r="I3935" s="136" t="s">
        <v>3987</v>
      </c>
      <c r="J3935" s="136" t="s">
        <v>16670</v>
      </c>
      <c r="L3935" s="136"/>
      <c r="M3935" s="136"/>
      <c r="N3935" s="136"/>
    </row>
    <row r="3936" spans="6:14">
      <c r="F3936" s="136" t="s">
        <v>16671</v>
      </c>
      <c r="G3936" s="136">
        <v>3933</v>
      </c>
      <c r="H3936" s="136" t="s">
        <v>1920</v>
      </c>
      <c r="I3936" s="136" t="s">
        <v>1921</v>
      </c>
      <c r="J3936" s="136" t="s">
        <v>16672</v>
      </c>
      <c r="L3936" s="136"/>
      <c r="M3936" s="136"/>
      <c r="N3936" s="136"/>
    </row>
    <row r="3937" spans="6:14">
      <c r="F3937" s="136" t="s">
        <v>16673</v>
      </c>
      <c r="G3937" s="136">
        <v>3934</v>
      </c>
      <c r="H3937" s="136" t="s">
        <v>336</v>
      </c>
      <c r="I3937" s="136" t="s">
        <v>337</v>
      </c>
      <c r="J3937" s="136" t="s">
        <v>16674</v>
      </c>
      <c r="L3937" s="136"/>
      <c r="M3937" s="136"/>
      <c r="N3937" s="136"/>
    </row>
    <row r="3938" spans="6:14">
      <c r="F3938" s="136" t="s">
        <v>16675</v>
      </c>
      <c r="G3938" s="136">
        <v>3935</v>
      </c>
      <c r="H3938" s="136" t="s">
        <v>329</v>
      </c>
      <c r="I3938" s="136" t="s">
        <v>329</v>
      </c>
      <c r="J3938" s="136" t="s">
        <v>16676</v>
      </c>
      <c r="L3938" s="136"/>
      <c r="M3938" s="136"/>
      <c r="N3938" s="136"/>
    </row>
    <row r="3939" spans="6:14">
      <c r="F3939" s="136" t="s">
        <v>16677</v>
      </c>
      <c r="G3939" s="136">
        <v>3936</v>
      </c>
      <c r="H3939" s="136" t="s">
        <v>5044</v>
      </c>
      <c r="I3939" s="136" t="s">
        <v>5045</v>
      </c>
      <c r="J3939" s="136" t="s">
        <v>16678</v>
      </c>
      <c r="L3939" s="136"/>
      <c r="M3939" s="136"/>
      <c r="N3939" s="136"/>
    </row>
    <row r="3940" spans="6:14">
      <c r="F3940" s="136" t="s">
        <v>16679</v>
      </c>
      <c r="G3940" s="136">
        <v>3937</v>
      </c>
      <c r="H3940" s="136" t="s">
        <v>8232</v>
      </c>
      <c r="I3940" s="136" t="s">
        <v>8233</v>
      </c>
      <c r="J3940" s="136" t="s">
        <v>16680</v>
      </c>
      <c r="L3940" s="136"/>
      <c r="M3940" s="136"/>
      <c r="N3940" s="136"/>
    </row>
    <row r="3941" spans="6:14">
      <c r="F3941" s="136" t="s">
        <v>16681</v>
      </c>
      <c r="G3941" s="136">
        <v>3938</v>
      </c>
      <c r="H3941" s="136" t="s">
        <v>5385</v>
      </c>
      <c r="I3941" s="136" t="s">
        <v>5386</v>
      </c>
      <c r="J3941" s="136" t="s">
        <v>16682</v>
      </c>
      <c r="L3941" s="136"/>
      <c r="M3941" s="136"/>
      <c r="N3941" s="136"/>
    </row>
    <row r="3942" spans="6:14">
      <c r="F3942" s="136" t="s">
        <v>16683</v>
      </c>
      <c r="G3942" s="136">
        <v>3939</v>
      </c>
      <c r="H3942" s="136" t="s">
        <v>16684</v>
      </c>
      <c r="I3942" s="136" t="s">
        <v>16685</v>
      </c>
      <c r="J3942" s="136" t="s">
        <v>16686</v>
      </c>
      <c r="L3942" s="136"/>
      <c r="M3942" s="136"/>
      <c r="N3942" s="136"/>
    </row>
    <row r="3943" spans="6:14">
      <c r="F3943" s="136" t="s">
        <v>16687</v>
      </c>
      <c r="G3943" s="136">
        <v>3940</v>
      </c>
      <c r="H3943" s="136" t="s">
        <v>236</v>
      </c>
      <c r="I3943" s="136" t="s">
        <v>236</v>
      </c>
      <c r="J3943" s="136" t="s">
        <v>16688</v>
      </c>
      <c r="L3943" s="136"/>
      <c r="M3943" s="136"/>
      <c r="N3943" s="136"/>
    </row>
    <row r="3944" spans="6:14">
      <c r="F3944" s="136" t="s">
        <v>16689</v>
      </c>
      <c r="G3944" s="136">
        <v>3941</v>
      </c>
      <c r="H3944" s="136" t="s">
        <v>295</v>
      </c>
      <c r="I3944" s="136" t="s">
        <v>296</v>
      </c>
      <c r="J3944" s="136" t="s">
        <v>16690</v>
      </c>
      <c r="L3944" s="136"/>
      <c r="M3944" s="136"/>
      <c r="N3944" s="136"/>
    </row>
    <row r="3945" spans="6:14">
      <c r="F3945" s="136" t="s">
        <v>16691</v>
      </c>
      <c r="G3945" s="136">
        <v>3942</v>
      </c>
      <c r="H3945" s="136" t="s">
        <v>2818</v>
      </c>
      <c r="I3945" s="136" t="s">
        <v>2834</v>
      </c>
      <c r="J3945" s="136" t="s">
        <v>16692</v>
      </c>
      <c r="L3945" s="136"/>
      <c r="M3945" s="136"/>
      <c r="N3945" s="136"/>
    </row>
    <row r="3946" spans="6:14">
      <c r="F3946" s="136" t="s">
        <v>16693</v>
      </c>
      <c r="G3946" s="136">
        <v>3943</v>
      </c>
      <c r="H3946" s="136" t="s">
        <v>474</v>
      </c>
      <c r="I3946" s="136" t="s">
        <v>475</v>
      </c>
      <c r="J3946" s="136" t="s">
        <v>16694</v>
      </c>
      <c r="L3946" s="136"/>
      <c r="M3946" s="136"/>
      <c r="N3946" s="136"/>
    </row>
    <row r="3947" spans="6:14">
      <c r="F3947" s="136" t="s">
        <v>16695</v>
      </c>
      <c r="G3947" s="136">
        <v>5167321700</v>
      </c>
      <c r="H3947" s="136" t="s">
        <v>5070</v>
      </c>
      <c r="I3947" s="136" t="s">
        <v>5070</v>
      </c>
      <c r="J3947" s="136" t="s">
        <v>16696</v>
      </c>
      <c r="L3947" s="136"/>
      <c r="M3947" s="136"/>
      <c r="N3947" s="136"/>
    </row>
    <row r="3948" spans="6:14">
      <c r="F3948" s="136" t="s">
        <v>16697</v>
      </c>
      <c r="G3948" s="136">
        <v>3945</v>
      </c>
      <c r="H3948" s="136" t="s">
        <v>3984</v>
      </c>
      <c r="I3948" s="136" t="s">
        <v>3984</v>
      </c>
      <c r="J3948" s="136" t="s">
        <v>16698</v>
      </c>
      <c r="L3948" s="136"/>
      <c r="M3948" s="136"/>
      <c r="N3948" s="136"/>
    </row>
    <row r="3949" spans="6:14">
      <c r="F3949" s="136" t="s">
        <v>16699</v>
      </c>
      <c r="G3949" s="136">
        <v>3946</v>
      </c>
      <c r="H3949" s="136" t="s">
        <v>4076</v>
      </c>
      <c r="I3949" s="136" t="s">
        <v>4076</v>
      </c>
      <c r="J3949" s="136" t="s">
        <v>16700</v>
      </c>
      <c r="L3949" s="136"/>
      <c r="M3949" s="136"/>
      <c r="N3949" s="136"/>
    </row>
    <row r="3950" spans="6:14">
      <c r="F3950" s="136" t="s">
        <v>16701</v>
      </c>
      <c r="G3950" s="136">
        <v>7032009689</v>
      </c>
      <c r="H3950" s="136" t="s">
        <v>4393</v>
      </c>
      <c r="I3950" s="136" t="s">
        <v>4394</v>
      </c>
      <c r="J3950" s="136" t="s">
        <v>16702</v>
      </c>
      <c r="L3950" s="136"/>
      <c r="M3950" s="136"/>
      <c r="N3950" s="136"/>
    </row>
    <row r="3951" spans="6:14">
      <c r="F3951" s="136" t="s">
        <v>16703</v>
      </c>
      <c r="G3951" s="136">
        <v>37059454837</v>
      </c>
      <c r="H3951" s="136" t="s">
        <v>3081</v>
      </c>
      <c r="I3951" s="136" t="s">
        <v>3082</v>
      </c>
      <c r="J3951" s="136" t="s">
        <v>16704</v>
      </c>
      <c r="L3951" s="136"/>
      <c r="M3951" s="136"/>
      <c r="N3951" s="136"/>
    </row>
    <row r="3952" spans="6:14">
      <c r="F3952" s="136" t="s">
        <v>16705</v>
      </c>
      <c r="G3952" s="136">
        <v>3949</v>
      </c>
      <c r="H3952" s="136" t="s">
        <v>822</v>
      </c>
      <c r="I3952" s="136" t="s">
        <v>823</v>
      </c>
      <c r="J3952" s="136" t="s">
        <v>16706</v>
      </c>
      <c r="L3952" s="136"/>
      <c r="M3952" s="136"/>
      <c r="N3952" s="136"/>
    </row>
    <row r="3953" spans="6:14">
      <c r="F3953" s="136" t="s">
        <v>16707</v>
      </c>
      <c r="G3953" s="136">
        <v>3950</v>
      </c>
      <c r="H3953" s="136" t="s">
        <v>5335</v>
      </c>
      <c r="I3953" s="136" t="s">
        <v>5336</v>
      </c>
      <c r="J3953" s="136" t="s">
        <v>16708</v>
      </c>
      <c r="L3953" s="136"/>
      <c r="M3953" s="136"/>
      <c r="N3953" s="136"/>
    </row>
    <row r="3954" spans="6:14">
      <c r="F3954" s="136" t="s">
        <v>16709</v>
      </c>
      <c r="G3954" s="136">
        <v>3951</v>
      </c>
      <c r="H3954" s="136" t="s">
        <v>6191</v>
      </c>
      <c r="I3954" s="136" t="s">
        <v>6192</v>
      </c>
      <c r="J3954" s="136" t="s">
        <v>16710</v>
      </c>
      <c r="L3954" s="136"/>
      <c r="M3954" s="136"/>
      <c r="N3954" s="136"/>
    </row>
    <row r="3955" spans="6:14">
      <c r="F3955" s="136" t="s">
        <v>16711</v>
      </c>
      <c r="G3955" s="136">
        <v>23362696864</v>
      </c>
      <c r="H3955" s="136" t="s">
        <v>5150</v>
      </c>
      <c r="I3955" s="136" t="s">
        <v>5150</v>
      </c>
      <c r="J3955" s="136" t="s">
        <v>16712</v>
      </c>
      <c r="L3955" s="136"/>
      <c r="M3955" s="136"/>
      <c r="N3955" s="136"/>
    </row>
    <row r="3956" spans="6:14">
      <c r="F3956" s="136" t="s">
        <v>16713</v>
      </c>
      <c r="G3956" s="136">
        <v>22224196890</v>
      </c>
      <c r="H3956" s="136" t="s">
        <v>1484</v>
      </c>
      <c r="I3956" s="136" t="s">
        <v>1484</v>
      </c>
      <c r="J3956" s="136" t="s">
        <v>16714</v>
      </c>
      <c r="L3956" s="136"/>
      <c r="M3956" s="136"/>
      <c r="N3956" s="136"/>
    </row>
    <row r="3957" spans="6:14">
      <c r="F3957" s="136" t="s">
        <v>16715</v>
      </c>
      <c r="G3957" s="136">
        <v>38677108807</v>
      </c>
      <c r="H3957" s="136" t="s">
        <v>3704</v>
      </c>
      <c r="I3957" s="136" t="s">
        <v>3704</v>
      </c>
      <c r="J3957" s="136" t="s">
        <v>16716</v>
      </c>
      <c r="L3957" s="136"/>
      <c r="M3957" s="136"/>
      <c r="N3957" s="136"/>
    </row>
    <row r="3958" spans="6:14">
      <c r="F3958" s="136" t="s">
        <v>16717</v>
      </c>
      <c r="G3958" s="136">
        <v>3955</v>
      </c>
      <c r="H3958" s="136" t="s">
        <v>2089</v>
      </c>
      <c r="I3958" s="136" t="s">
        <v>2090</v>
      </c>
      <c r="J3958" s="136" t="s">
        <v>16718</v>
      </c>
      <c r="L3958" s="136"/>
      <c r="M3958" s="136"/>
      <c r="N3958" s="136"/>
    </row>
    <row r="3959" spans="6:14">
      <c r="F3959" s="136" t="s">
        <v>16719</v>
      </c>
      <c r="G3959" s="136">
        <v>43529241806</v>
      </c>
      <c r="H3959" s="136" t="s">
        <v>6065</v>
      </c>
      <c r="I3959" s="136" t="s">
        <v>6066</v>
      </c>
      <c r="J3959" s="136" t="s">
        <v>16720</v>
      </c>
      <c r="L3959" s="136"/>
      <c r="M3959" s="136"/>
      <c r="N3959" s="136"/>
    </row>
    <row r="3960" spans="6:14">
      <c r="F3960" s="136" t="s">
        <v>16721</v>
      </c>
      <c r="G3960" s="136">
        <v>3957</v>
      </c>
      <c r="H3960" s="136" t="s">
        <v>5026</v>
      </c>
      <c r="I3960" s="136" t="s">
        <v>5027</v>
      </c>
      <c r="J3960" s="136" t="s">
        <v>16722</v>
      </c>
      <c r="L3960" s="136"/>
      <c r="M3960" s="136"/>
      <c r="N3960" s="136"/>
    </row>
    <row r="3961" spans="6:14">
      <c r="F3961" s="136" t="s">
        <v>16723</v>
      </c>
      <c r="G3961" s="136">
        <v>3958</v>
      </c>
      <c r="H3961" s="136" t="s">
        <v>5595</v>
      </c>
      <c r="I3961" s="136" t="s">
        <v>5595</v>
      </c>
      <c r="J3961" s="136" t="s">
        <v>16724</v>
      </c>
      <c r="L3961" s="136"/>
      <c r="M3961" s="136"/>
      <c r="N3961" s="136"/>
    </row>
    <row r="3962" spans="6:14">
      <c r="F3962" s="136" t="s">
        <v>16725</v>
      </c>
      <c r="G3962" s="136">
        <v>3105120343</v>
      </c>
      <c r="H3962" s="136" t="s">
        <v>5681</v>
      </c>
      <c r="I3962" s="136" t="s">
        <v>5682</v>
      </c>
      <c r="J3962" s="136" t="s">
        <v>16726</v>
      </c>
      <c r="L3962" s="136"/>
      <c r="M3962" s="136"/>
      <c r="N3962" s="136"/>
    </row>
    <row r="3963" spans="6:14">
      <c r="F3963" s="136" t="s">
        <v>16727</v>
      </c>
      <c r="G3963" s="136">
        <v>35008576801</v>
      </c>
      <c r="H3963" s="136" t="s">
        <v>6112</v>
      </c>
      <c r="I3963" s="136" t="s">
        <v>6112</v>
      </c>
      <c r="J3963" s="136" t="s">
        <v>16728</v>
      </c>
      <c r="L3963" s="136"/>
      <c r="M3963" s="136"/>
      <c r="N3963" s="136"/>
    </row>
    <row r="3964" spans="6:14">
      <c r="F3964" s="136" t="s">
        <v>16729</v>
      </c>
      <c r="G3964" s="136">
        <v>3961</v>
      </c>
      <c r="H3964" s="136" t="s">
        <v>2197</v>
      </c>
      <c r="I3964" s="136" t="s">
        <v>2198</v>
      </c>
      <c r="J3964" s="136" t="s">
        <v>16730</v>
      </c>
      <c r="L3964" s="136"/>
      <c r="M3964" s="136"/>
      <c r="N3964" s="136"/>
    </row>
    <row r="3965" spans="6:14">
      <c r="F3965" s="136" t="s">
        <v>16731</v>
      </c>
      <c r="G3965" s="136">
        <v>3962</v>
      </c>
      <c r="H3965" s="136" t="s">
        <v>4617</v>
      </c>
      <c r="I3965" s="136" t="s">
        <v>4617</v>
      </c>
      <c r="J3965" s="136" t="s">
        <v>16732</v>
      </c>
      <c r="L3965" s="136"/>
      <c r="M3965" s="136"/>
      <c r="N3965" s="136"/>
    </row>
    <row r="3966" spans="6:14">
      <c r="F3966" s="136" t="s">
        <v>16733</v>
      </c>
      <c r="G3966" s="136">
        <v>3963</v>
      </c>
      <c r="H3966" s="136" t="s">
        <v>4075</v>
      </c>
      <c r="I3966" s="136" t="s">
        <v>4075</v>
      </c>
      <c r="J3966" s="136" t="s">
        <v>16734</v>
      </c>
      <c r="L3966" s="136"/>
      <c r="M3966" s="136"/>
      <c r="N3966" s="136"/>
    </row>
    <row r="3967" spans="6:14">
      <c r="F3967" s="136" t="s">
        <v>16735</v>
      </c>
      <c r="G3967" s="136">
        <v>3964</v>
      </c>
      <c r="H3967" s="136" t="s">
        <v>2818</v>
      </c>
      <c r="I3967" s="136" t="s">
        <v>2835</v>
      </c>
      <c r="J3967" s="136" t="s">
        <v>16736</v>
      </c>
      <c r="L3967" s="136"/>
      <c r="M3967" s="136"/>
      <c r="N3967" s="136"/>
    </row>
    <row r="3968" spans="6:14">
      <c r="F3968" s="136" t="s">
        <v>16737</v>
      </c>
      <c r="G3968" s="136">
        <v>1588551164</v>
      </c>
      <c r="H3968" s="136" t="s">
        <v>6012</v>
      </c>
      <c r="I3968" s="136" t="s">
        <v>6012</v>
      </c>
      <c r="J3968" s="136" t="s">
        <v>16738</v>
      </c>
      <c r="L3968" s="136"/>
      <c r="M3968" s="136"/>
      <c r="N3968" s="136"/>
    </row>
    <row r="3969" spans="6:14">
      <c r="F3969" s="136" t="s">
        <v>16739</v>
      </c>
      <c r="G3969" s="136">
        <v>77206380697</v>
      </c>
      <c r="H3969" s="136" t="s">
        <v>5035</v>
      </c>
      <c r="I3969" s="136" t="s">
        <v>5036</v>
      </c>
      <c r="J3969" s="136" t="s">
        <v>16740</v>
      </c>
      <c r="L3969" s="136"/>
      <c r="M3969" s="136"/>
      <c r="N3969" s="136"/>
    </row>
    <row r="3970" spans="6:14">
      <c r="F3970" s="136" t="s">
        <v>16741</v>
      </c>
      <c r="G3970" s="136">
        <v>40870414844</v>
      </c>
      <c r="H3970" s="136" t="s">
        <v>6215</v>
      </c>
      <c r="I3970" s="136" t="s">
        <v>6215</v>
      </c>
      <c r="J3970" s="136" t="s">
        <v>16742</v>
      </c>
      <c r="L3970" s="136"/>
      <c r="M3970" s="136"/>
      <c r="N3970" s="136"/>
    </row>
    <row r="3971" spans="6:14">
      <c r="F3971" s="136" t="s">
        <v>16743</v>
      </c>
      <c r="G3971" s="136">
        <v>3968</v>
      </c>
      <c r="H3971" s="136" t="s">
        <v>4447</v>
      </c>
      <c r="I3971" s="136" t="s">
        <v>4448</v>
      </c>
      <c r="J3971" s="136" t="s">
        <v>16744</v>
      </c>
      <c r="L3971" s="136"/>
      <c r="M3971" s="136"/>
      <c r="N3971" s="136"/>
    </row>
    <row r="3972" spans="6:14">
      <c r="F3972" s="136" t="s">
        <v>16745</v>
      </c>
      <c r="G3972" s="136">
        <v>34297815826</v>
      </c>
      <c r="H3972" s="136" t="s">
        <v>4593</v>
      </c>
      <c r="I3972" s="136" t="s">
        <v>4593</v>
      </c>
      <c r="J3972" s="136" t="s">
        <v>16746</v>
      </c>
      <c r="L3972" s="136"/>
      <c r="M3972" s="136"/>
      <c r="N3972" s="136"/>
    </row>
    <row r="3973" spans="6:14">
      <c r="F3973" s="136" t="s">
        <v>16747</v>
      </c>
      <c r="G3973" s="136">
        <v>5305619726</v>
      </c>
      <c r="H3973" s="136" t="s">
        <v>4343</v>
      </c>
      <c r="I3973" s="136" t="s">
        <v>4343</v>
      </c>
      <c r="J3973" s="136" t="s">
        <v>16748</v>
      </c>
      <c r="L3973" s="136"/>
      <c r="M3973" s="136"/>
      <c r="N3973" s="136"/>
    </row>
    <row r="3974" spans="6:14">
      <c r="F3974" s="136" t="s">
        <v>16749</v>
      </c>
      <c r="G3974" s="136">
        <v>28836890830</v>
      </c>
      <c r="H3974" s="136" t="s">
        <v>2539</v>
      </c>
      <c r="I3974" s="136" t="s">
        <v>2540</v>
      </c>
      <c r="J3974" s="136" t="s">
        <v>16750</v>
      </c>
      <c r="L3974" s="136"/>
      <c r="M3974" s="136"/>
      <c r="N3974" s="136"/>
    </row>
    <row r="3975" spans="6:14">
      <c r="F3975" s="136" t="s">
        <v>16751</v>
      </c>
      <c r="G3975" s="136">
        <v>3972</v>
      </c>
      <c r="H3975" s="136" t="s">
        <v>3700</v>
      </c>
      <c r="I3975" s="136" t="s">
        <v>3701</v>
      </c>
      <c r="J3975" s="136" t="s">
        <v>16752</v>
      </c>
      <c r="L3975" s="136"/>
      <c r="M3975" s="136"/>
      <c r="N3975" s="136"/>
    </row>
    <row r="3976" spans="6:14">
      <c r="F3976" s="136" t="s">
        <v>16753</v>
      </c>
      <c r="G3976" s="136">
        <v>3973</v>
      </c>
      <c r="H3976" s="136" t="s">
        <v>16754</v>
      </c>
      <c r="I3976" s="136" t="s">
        <v>16755</v>
      </c>
      <c r="J3976" s="136" t="s">
        <v>16756</v>
      </c>
      <c r="L3976" s="136"/>
      <c r="M3976" s="136"/>
      <c r="N3976" s="136"/>
    </row>
    <row r="3977" spans="6:14">
      <c r="F3977" s="136" t="s">
        <v>16757</v>
      </c>
      <c r="G3977" s="136">
        <v>3974</v>
      </c>
      <c r="H3977" s="136" t="s">
        <v>3968</v>
      </c>
      <c r="I3977" s="136" t="s">
        <v>3969</v>
      </c>
      <c r="J3977" s="136" t="s">
        <v>16758</v>
      </c>
      <c r="L3977" s="136"/>
      <c r="M3977" s="136"/>
      <c r="N3977" s="136"/>
    </row>
    <row r="3978" spans="6:14">
      <c r="F3978" s="136" t="s">
        <v>16759</v>
      </c>
      <c r="G3978" s="136">
        <v>3975</v>
      </c>
      <c r="H3978" s="136" t="s">
        <v>2068</v>
      </c>
      <c r="I3978" s="136" t="s">
        <v>2069</v>
      </c>
      <c r="J3978" s="136" t="s">
        <v>16760</v>
      </c>
      <c r="L3978" s="136"/>
      <c r="M3978" s="136"/>
      <c r="N3978" s="136"/>
    </row>
    <row r="3979" spans="6:14">
      <c r="F3979" s="136" t="s">
        <v>16761</v>
      </c>
      <c r="G3979" s="136">
        <v>30617867836</v>
      </c>
      <c r="H3979" s="136" t="s">
        <v>1082</v>
      </c>
      <c r="I3979" s="136" t="s">
        <v>1083</v>
      </c>
      <c r="J3979" s="136" t="s">
        <v>16762</v>
      </c>
      <c r="L3979" s="136"/>
      <c r="M3979" s="136"/>
      <c r="N3979" s="136"/>
    </row>
    <row r="3980" spans="6:14">
      <c r="F3980" s="136" t="s">
        <v>16763</v>
      </c>
      <c r="G3980" s="136">
        <v>51045178888</v>
      </c>
      <c r="H3980" s="136" t="s">
        <v>308</v>
      </c>
      <c r="I3980" s="136" t="s">
        <v>309</v>
      </c>
      <c r="J3980" s="136" t="s">
        <v>16764</v>
      </c>
      <c r="L3980" s="136"/>
      <c r="M3980" s="136"/>
      <c r="N3980" s="136"/>
    </row>
    <row r="3981" spans="6:14">
      <c r="F3981" s="136" t="s">
        <v>16765</v>
      </c>
      <c r="G3981" s="136">
        <v>3978</v>
      </c>
      <c r="H3981" s="136" t="s">
        <v>16766</v>
      </c>
      <c r="I3981" s="136" t="s">
        <v>16767</v>
      </c>
      <c r="J3981" s="136" t="s">
        <v>16768</v>
      </c>
      <c r="L3981" s="136"/>
      <c r="M3981" s="136"/>
      <c r="N3981" s="136"/>
    </row>
    <row r="3982" spans="6:14">
      <c r="F3982" s="136" t="s">
        <v>16769</v>
      </c>
      <c r="G3982" s="136">
        <v>3979</v>
      </c>
      <c r="H3982" s="136" t="s">
        <v>5840</v>
      </c>
      <c r="I3982" s="136" t="s">
        <v>5841</v>
      </c>
      <c r="J3982" s="136" t="s">
        <v>16770</v>
      </c>
      <c r="L3982" s="136"/>
      <c r="M3982" s="136"/>
      <c r="N3982" s="136"/>
    </row>
    <row r="3983" spans="6:14">
      <c r="F3983" s="136" t="s">
        <v>16771</v>
      </c>
      <c r="G3983" s="136">
        <v>14599721808</v>
      </c>
      <c r="H3983" s="136" t="s">
        <v>2346</v>
      </c>
      <c r="I3983" s="136" t="s">
        <v>2346</v>
      </c>
      <c r="J3983" s="136" t="s">
        <v>16772</v>
      </c>
      <c r="L3983" s="136"/>
      <c r="M3983" s="136"/>
      <c r="N3983" s="136"/>
    </row>
    <row r="3984" spans="6:14">
      <c r="F3984" s="136" t="s">
        <v>16773</v>
      </c>
      <c r="G3984" s="136">
        <v>3981</v>
      </c>
      <c r="H3984" s="136" t="s">
        <v>2354</v>
      </c>
      <c r="I3984" s="136" t="s">
        <v>2355</v>
      </c>
      <c r="J3984" s="136" t="s">
        <v>16774</v>
      </c>
      <c r="L3984" s="136"/>
      <c r="M3984" s="136"/>
      <c r="N3984" s="136"/>
    </row>
    <row r="3985" spans="6:14">
      <c r="F3985" s="136" t="s">
        <v>16775</v>
      </c>
      <c r="G3985" s="136">
        <v>40615829848</v>
      </c>
      <c r="H3985" s="136" t="s">
        <v>3997</v>
      </c>
      <c r="I3985" s="136" t="s">
        <v>3997</v>
      </c>
      <c r="J3985" s="136" t="s">
        <v>16776</v>
      </c>
      <c r="L3985" s="136"/>
      <c r="M3985" s="136"/>
      <c r="N3985" s="136"/>
    </row>
    <row r="3986" spans="6:14">
      <c r="F3986" s="136" t="s">
        <v>16777</v>
      </c>
      <c r="G3986" s="136">
        <v>41925928861</v>
      </c>
      <c r="H3986" s="136" t="s">
        <v>900</v>
      </c>
      <c r="I3986" s="136" t="s">
        <v>900</v>
      </c>
      <c r="J3986" s="136" t="s">
        <v>16778</v>
      </c>
      <c r="L3986" s="136"/>
      <c r="M3986" s="136"/>
      <c r="N3986" s="136"/>
    </row>
    <row r="3987" spans="6:14">
      <c r="F3987" s="136" t="s">
        <v>16779</v>
      </c>
      <c r="G3987" s="136">
        <v>8905614</v>
      </c>
      <c r="H3987" s="136" t="s">
        <v>2537</v>
      </c>
      <c r="I3987" s="136" t="s">
        <v>2538</v>
      </c>
      <c r="J3987" s="136" t="s">
        <v>16780</v>
      </c>
      <c r="L3987" s="136"/>
      <c r="M3987" s="136"/>
      <c r="N3987" s="136"/>
    </row>
    <row r="3988" spans="6:14">
      <c r="F3988" s="136" t="s">
        <v>16781</v>
      </c>
      <c r="G3988" s="136">
        <v>44339428809</v>
      </c>
      <c r="H3988" s="136" t="s">
        <v>5793</v>
      </c>
      <c r="I3988" s="136" t="s">
        <v>5793</v>
      </c>
      <c r="J3988" s="136" t="s">
        <v>16782</v>
      </c>
      <c r="L3988" s="136"/>
      <c r="M3988" s="136"/>
      <c r="N3988" s="136"/>
    </row>
    <row r="3989" spans="6:14">
      <c r="F3989" s="136" t="s">
        <v>16783</v>
      </c>
      <c r="G3989" s="136">
        <v>3986</v>
      </c>
      <c r="H3989" s="136" t="s">
        <v>7129</v>
      </c>
      <c r="I3989" s="136" t="s">
        <v>7129</v>
      </c>
      <c r="J3989" s="136" t="s">
        <v>16784</v>
      </c>
      <c r="L3989" s="136"/>
      <c r="M3989" s="136"/>
      <c r="N3989" s="136"/>
    </row>
    <row r="3990" spans="6:14">
      <c r="F3990" s="136" t="s">
        <v>16785</v>
      </c>
      <c r="G3990" s="136">
        <v>3987</v>
      </c>
      <c r="H3990" s="136" t="s">
        <v>16786</v>
      </c>
      <c r="I3990" s="136" t="s">
        <v>16787</v>
      </c>
      <c r="J3990" s="136" t="s">
        <v>16788</v>
      </c>
      <c r="L3990" s="136"/>
      <c r="M3990" s="136"/>
      <c r="N3990" s="136"/>
    </row>
    <row r="3991" spans="6:14">
      <c r="F3991" s="136" t="s">
        <v>16789</v>
      </c>
      <c r="G3991" s="136">
        <v>3988</v>
      </c>
      <c r="H3991" s="136" t="s">
        <v>5921</v>
      </c>
      <c r="I3991" s="136" t="s">
        <v>5922</v>
      </c>
      <c r="J3991" s="136" t="s">
        <v>16790</v>
      </c>
      <c r="L3991" s="136"/>
      <c r="M3991" s="136"/>
      <c r="N3991" s="136"/>
    </row>
    <row r="3992" spans="6:14">
      <c r="F3992" s="136" t="s">
        <v>16791</v>
      </c>
      <c r="G3992" s="136">
        <v>29017019816</v>
      </c>
      <c r="H3992" s="136" t="s">
        <v>162</v>
      </c>
      <c r="I3992" s="136" t="s">
        <v>162</v>
      </c>
      <c r="J3992" s="136" t="s">
        <v>16792</v>
      </c>
      <c r="L3992" s="136"/>
      <c r="M3992" s="136"/>
      <c r="N3992" s="136"/>
    </row>
    <row r="3993" spans="6:14">
      <c r="F3993" s="136" t="s">
        <v>16793</v>
      </c>
      <c r="G3993" s="136">
        <v>3990</v>
      </c>
      <c r="H3993" s="136" t="s">
        <v>3428</v>
      </c>
      <c r="I3993" s="136" t="s">
        <v>3429</v>
      </c>
      <c r="J3993" s="136" t="s">
        <v>16794</v>
      </c>
      <c r="L3993" s="136"/>
      <c r="M3993" s="136"/>
      <c r="N3993" s="136"/>
    </row>
    <row r="3994" spans="6:14">
      <c r="F3994" s="136" t="s">
        <v>16795</v>
      </c>
      <c r="G3994" s="136">
        <v>3991</v>
      </c>
      <c r="H3994" s="136" t="s">
        <v>4555</v>
      </c>
      <c r="I3994" s="136" t="s">
        <v>4556</v>
      </c>
      <c r="J3994" s="136" t="s">
        <v>16796</v>
      </c>
      <c r="L3994" s="136"/>
      <c r="M3994" s="136"/>
      <c r="N3994" s="136"/>
    </row>
    <row r="3995" spans="6:14">
      <c r="F3995" s="136" t="s">
        <v>16797</v>
      </c>
      <c r="G3995" s="136">
        <v>3992</v>
      </c>
      <c r="H3995" s="136" t="s">
        <v>16798</v>
      </c>
      <c r="I3995" s="136" t="s">
        <v>16799</v>
      </c>
      <c r="J3995" s="136" t="s">
        <v>16800</v>
      </c>
      <c r="L3995" s="136"/>
      <c r="M3995" s="136"/>
      <c r="N3995" s="136"/>
    </row>
    <row r="3996" spans="6:14">
      <c r="F3996" s="136" t="s">
        <v>16801</v>
      </c>
      <c r="G3996" s="136">
        <v>3993</v>
      </c>
      <c r="H3996" s="136" t="s">
        <v>16802</v>
      </c>
      <c r="I3996" s="136" t="s">
        <v>16803</v>
      </c>
      <c r="J3996" s="136" t="s">
        <v>16804</v>
      </c>
      <c r="L3996" s="136"/>
      <c r="M3996" s="136"/>
      <c r="N3996" s="136"/>
    </row>
    <row r="3997" spans="6:14">
      <c r="F3997" s="136" t="s">
        <v>16805</v>
      </c>
      <c r="G3997" s="136">
        <v>3994</v>
      </c>
      <c r="H3997" s="136" t="s">
        <v>16806</v>
      </c>
      <c r="I3997" s="136" t="s">
        <v>16807</v>
      </c>
      <c r="J3997" s="136" t="s">
        <v>16808</v>
      </c>
      <c r="L3997" s="136"/>
      <c r="M3997" s="136"/>
      <c r="N3997" s="136"/>
    </row>
    <row r="3998" spans="6:14">
      <c r="F3998" s="136" t="s">
        <v>16809</v>
      </c>
      <c r="G3998" s="136">
        <v>3995</v>
      </c>
      <c r="H3998" s="136" t="s">
        <v>3763</v>
      </c>
      <c r="I3998" s="136" t="s">
        <v>3764</v>
      </c>
      <c r="J3998" s="136" t="s">
        <v>16810</v>
      </c>
      <c r="L3998" s="136"/>
      <c r="M3998" s="136"/>
      <c r="N3998" s="136"/>
    </row>
    <row r="3999" spans="6:14">
      <c r="F3999" s="136" t="s">
        <v>16811</v>
      </c>
      <c r="G3999" s="136">
        <v>3996</v>
      </c>
      <c r="H3999" s="136" t="s">
        <v>5765</v>
      </c>
      <c r="I3999" s="136" t="s">
        <v>5766</v>
      </c>
      <c r="J3999" s="136" t="s">
        <v>16812</v>
      </c>
      <c r="L3999" s="136"/>
      <c r="M3999" s="136"/>
      <c r="N3999" s="136"/>
    </row>
    <row r="4000" spans="6:14">
      <c r="F4000" s="136" t="s">
        <v>16813</v>
      </c>
      <c r="G4000" s="136">
        <v>3997</v>
      </c>
      <c r="H4000" s="136" t="s">
        <v>16814</v>
      </c>
      <c r="I4000" s="136" t="s">
        <v>16815</v>
      </c>
      <c r="J4000" s="136" t="s">
        <v>16816</v>
      </c>
      <c r="L4000" s="136"/>
      <c r="M4000" s="136"/>
      <c r="N4000" s="136"/>
    </row>
    <row r="4001" spans="6:14">
      <c r="F4001" s="136" t="s">
        <v>16817</v>
      </c>
      <c r="G4001" s="136">
        <v>3998</v>
      </c>
      <c r="H4001" s="136" t="s">
        <v>3792</v>
      </c>
      <c r="I4001" s="136" t="s">
        <v>3792</v>
      </c>
      <c r="J4001" s="136" t="s">
        <v>16818</v>
      </c>
      <c r="L4001" s="136"/>
      <c r="M4001" s="136"/>
      <c r="N4001" s="136"/>
    </row>
    <row r="4002" spans="6:14">
      <c r="F4002" s="136" t="s">
        <v>16819</v>
      </c>
      <c r="G4002" s="136">
        <v>3999</v>
      </c>
      <c r="H4002" s="136" t="s">
        <v>6108</v>
      </c>
      <c r="I4002" s="136" t="s">
        <v>6109</v>
      </c>
      <c r="J4002" s="136" t="s">
        <v>16820</v>
      </c>
      <c r="L4002" s="136"/>
      <c r="M4002" s="136"/>
      <c r="N4002" s="136"/>
    </row>
    <row r="4003" spans="6:14">
      <c r="F4003" s="136" t="s">
        <v>16821</v>
      </c>
      <c r="G4003" s="136">
        <v>4000</v>
      </c>
      <c r="H4003" s="136" t="s">
        <v>2254</v>
      </c>
      <c r="I4003" s="136" t="s">
        <v>2254</v>
      </c>
      <c r="J4003" s="136" t="s">
        <v>16822</v>
      </c>
      <c r="L4003" s="136"/>
      <c r="M4003" s="136"/>
      <c r="N4003" s="136"/>
    </row>
    <row r="4004" spans="6:14">
      <c r="F4004" s="136" t="s">
        <v>16823</v>
      </c>
      <c r="G4004" s="136">
        <v>4001</v>
      </c>
      <c r="H4004" s="136" t="s">
        <v>338</v>
      </c>
      <c r="I4004" s="136" t="s">
        <v>339</v>
      </c>
      <c r="J4004" s="136" t="s">
        <v>16824</v>
      </c>
      <c r="L4004" s="136"/>
      <c r="M4004" s="136"/>
      <c r="N4004" s="136"/>
    </row>
    <row r="4005" spans="6:14">
      <c r="F4005" s="136" t="s">
        <v>16825</v>
      </c>
      <c r="G4005" s="136">
        <v>4002</v>
      </c>
      <c r="H4005" s="136" t="s">
        <v>1091</v>
      </c>
      <c r="I4005" s="136" t="s">
        <v>1091</v>
      </c>
      <c r="J4005" s="136" t="s">
        <v>16826</v>
      </c>
      <c r="L4005" s="136"/>
      <c r="M4005" s="136"/>
      <c r="N4005" s="136"/>
    </row>
    <row r="4006" spans="6:14">
      <c r="F4006" s="136" t="s">
        <v>16827</v>
      </c>
      <c r="G4006" s="136">
        <v>4003</v>
      </c>
      <c r="H4006" s="136" t="s">
        <v>5723</v>
      </c>
      <c r="I4006" s="136" t="s">
        <v>5723</v>
      </c>
      <c r="J4006" s="136" t="s">
        <v>16828</v>
      </c>
      <c r="L4006" s="136"/>
      <c r="M4006" s="136"/>
      <c r="N4006" s="136"/>
    </row>
    <row r="4007" spans="6:14">
      <c r="F4007" s="136" t="s">
        <v>16829</v>
      </c>
      <c r="G4007" s="136">
        <v>4004</v>
      </c>
      <c r="H4007" s="136" t="s">
        <v>2233</v>
      </c>
      <c r="I4007" s="136" t="s">
        <v>2234</v>
      </c>
      <c r="J4007" s="136" t="s">
        <v>16830</v>
      </c>
      <c r="L4007" s="136"/>
      <c r="M4007" s="136"/>
      <c r="N4007" s="136"/>
    </row>
    <row r="4008" spans="6:14">
      <c r="F4008" s="136" t="s">
        <v>16831</v>
      </c>
      <c r="G4008" s="136">
        <v>4005</v>
      </c>
      <c r="H4008" s="136" t="s">
        <v>1246</v>
      </c>
      <c r="I4008" s="136" t="s">
        <v>1247</v>
      </c>
      <c r="J4008" s="136" t="s">
        <v>16832</v>
      </c>
      <c r="L4008" s="136"/>
      <c r="M4008" s="136"/>
      <c r="N4008" s="136"/>
    </row>
    <row r="4009" spans="6:14">
      <c r="F4009" s="136" t="s">
        <v>16833</v>
      </c>
      <c r="G4009" s="136">
        <v>4006</v>
      </c>
      <c r="H4009" s="136" t="s">
        <v>16834</v>
      </c>
      <c r="I4009" s="136" t="s">
        <v>16835</v>
      </c>
      <c r="J4009" s="136" t="s">
        <v>16836</v>
      </c>
      <c r="L4009" s="136"/>
      <c r="M4009" s="136"/>
      <c r="N4009" s="136"/>
    </row>
    <row r="4010" spans="6:14">
      <c r="F4010" s="136" t="s">
        <v>16837</v>
      </c>
      <c r="G4010" s="136">
        <v>4007</v>
      </c>
      <c r="H4010" s="136" t="s">
        <v>681</v>
      </c>
      <c r="I4010" s="136" t="s">
        <v>682</v>
      </c>
      <c r="J4010" s="136" t="s">
        <v>16838</v>
      </c>
      <c r="L4010" s="136"/>
      <c r="M4010" s="136"/>
      <c r="N4010" s="136"/>
    </row>
    <row r="4011" spans="6:14">
      <c r="F4011" s="136" t="s">
        <v>16839</v>
      </c>
      <c r="G4011" s="136">
        <v>4008</v>
      </c>
      <c r="H4011" s="136" t="s">
        <v>3054</v>
      </c>
      <c r="I4011" s="136" t="s">
        <v>3055</v>
      </c>
      <c r="J4011" s="136" t="s">
        <v>16840</v>
      </c>
      <c r="L4011" s="136"/>
      <c r="M4011" s="136"/>
      <c r="N4011" s="136"/>
    </row>
    <row r="4012" spans="6:14">
      <c r="F4012" s="136" t="s">
        <v>16841</v>
      </c>
      <c r="G4012" s="136">
        <v>4009</v>
      </c>
      <c r="H4012" s="136" t="s">
        <v>3319</v>
      </c>
      <c r="I4012" s="136" t="s">
        <v>3320</v>
      </c>
      <c r="J4012" s="136" t="s">
        <v>16842</v>
      </c>
      <c r="L4012" s="136"/>
      <c r="M4012" s="136"/>
      <c r="N4012" s="136"/>
    </row>
    <row r="4013" spans="6:14">
      <c r="F4013" s="136" t="s">
        <v>16843</v>
      </c>
      <c r="G4013" s="136"/>
      <c r="H4013" s="136" t="s">
        <v>5532</v>
      </c>
      <c r="I4013" s="136" t="s">
        <v>5533</v>
      </c>
      <c r="J4013" s="136" t="s">
        <v>16844</v>
      </c>
      <c r="L4013" s="136"/>
      <c r="M4013" s="136"/>
      <c r="N4013" s="136"/>
    </row>
    <row r="4014" spans="6:14">
      <c r="F4014" s="136" t="s">
        <v>16845</v>
      </c>
      <c r="G4014" s="136">
        <v>4011</v>
      </c>
      <c r="H4014" s="136" t="s">
        <v>4530</v>
      </c>
      <c r="I4014" s="136" t="s">
        <v>4530</v>
      </c>
      <c r="J4014" s="136" t="s">
        <v>16846</v>
      </c>
      <c r="L4014" s="136"/>
      <c r="M4014" s="136"/>
      <c r="N4014" s="136"/>
    </row>
    <row r="4015" spans="6:14">
      <c r="F4015" s="136" t="s">
        <v>16847</v>
      </c>
      <c r="G4015" s="136">
        <v>70771278853</v>
      </c>
      <c r="H4015" s="136" t="s">
        <v>4339</v>
      </c>
      <c r="I4015" s="136" t="s">
        <v>4339</v>
      </c>
      <c r="J4015" s="136" t="s">
        <v>16848</v>
      </c>
      <c r="L4015" s="136"/>
      <c r="M4015" s="136"/>
      <c r="N4015" s="136"/>
    </row>
    <row r="4016" spans="6:14">
      <c r="F4016" s="136" t="s">
        <v>16849</v>
      </c>
      <c r="G4016" s="136">
        <v>4013</v>
      </c>
      <c r="H4016" s="136" t="s">
        <v>5834</v>
      </c>
      <c r="I4016" s="136" t="s">
        <v>5835</v>
      </c>
      <c r="J4016" s="136" t="s">
        <v>16850</v>
      </c>
      <c r="L4016" s="136"/>
      <c r="M4016" s="136"/>
      <c r="N4016" s="136"/>
    </row>
    <row r="4017" spans="6:14">
      <c r="F4017" s="136" t="s">
        <v>16851</v>
      </c>
      <c r="G4017" s="136">
        <v>4014</v>
      </c>
      <c r="H4017" s="136" t="s">
        <v>1671</v>
      </c>
      <c r="I4017" s="136" t="s">
        <v>1672</v>
      </c>
      <c r="J4017" s="136" t="s">
        <v>16852</v>
      </c>
      <c r="L4017" s="136"/>
      <c r="M4017" s="136"/>
      <c r="N4017" s="136"/>
    </row>
    <row r="4018" spans="6:14">
      <c r="F4018" s="136" t="s">
        <v>16853</v>
      </c>
      <c r="G4018" s="136">
        <v>4015</v>
      </c>
      <c r="H4018" s="136" t="s">
        <v>5596</v>
      </c>
      <c r="I4018" s="136" t="s">
        <v>5597</v>
      </c>
      <c r="J4018" s="136" t="s">
        <v>16854</v>
      </c>
      <c r="L4018" s="136"/>
      <c r="M4018" s="136"/>
      <c r="N4018" s="136"/>
    </row>
    <row r="4019" spans="6:14">
      <c r="F4019" s="136" t="s">
        <v>16855</v>
      </c>
      <c r="G4019" s="136">
        <v>4016</v>
      </c>
      <c r="H4019" s="136" t="s">
        <v>3114</v>
      </c>
      <c r="I4019" s="136" t="s">
        <v>3115</v>
      </c>
      <c r="J4019" s="136" t="s">
        <v>16856</v>
      </c>
      <c r="L4019" s="136"/>
      <c r="M4019" s="136"/>
      <c r="N4019" s="136"/>
    </row>
    <row r="4020" spans="6:14">
      <c r="F4020" s="136" t="s">
        <v>16857</v>
      </c>
      <c r="G4020" s="136">
        <v>4017</v>
      </c>
      <c r="H4020" s="136" t="s">
        <v>2005</v>
      </c>
      <c r="I4020" s="136" t="s">
        <v>2002</v>
      </c>
      <c r="J4020" s="136" t="s">
        <v>16858</v>
      </c>
      <c r="L4020" s="136"/>
      <c r="M4020" s="136"/>
      <c r="N4020" s="136"/>
    </row>
    <row r="4021" spans="6:14">
      <c r="F4021" s="136" t="s">
        <v>16859</v>
      </c>
      <c r="G4021" s="136">
        <v>4018</v>
      </c>
      <c r="H4021" s="136" t="s">
        <v>16860</v>
      </c>
      <c r="I4021" s="136" t="s">
        <v>16861</v>
      </c>
      <c r="J4021" s="136" t="s">
        <v>16862</v>
      </c>
      <c r="L4021" s="136"/>
      <c r="M4021" s="136"/>
      <c r="N4021" s="136"/>
    </row>
    <row r="4022" spans="6:14">
      <c r="F4022" s="136" t="s">
        <v>16863</v>
      </c>
      <c r="G4022" s="136">
        <v>4019</v>
      </c>
      <c r="H4022" s="136" t="s">
        <v>16864</v>
      </c>
      <c r="I4022" s="136" t="s">
        <v>16865</v>
      </c>
      <c r="J4022" s="136" t="s">
        <v>16866</v>
      </c>
      <c r="L4022" s="136"/>
      <c r="M4022" s="136"/>
      <c r="N4022" s="136"/>
    </row>
    <row r="4023" spans="6:14">
      <c r="F4023" s="136" t="s">
        <v>16867</v>
      </c>
      <c r="G4023" s="136">
        <v>4020</v>
      </c>
      <c r="H4023" s="136" t="s">
        <v>3881</v>
      </c>
      <c r="I4023" s="136" t="s">
        <v>3882</v>
      </c>
      <c r="J4023" s="136" t="s">
        <v>16868</v>
      </c>
      <c r="L4023" s="136"/>
      <c r="M4023" s="136"/>
      <c r="N4023" s="136"/>
    </row>
    <row r="4024" spans="6:14">
      <c r="F4024" s="136" t="s">
        <v>16869</v>
      </c>
      <c r="G4024" s="136">
        <v>2018326589</v>
      </c>
      <c r="H4024" s="136" t="s">
        <v>6099</v>
      </c>
      <c r="I4024" s="136" t="s">
        <v>6099</v>
      </c>
      <c r="J4024" s="136" t="s">
        <v>16870</v>
      </c>
      <c r="L4024" s="136"/>
      <c r="M4024" s="136"/>
      <c r="N4024" s="136"/>
    </row>
    <row r="4025" spans="6:14">
      <c r="F4025" s="136" t="s">
        <v>16871</v>
      </c>
      <c r="G4025" s="136">
        <v>2087653011</v>
      </c>
      <c r="H4025" s="136" t="s">
        <v>5302</v>
      </c>
      <c r="I4025" s="136" t="s">
        <v>5302</v>
      </c>
      <c r="J4025" s="136" t="s">
        <v>16872</v>
      </c>
      <c r="L4025" s="136"/>
      <c r="M4025" s="136"/>
      <c r="N4025" s="136"/>
    </row>
    <row r="4026" spans="6:14">
      <c r="F4026" s="136" t="s">
        <v>16873</v>
      </c>
      <c r="G4026" s="136">
        <v>4023</v>
      </c>
      <c r="H4026" s="136" t="s">
        <v>754</v>
      </c>
      <c r="I4026" s="136" t="s">
        <v>755</v>
      </c>
      <c r="J4026" s="136" t="s">
        <v>16874</v>
      </c>
      <c r="L4026" s="136"/>
      <c r="M4026" s="136"/>
      <c r="N4026" s="136"/>
    </row>
    <row r="4027" spans="6:14">
      <c r="F4027" s="136" t="s">
        <v>16875</v>
      </c>
      <c r="G4027" s="136">
        <v>4024</v>
      </c>
      <c r="H4027" s="136" t="s">
        <v>3963</v>
      </c>
      <c r="I4027" s="136" t="s">
        <v>3964</v>
      </c>
      <c r="J4027" s="136" t="s">
        <v>16876</v>
      </c>
      <c r="L4027" s="136"/>
      <c r="M4027" s="136"/>
      <c r="N4027" s="136"/>
    </row>
    <row r="4028" spans="6:14">
      <c r="F4028" s="136" t="s">
        <v>16877</v>
      </c>
      <c r="G4028" s="136">
        <v>4025</v>
      </c>
      <c r="H4028" s="136" t="s">
        <v>2287</v>
      </c>
      <c r="I4028" s="136" t="s">
        <v>2288</v>
      </c>
      <c r="J4028" s="136" t="s">
        <v>16878</v>
      </c>
      <c r="L4028" s="136"/>
      <c r="M4028" s="136"/>
      <c r="N4028" s="136"/>
    </row>
    <row r="4029" spans="6:14">
      <c r="F4029" s="136" t="s">
        <v>16879</v>
      </c>
      <c r="G4029" s="136">
        <v>4026</v>
      </c>
      <c r="H4029" s="136" t="s">
        <v>3120</v>
      </c>
      <c r="I4029" s="136" t="s">
        <v>3120</v>
      </c>
      <c r="J4029" s="136" t="s">
        <v>16880</v>
      </c>
      <c r="L4029" s="136"/>
      <c r="M4029" s="136"/>
      <c r="N4029" s="136"/>
    </row>
    <row r="4030" spans="6:14">
      <c r="F4030" s="136" t="s">
        <v>16881</v>
      </c>
      <c r="G4030" s="136">
        <v>3065893622</v>
      </c>
      <c r="H4030" s="136" t="s">
        <v>1217</v>
      </c>
      <c r="I4030" s="136" t="s">
        <v>1217</v>
      </c>
      <c r="J4030" s="136" t="s">
        <v>16882</v>
      </c>
      <c r="L4030" s="136"/>
      <c r="M4030" s="136"/>
      <c r="N4030" s="136"/>
    </row>
    <row r="4031" spans="6:14">
      <c r="F4031" s="136" t="s">
        <v>16883</v>
      </c>
      <c r="G4031" s="136">
        <v>4028</v>
      </c>
      <c r="H4031" s="136" t="s">
        <v>16884</v>
      </c>
      <c r="I4031" s="136" t="s">
        <v>16885</v>
      </c>
      <c r="J4031" s="136" t="s">
        <v>16886</v>
      </c>
      <c r="L4031" s="136"/>
      <c r="M4031" s="136"/>
      <c r="N4031" s="136"/>
    </row>
    <row r="4032" spans="6:14">
      <c r="F4032" s="136" t="s">
        <v>16887</v>
      </c>
      <c r="G4032" s="136">
        <v>4029</v>
      </c>
      <c r="H4032" s="136" t="s">
        <v>3077</v>
      </c>
      <c r="I4032" s="136" t="s">
        <v>3078</v>
      </c>
      <c r="J4032" s="136" t="s">
        <v>16888</v>
      </c>
      <c r="L4032" s="136"/>
      <c r="M4032" s="136"/>
      <c r="N4032" s="136"/>
    </row>
    <row r="4033" spans="6:14">
      <c r="F4033" s="136" t="s">
        <v>16889</v>
      </c>
      <c r="G4033" s="136">
        <v>4030</v>
      </c>
      <c r="H4033" s="136" t="s">
        <v>5304</v>
      </c>
      <c r="I4033" s="136" t="s">
        <v>5304</v>
      </c>
      <c r="J4033" s="136" t="s">
        <v>16890</v>
      </c>
      <c r="L4033" s="136"/>
      <c r="M4033" s="136"/>
      <c r="N4033" s="136"/>
    </row>
    <row r="4034" spans="6:14">
      <c r="F4034" s="136" t="s">
        <v>16891</v>
      </c>
      <c r="G4034" s="136">
        <v>4031</v>
      </c>
      <c r="H4034" s="136" t="s">
        <v>3695</v>
      </c>
      <c r="I4034" s="136" t="s">
        <v>3696</v>
      </c>
      <c r="J4034" s="136" t="s">
        <v>16892</v>
      </c>
      <c r="L4034" s="136"/>
      <c r="M4034" s="136"/>
      <c r="N4034" s="136"/>
    </row>
    <row r="4035" spans="6:14">
      <c r="F4035" s="136" t="s">
        <v>16893</v>
      </c>
      <c r="G4035" s="136">
        <v>4032</v>
      </c>
      <c r="H4035" s="136" t="s">
        <v>16894</v>
      </c>
      <c r="I4035" s="136" t="s">
        <v>16895</v>
      </c>
      <c r="J4035" s="136" t="s">
        <v>16896</v>
      </c>
      <c r="L4035" s="136"/>
      <c r="M4035" s="136"/>
      <c r="N4035" s="136"/>
    </row>
    <row r="4036" spans="6:14">
      <c r="F4036" s="136" t="s">
        <v>16897</v>
      </c>
      <c r="G4036" s="136">
        <v>4033</v>
      </c>
      <c r="H4036" s="136" t="s">
        <v>5749</v>
      </c>
      <c r="I4036" s="136" t="s">
        <v>5750</v>
      </c>
      <c r="J4036" s="136" t="s">
        <v>16898</v>
      </c>
      <c r="L4036" s="136"/>
      <c r="M4036" s="136"/>
      <c r="N4036" s="136"/>
    </row>
    <row r="4037" spans="6:14">
      <c r="F4037" s="136" t="s">
        <v>16899</v>
      </c>
      <c r="G4037" s="136">
        <v>4034</v>
      </c>
      <c r="H4037" s="136" t="s">
        <v>16900</v>
      </c>
      <c r="I4037" s="136" t="s">
        <v>16901</v>
      </c>
      <c r="J4037" s="136" t="s">
        <v>16902</v>
      </c>
      <c r="L4037" s="136"/>
      <c r="M4037" s="136"/>
      <c r="N4037" s="136"/>
    </row>
    <row r="4038" spans="6:14">
      <c r="F4038" s="136" t="s">
        <v>16903</v>
      </c>
      <c r="G4038" s="136">
        <v>5648435630</v>
      </c>
      <c r="H4038" s="136" t="s">
        <v>1954</v>
      </c>
      <c r="I4038" s="136" t="s">
        <v>1955</v>
      </c>
      <c r="J4038" s="136" t="s">
        <v>16904</v>
      </c>
      <c r="L4038" s="136"/>
      <c r="M4038" s="136"/>
      <c r="N4038" s="136"/>
    </row>
    <row r="4039" spans="6:14">
      <c r="F4039" s="136" t="s">
        <v>16905</v>
      </c>
      <c r="G4039" s="136">
        <v>47893168668</v>
      </c>
      <c r="H4039" s="136" t="s">
        <v>319</v>
      </c>
      <c r="I4039" s="136" t="s">
        <v>319</v>
      </c>
      <c r="J4039" s="136" t="s">
        <v>16906</v>
      </c>
      <c r="L4039" s="136"/>
      <c r="M4039" s="136"/>
      <c r="N4039" s="136"/>
    </row>
    <row r="4040" spans="6:14">
      <c r="F4040" s="136" t="s">
        <v>16907</v>
      </c>
      <c r="G4040" s="136">
        <v>13243518709</v>
      </c>
      <c r="H4040" s="136" t="s">
        <v>996</v>
      </c>
      <c r="I4040" s="136" t="s">
        <v>996</v>
      </c>
      <c r="J4040" s="136" t="s">
        <v>16908</v>
      </c>
      <c r="L4040" s="136"/>
      <c r="M4040" s="136"/>
      <c r="N4040" s="136"/>
    </row>
    <row r="4041" spans="6:14">
      <c r="F4041" s="136" t="s">
        <v>16909</v>
      </c>
      <c r="G4041" s="136">
        <v>4038</v>
      </c>
      <c r="H4041" s="136" t="s">
        <v>1027</v>
      </c>
      <c r="I4041" s="136" t="s">
        <v>1028</v>
      </c>
      <c r="J4041" s="136" t="s">
        <v>16910</v>
      </c>
      <c r="L4041" s="136"/>
      <c r="M4041" s="136"/>
      <c r="N4041" s="136"/>
    </row>
    <row r="4042" spans="6:14">
      <c r="F4042" s="136" t="s">
        <v>16911</v>
      </c>
      <c r="G4042" s="136">
        <v>4039</v>
      </c>
      <c r="H4042" s="136" t="s">
        <v>3982</v>
      </c>
      <c r="I4042" s="136" t="s">
        <v>3983</v>
      </c>
      <c r="J4042" s="136" t="s">
        <v>16912</v>
      </c>
      <c r="L4042" s="136"/>
      <c r="M4042" s="136"/>
      <c r="N4042" s="136"/>
    </row>
    <row r="4043" spans="6:14">
      <c r="F4043" s="136" t="s">
        <v>16913</v>
      </c>
      <c r="G4043" s="136">
        <v>32793424811</v>
      </c>
      <c r="H4043" s="136" t="s">
        <v>455</v>
      </c>
      <c r="I4043" s="136" t="s">
        <v>455</v>
      </c>
      <c r="J4043" s="136" t="s">
        <v>16914</v>
      </c>
      <c r="L4043" s="136"/>
      <c r="M4043" s="136"/>
      <c r="N4043" s="136"/>
    </row>
    <row r="4044" spans="6:14">
      <c r="F4044" s="136" t="s">
        <v>16915</v>
      </c>
      <c r="G4044" s="136">
        <v>4041</v>
      </c>
      <c r="H4044" s="136" t="s">
        <v>3556</v>
      </c>
      <c r="I4044" s="136" t="s">
        <v>3556</v>
      </c>
      <c r="J4044" s="136" t="s">
        <v>16916</v>
      </c>
      <c r="L4044" s="136"/>
      <c r="M4044" s="136"/>
      <c r="N4044" s="136"/>
    </row>
    <row r="4045" spans="6:14">
      <c r="F4045" s="136" t="s">
        <v>16917</v>
      </c>
      <c r="G4045" s="136">
        <v>4042</v>
      </c>
      <c r="H4045" s="136" t="s">
        <v>16918</v>
      </c>
      <c r="I4045" s="136" t="s">
        <v>16919</v>
      </c>
      <c r="J4045" s="136" t="s">
        <v>16920</v>
      </c>
      <c r="L4045" s="136"/>
      <c r="M4045" s="136"/>
      <c r="N4045" s="136"/>
    </row>
    <row r="4046" spans="6:14">
      <c r="F4046" s="136" t="s">
        <v>16921</v>
      </c>
      <c r="G4046" s="136">
        <v>4043</v>
      </c>
      <c r="H4046" s="136" t="s">
        <v>4842</v>
      </c>
      <c r="I4046" s="136" t="s">
        <v>4843</v>
      </c>
      <c r="J4046" s="136" t="s">
        <v>16922</v>
      </c>
      <c r="L4046" s="136"/>
      <c r="M4046" s="136"/>
      <c r="N4046" s="136"/>
    </row>
    <row r="4047" spans="6:14">
      <c r="F4047" s="136" t="s">
        <v>16923</v>
      </c>
      <c r="G4047" s="136">
        <v>4044</v>
      </c>
      <c r="H4047" s="136" t="s">
        <v>4684</v>
      </c>
      <c r="I4047" s="136" t="s">
        <v>4685</v>
      </c>
      <c r="J4047" s="136" t="s">
        <v>16924</v>
      </c>
      <c r="L4047" s="136"/>
      <c r="M4047" s="136"/>
      <c r="N4047" s="136"/>
    </row>
    <row r="4048" spans="6:14">
      <c r="F4048" s="136" t="s">
        <v>16925</v>
      </c>
      <c r="G4048" s="136">
        <v>4045</v>
      </c>
      <c r="H4048" s="136" t="s">
        <v>3189</v>
      </c>
      <c r="I4048" s="136" t="s">
        <v>3190</v>
      </c>
      <c r="J4048" s="136" t="s">
        <v>16926</v>
      </c>
      <c r="L4048" s="136"/>
      <c r="M4048" s="136"/>
      <c r="N4048" s="136"/>
    </row>
    <row r="4049" spans="6:14">
      <c r="F4049" s="136" t="s">
        <v>16927</v>
      </c>
      <c r="G4049" s="136">
        <v>83373365449</v>
      </c>
      <c r="H4049" s="136" t="s">
        <v>4028</v>
      </c>
      <c r="I4049" s="136" t="s">
        <v>4028</v>
      </c>
      <c r="J4049" s="136" t="s">
        <v>16928</v>
      </c>
      <c r="L4049" s="136"/>
      <c r="M4049" s="136"/>
      <c r="N4049" s="136"/>
    </row>
    <row r="4050" spans="6:14">
      <c r="F4050" s="136" t="s">
        <v>16929</v>
      </c>
      <c r="G4050" s="136">
        <v>1044868058</v>
      </c>
      <c r="H4050" s="136" t="s">
        <v>4598</v>
      </c>
      <c r="I4050" s="136" t="s">
        <v>4599</v>
      </c>
      <c r="J4050" s="136" t="s">
        <v>16930</v>
      </c>
      <c r="L4050" s="136"/>
      <c r="M4050" s="136"/>
      <c r="N4050" s="136"/>
    </row>
    <row r="4051" spans="6:14">
      <c r="F4051" s="136" t="s">
        <v>16931</v>
      </c>
      <c r="G4051" s="136">
        <v>9944217611</v>
      </c>
      <c r="H4051" s="136" t="s">
        <v>2252</v>
      </c>
      <c r="I4051" s="136" t="s">
        <v>2253</v>
      </c>
      <c r="J4051" s="136" t="s">
        <v>16932</v>
      </c>
      <c r="L4051" s="136"/>
      <c r="M4051" s="136"/>
      <c r="N4051" s="136"/>
    </row>
    <row r="4052" spans="6:14">
      <c r="F4052" s="136" t="s">
        <v>16933</v>
      </c>
      <c r="G4052" s="136">
        <v>4049</v>
      </c>
      <c r="H4052" s="136" t="s">
        <v>16934</v>
      </c>
      <c r="I4052" s="136" t="s">
        <v>16934</v>
      </c>
      <c r="J4052" s="136" t="s">
        <v>16935</v>
      </c>
      <c r="L4052" s="136"/>
      <c r="M4052" s="136"/>
      <c r="N4052" s="136"/>
    </row>
    <row r="4053" spans="6:14">
      <c r="F4053" s="136" t="s">
        <v>16936</v>
      </c>
      <c r="G4053" s="136">
        <v>7635470850</v>
      </c>
      <c r="H4053" s="136" t="s">
        <v>2027</v>
      </c>
      <c r="I4053" s="136" t="s">
        <v>2027</v>
      </c>
      <c r="J4053" s="136" t="s">
        <v>16937</v>
      </c>
      <c r="L4053" s="136"/>
      <c r="M4053" s="136"/>
      <c r="N4053" s="136"/>
    </row>
    <row r="4054" spans="6:14">
      <c r="F4054" s="136" t="s">
        <v>16938</v>
      </c>
      <c r="G4054" s="136">
        <v>27659193805</v>
      </c>
      <c r="H4054" s="136" t="s">
        <v>2002</v>
      </c>
      <c r="I4054" s="136" t="s">
        <v>2002</v>
      </c>
      <c r="J4054" s="136" t="s">
        <v>16939</v>
      </c>
      <c r="L4054" s="136"/>
      <c r="M4054" s="136"/>
      <c r="N4054" s="136"/>
    </row>
    <row r="4055" spans="6:14">
      <c r="F4055" s="136" t="s">
        <v>16940</v>
      </c>
      <c r="G4055" s="136">
        <v>4052</v>
      </c>
      <c r="H4055" s="136" t="s">
        <v>16941</v>
      </c>
      <c r="I4055" s="136" t="s">
        <v>16941</v>
      </c>
      <c r="J4055" s="136" t="s">
        <v>16942</v>
      </c>
      <c r="L4055" s="136"/>
      <c r="M4055" s="136"/>
      <c r="N4055" s="136"/>
    </row>
    <row r="4056" spans="6:14">
      <c r="F4056" s="136" t="s">
        <v>16943</v>
      </c>
      <c r="G4056" s="136">
        <v>4053</v>
      </c>
      <c r="H4056" s="136" t="s">
        <v>16944</v>
      </c>
      <c r="I4056" s="136" t="s">
        <v>16945</v>
      </c>
      <c r="J4056" s="136" t="s">
        <v>16946</v>
      </c>
      <c r="L4056" s="136"/>
      <c r="M4056" s="136"/>
      <c r="N4056" s="136"/>
    </row>
    <row r="4057" spans="6:14">
      <c r="F4057" s="136" t="s">
        <v>16947</v>
      </c>
      <c r="G4057" s="136">
        <v>4054</v>
      </c>
      <c r="H4057" s="136" t="s">
        <v>16948</v>
      </c>
      <c r="I4057" s="136" t="s">
        <v>16949</v>
      </c>
      <c r="J4057" s="136" t="s">
        <v>16950</v>
      </c>
      <c r="L4057" s="136"/>
      <c r="M4057" s="136"/>
      <c r="N4057" s="136"/>
    </row>
    <row r="4058" spans="6:14">
      <c r="F4058" s="136" t="s">
        <v>16951</v>
      </c>
      <c r="G4058" s="136">
        <v>6356147822</v>
      </c>
      <c r="H4058" s="136" t="s">
        <v>4260</v>
      </c>
      <c r="I4058" s="136" t="s">
        <v>4260</v>
      </c>
      <c r="J4058" s="136" t="s">
        <v>16952</v>
      </c>
      <c r="L4058" s="136"/>
      <c r="M4058" s="136"/>
      <c r="N4058" s="136"/>
    </row>
    <row r="4059" spans="6:14">
      <c r="F4059" s="136" t="s">
        <v>16953</v>
      </c>
      <c r="G4059" s="136">
        <v>4056</v>
      </c>
      <c r="H4059" s="136" t="s">
        <v>16954</v>
      </c>
      <c r="I4059" s="136" t="s">
        <v>16955</v>
      </c>
      <c r="J4059" s="136" t="s">
        <v>16956</v>
      </c>
      <c r="L4059" s="136"/>
      <c r="M4059" s="136"/>
      <c r="N4059" s="136"/>
    </row>
    <row r="4060" spans="6:14">
      <c r="F4060" s="136" t="s">
        <v>16957</v>
      </c>
      <c r="G4060" s="136">
        <v>4057</v>
      </c>
      <c r="H4060" s="136" t="s">
        <v>5624</v>
      </c>
      <c r="I4060" s="136" t="s">
        <v>5625</v>
      </c>
      <c r="J4060" s="136" t="s">
        <v>16958</v>
      </c>
      <c r="L4060" s="136"/>
      <c r="M4060" s="136"/>
      <c r="N4060" s="136"/>
    </row>
    <row r="4061" spans="6:14">
      <c r="F4061" s="136" t="s">
        <v>16959</v>
      </c>
      <c r="G4061" s="136">
        <v>4058</v>
      </c>
      <c r="H4061" s="136" t="s">
        <v>16960</v>
      </c>
      <c r="I4061" s="136" t="s">
        <v>16961</v>
      </c>
      <c r="J4061" s="136" t="s">
        <v>16962</v>
      </c>
      <c r="L4061" s="136"/>
      <c r="M4061" s="136"/>
      <c r="N4061" s="136"/>
    </row>
    <row r="4062" spans="6:14">
      <c r="F4062" s="136" t="s">
        <v>16963</v>
      </c>
      <c r="G4062" s="136">
        <v>4059</v>
      </c>
      <c r="H4062" s="136" t="s">
        <v>16964</v>
      </c>
      <c r="I4062" s="136" t="s">
        <v>16965</v>
      </c>
      <c r="J4062" s="136" t="s">
        <v>16966</v>
      </c>
      <c r="L4062" s="136"/>
      <c r="M4062" s="136"/>
      <c r="N4062" s="136"/>
    </row>
    <row r="4063" spans="6:14">
      <c r="F4063" s="136" t="s">
        <v>16967</v>
      </c>
      <c r="G4063" s="136">
        <v>4060</v>
      </c>
      <c r="H4063" s="136" t="s">
        <v>869</v>
      </c>
      <c r="I4063" s="136" t="s">
        <v>870</v>
      </c>
      <c r="J4063" s="136" t="s">
        <v>16968</v>
      </c>
      <c r="L4063" s="136"/>
      <c r="M4063" s="136"/>
      <c r="N4063" s="136"/>
    </row>
    <row r="4064" spans="6:14">
      <c r="F4064" s="136" t="s">
        <v>16969</v>
      </c>
      <c r="G4064" s="136">
        <v>4061</v>
      </c>
      <c r="H4064" s="136" t="s">
        <v>1494</v>
      </c>
      <c r="I4064" s="136" t="s">
        <v>1495</v>
      </c>
      <c r="J4064" s="136" t="s">
        <v>16970</v>
      </c>
      <c r="L4064" s="136"/>
      <c r="M4064" s="136"/>
      <c r="N4064" s="136"/>
    </row>
    <row r="4065" spans="6:14">
      <c r="F4065" s="136" t="s">
        <v>16971</v>
      </c>
      <c r="G4065" s="136">
        <v>1463881002</v>
      </c>
      <c r="H4065" s="136" t="s">
        <v>2937</v>
      </c>
      <c r="I4065" s="136" t="s">
        <v>2938</v>
      </c>
      <c r="J4065" s="136" t="s">
        <v>16972</v>
      </c>
      <c r="L4065" s="136"/>
      <c r="M4065" s="136"/>
      <c r="N4065" s="136"/>
    </row>
    <row r="4066" spans="6:14">
      <c r="F4066" s="136" t="s">
        <v>16973</v>
      </c>
      <c r="G4066" s="136">
        <v>9712339777</v>
      </c>
      <c r="H4066" s="136" t="s">
        <v>194</v>
      </c>
      <c r="I4066" s="136" t="s">
        <v>194</v>
      </c>
      <c r="J4066" s="136" t="s">
        <v>16974</v>
      </c>
      <c r="L4066" s="136"/>
      <c r="M4066" s="136"/>
      <c r="N4066" s="136"/>
    </row>
    <row r="4067" spans="6:14">
      <c r="F4067" s="136" t="s">
        <v>16975</v>
      </c>
      <c r="G4067" s="136">
        <v>4064</v>
      </c>
      <c r="H4067" s="136" t="s">
        <v>990</v>
      </c>
      <c r="I4067" s="136" t="s">
        <v>991</v>
      </c>
      <c r="J4067" s="136" t="s">
        <v>16976</v>
      </c>
      <c r="L4067" s="136"/>
      <c r="M4067" s="136"/>
      <c r="N4067" s="136"/>
    </row>
    <row r="4068" spans="6:14">
      <c r="F4068" s="136" t="s">
        <v>16977</v>
      </c>
      <c r="G4068" s="136">
        <v>46773915805</v>
      </c>
      <c r="H4068" s="136" t="s">
        <v>858</v>
      </c>
      <c r="I4068" s="136" t="s">
        <v>858</v>
      </c>
      <c r="J4068" s="136" t="s">
        <v>16978</v>
      </c>
      <c r="L4068" s="136"/>
      <c r="M4068" s="136"/>
      <c r="N4068" s="136"/>
    </row>
    <row r="4069" spans="6:14">
      <c r="F4069" s="136" t="s">
        <v>16979</v>
      </c>
      <c r="G4069" s="136">
        <v>13397224888</v>
      </c>
      <c r="H4069" s="136" t="s">
        <v>1231</v>
      </c>
      <c r="I4069" s="136" t="s">
        <v>1231</v>
      </c>
      <c r="J4069" s="136" t="s">
        <v>16980</v>
      </c>
      <c r="L4069" s="136"/>
      <c r="M4069" s="136"/>
      <c r="N4069" s="136"/>
    </row>
    <row r="4070" spans="6:14">
      <c r="F4070" s="136" t="s">
        <v>16981</v>
      </c>
      <c r="G4070" s="136">
        <v>4067</v>
      </c>
      <c r="H4070" s="136" t="s">
        <v>5509</v>
      </c>
      <c r="I4070" s="136" t="s">
        <v>5510</v>
      </c>
      <c r="J4070" s="136" t="s">
        <v>16982</v>
      </c>
      <c r="L4070" s="136"/>
      <c r="M4070" s="136"/>
      <c r="N4070" s="136"/>
    </row>
    <row r="4071" spans="6:14">
      <c r="F4071" s="136" t="s">
        <v>16983</v>
      </c>
      <c r="G4071" s="136">
        <v>2880770165</v>
      </c>
      <c r="H4071" s="136" t="s">
        <v>1526</v>
      </c>
      <c r="I4071" s="136" t="s">
        <v>1527</v>
      </c>
      <c r="J4071" s="136" t="s">
        <v>16984</v>
      </c>
      <c r="L4071" s="136"/>
      <c r="M4071" s="136"/>
      <c r="N4071" s="136"/>
    </row>
    <row r="4072" spans="6:14">
      <c r="F4072" s="136" t="s">
        <v>16985</v>
      </c>
      <c r="G4072" s="136">
        <v>1209506696</v>
      </c>
      <c r="H4072" s="136" t="s">
        <v>366</v>
      </c>
      <c r="I4072" s="136" t="s">
        <v>367</v>
      </c>
      <c r="J4072" s="136" t="s">
        <v>16986</v>
      </c>
      <c r="L4072" s="136"/>
      <c r="M4072" s="136"/>
      <c r="N4072" s="136"/>
    </row>
    <row r="4073" spans="6:14">
      <c r="F4073" s="136" t="s">
        <v>16987</v>
      </c>
      <c r="G4073" s="136">
        <v>52301290000</v>
      </c>
      <c r="H4073" s="136" t="s">
        <v>3019</v>
      </c>
      <c r="I4073" s="136" t="s">
        <v>3019</v>
      </c>
      <c r="J4073" s="136" t="s">
        <v>16988</v>
      </c>
      <c r="L4073" s="136"/>
      <c r="M4073" s="136"/>
      <c r="N4073" s="136"/>
    </row>
    <row r="4074" spans="6:14">
      <c r="F4074" s="136" t="s">
        <v>16989</v>
      </c>
      <c r="G4074" s="136">
        <v>48580813700</v>
      </c>
      <c r="H4074" s="136" t="s">
        <v>4079</v>
      </c>
      <c r="I4074" s="136" t="s">
        <v>4080</v>
      </c>
      <c r="J4074" s="136" t="s">
        <v>16990</v>
      </c>
      <c r="L4074" s="136"/>
      <c r="M4074" s="136"/>
      <c r="N4074" s="136"/>
    </row>
    <row r="4075" spans="6:14">
      <c r="F4075" s="136" t="s">
        <v>16991</v>
      </c>
      <c r="G4075" s="136">
        <v>4072</v>
      </c>
      <c r="H4075" s="136" t="s">
        <v>4910</v>
      </c>
      <c r="I4075" s="136" t="s">
        <v>4911</v>
      </c>
      <c r="J4075" s="136" t="s">
        <v>16992</v>
      </c>
      <c r="L4075" s="136"/>
      <c r="M4075" s="136"/>
      <c r="N4075" s="136"/>
    </row>
    <row r="4076" spans="6:14">
      <c r="F4076" s="136" t="s">
        <v>16993</v>
      </c>
      <c r="G4076" s="136">
        <v>4073</v>
      </c>
      <c r="H4076" s="136" t="s">
        <v>5114</v>
      </c>
      <c r="I4076" s="136" t="s">
        <v>5114</v>
      </c>
      <c r="J4076" s="136" t="s">
        <v>16994</v>
      </c>
      <c r="L4076" s="136"/>
      <c r="M4076" s="136"/>
      <c r="N4076" s="136"/>
    </row>
    <row r="4077" spans="6:14">
      <c r="F4077" s="136" t="s">
        <v>16995</v>
      </c>
      <c r="G4077" s="136">
        <v>4074</v>
      </c>
      <c r="H4077" s="136" t="s">
        <v>2075</v>
      </c>
      <c r="I4077" s="136" t="s">
        <v>2075</v>
      </c>
      <c r="J4077" s="136" t="s">
        <v>16996</v>
      </c>
      <c r="L4077" s="136"/>
      <c r="M4077" s="136"/>
      <c r="N4077" s="136"/>
    </row>
    <row r="4078" spans="6:14">
      <c r="F4078" s="136" t="s">
        <v>16997</v>
      </c>
      <c r="G4078" s="136">
        <v>4075</v>
      </c>
      <c r="H4078" s="136" t="s">
        <v>1731</v>
      </c>
      <c r="I4078" s="136" t="s">
        <v>1732</v>
      </c>
      <c r="J4078" s="136" t="s">
        <v>16998</v>
      </c>
      <c r="L4078" s="136"/>
      <c r="M4078" s="136"/>
      <c r="N4078" s="136"/>
    </row>
    <row r="4079" spans="6:14">
      <c r="F4079" s="136" t="s">
        <v>16999</v>
      </c>
      <c r="G4079" s="136">
        <v>4076</v>
      </c>
      <c r="H4079" s="136" t="s">
        <v>2531</v>
      </c>
      <c r="I4079" s="136" t="s">
        <v>2531</v>
      </c>
      <c r="J4079" s="136" t="s">
        <v>17000</v>
      </c>
      <c r="L4079" s="136"/>
      <c r="M4079" s="136"/>
      <c r="N4079" s="136"/>
    </row>
    <row r="4080" spans="6:14">
      <c r="F4080" s="136" t="s">
        <v>17001</v>
      </c>
      <c r="G4080" s="136">
        <v>13086529504</v>
      </c>
      <c r="H4080" s="136" t="s">
        <v>5725</v>
      </c>
      <c r="I4080" s="136" t="s">
        <v>5726</v>
      </c>
      <c r="J4080" s="136" t="s">
        <v>17002</v>
      </c>
      <c r="L4080" s="136"/>
      <c r="M4080" s="136"/>
      <c r="N4080" s="136"/>
    </row>
    <row r="4081" spans="6:14">
      <c r="F4081" s="136" t="s">
        <v>17003</v>
      </c>
      <c r="G4081" s="136">
        <v>4078</v>
      </c>
      <c r="H4081" s="136" t="s">
        <v>5250</v>
      </c>
      <c r="I4081" s="136" t="s">
        <v>5251</v>
      </c>
      <c r="J4081" s="136" t="s">
        <v>17004</v>
      </c>
      <c r="L4081" s="136"/>
      <c r="M4081" s="136"/>
      <c r="N4081" s="136"/>
    </row>
    <row r="4082" spans="6:14">
      <c r="F4082" s="136" t="s">
        <v>17005</v>
      </c>
      <c r="G4082" s="136">
        <v>4079</v>
      </c>
      <c r="H4082" s="136" t="s">
        <v>3304</v>
      </c>
      <c r="I4082" s="136" t="s">
        <v>3305</v>
      </c>
      <c r="J4082" s="136" t="s">
        <v>17006</v>
      </c>
      <c r="L4082" s="136"/>
      <c r="M4082" s="136"/>
      <c r="N4082" s="136"/>
    </row>
    <row r="4083" spans="6:14">
      <c r="F4083" s="136" t="s">
        <v>17007</v>
      </c>
      <c r="G4083" s="136">
        <v>4080</v>
      </c>
      <c r="H4083" s="136" t="s">
        <v>5439</v>
      </c>
      <c r="I4083" s="136" t="s">
        <v>5439</v>
      </c>
      <c r="J4083" s="136" t="s">
        <v>17008</v>
      </c>
      <c r="L4083" s="136"/>
      <c r="M4083" s="136"/>
      <c r="N4083" s="136"/>
    </row>
    <row r="4084" spans="6:14">
      <c r="F4084" s="136" t="s">
        <v>17009</v>
      </c>
      <c r="G4084" s="136">
        <v>4081</v>
      </c>
      <c r="H4084" s="136" t="s">
        <v>5461</v>
      </c>
      <c r="I4084" s="136" t="s">
        <v>5462</v>
      </c>
      <c r="J4084" s="136" t="s">
        <v>17010</v>
      </c>
      <c r="L4084" s="136"/>
      <c r="M4084" s="136"/>
      <c r="N4084" s="136"/>
    </row>
    <row r="4085" spans="6:14">
      <c r="F4085" s="136" t="s">
        <v>17011</v>
      </c>
      <c r="G4085" s="136">
        <v>3312042909</v>
      </c>
      <c r="H4085" s="136" t="s">
        <v>4961</v>
      </c>
      <c r="I4085" s="136" t="s">
        <v>4961</v>
      </c>
      <c r="J4085" s="136" t="s">
        <v>17012</v>
      </c>
      <c r="L4085" s="136"/>
      <c r="M4085" s="136"/>
      <c r="N4085" s="136"/>
    </row>
    <row r="4086" spans="6:14">
      <c r="F4086" s="136" t="s">
        <v>17013</v>
      </c>
      <c r="G4086" s="136">
        <v>37674274861</v>
      </c>
      <c r="H4086" s="136" t="s">
        <v>2395</v>
      </c>
      <c r="I4086" s="136" t="s">
        <v>2395</v>
      </c>
      <c r="J4086" s="136" t="s">
        <v>17014</v>
      </c>
      <c r="L4086" s="136"/>
      <c r="M4086" s="136"/>
      <c r="N4086" s="136"/>
    </row>
    <row r="4087" spans="6:14">
      <c r="F4087" s="136" t="s">
        <v>17015</v>
      </c>
      <c r="G4087" s="136">
        <v>14784322760</v>
      </c>
      <c r="H4087" s="136" t="s">
        <v>2986</v>
      </c>
      <c r="I4087" s="136" t="s">
        <v>2986</v>
      </c>
      <c r="J4087" s="136" t="s">
        <v>17016</v>
      </c>
      <c r="L4087" s="136"/>
      <c r="M4087" s="136"/>
      <c r="N4087" s="136"/>
    </row>
    <row r="4088" spans="6:14">
      <c r="F4088" s="136" t="s">
        <v>17017</v>
      </c>
      <c r="G4088" s="136">
        <v>47192046787</v>
      </c>
      <c r="H4088" s="136" t="s">
        <v>3928</v>
      </c>
      <c r="I4088" s="136" t="s">
        <v>3929</v>
      </c>
      <c r="J4088" s="136" t="s">
        <v>17018</v>
      </c>
      <c r="L4088" s="136"/>
      <c r="M4088" s="136"/>
      <c r="N4088" s="136"/>
    </row>
    <row r="4089" spans="6:14">
      <c r="F4089" s="136" t="s">
        <v>17019</v>
      </c>
      <c r="G4089" s="136">
        <v>66792193615</v>
      </c>
      <c r="H4089" s="136" t="s">
        <v>3052</v>
      </c>
      <c r="I4089" s="136" t="s">
        <v>3053</v>
      </c>
      <c r="J4089" s="136" t="s">
        <v>17020</v>
      </c>
      <c r="L4089" s="136"/>
      <c r="M4089" s="136"/>
      <c r="N4089" s="136"/>
    </row>
    <row r="4090" spans="6:14">
      <c r="F4090" s="136" t="s">
        <v>17021</v>
      </c>
      <c r="G4090" s="136">
        <v>4087</v>
      </c>
      <c r="H4090" s="136" t="s">
        <v>17022</v>
      </c>
      <c r="I4090" s="136" t="s">
        <v>17023</v>
      </c>
      <c r="J4090" s="136" t="s">
        <v>17024</v>
      </c>
      <c r="L4090" s="136"/>
      <c r="M4090" s="136"/>
      <c r="N4090" s="136"/>
    </row>
    <row r="4091" spans="6:14">
      <c r="F4091" s="136" t="s">
        <v>17025</v>
      </c>
      <c r="G4091" s="136">
        <v>4088</v>
      </c>
      <c r="H4091" s="136" t="s">
        <v>17026</v>
      </c>
      <c r="I4091" s="136" t="s">
        <v>17027</v>
      </c>
      <c r="J4091" s="136" t="s">
        <v>17028</v>
      </c>
      <c r="L4091" s="136"/>
      <c r="M4091" s="136"/>
      <c r="N4091" s="136"/>
    </row>
    <row r="4092" spans="6:14">
      <c r="F4092" s="136" t="s">
        <v>17029</v>
      </c>
      <c r="G4092" s="136">
        <v>4089</v>
      </c>
      <c r="H4092" s="136" t="s">
        <v>1862</v>
      </c>
      <c r="I4092" s="136" t="s">
        <v>1863</v>
      </c>
      <c r="J4092" s="136" t="s">
        <v>17030</v>
      </c>
      <c r="L4092" s="136"/>
      <c r="M4092" s="136"/>
      <c r="N4092" s="136"/>
    </row>
    <row r="4093" spans="6:14">
      <c r="F4093" s="136" t="s">
        <v>17031</v>
      </c>
      <c r="G4093" s="136">
        <v>4090</v>
      </c>
      <c r="H4093" s="136" t="s">
        <v>3545</v>
      </c>
      <c r="I4093" s="136" t="s">
        <v>3545</v>
      </c>
      <c r="J4093" s="136" t="s">
        <v>17032</v>
      </c>
      <c r="L4093" s="136"/>
      <c r="M4093" s="136"/>
      <c r="N4093" s="136"/>
    </row>
    <row r="4094" spans="6:14">
      <c r="F4094" s="136" t="s">
        <v>17033</v>
      </c>
      <c r="G4094" s="136">
        <v>4091</v>
      </c>
      <c r="H4094" s="136" t="s">
        <v>4294</v>
      </c>
      <c r="I4094" s="136" t="s">
        <v>1733</v>
      </c>
      <c r="J4094" s="136" t="s">
        <v>17034</v>
      </c>
      <c r="L4094" s="136"/>
      <c r="M4094" s="136"/>
      <c r="N4094" s="136"/>
    </row>
    <row r="4095" spans="6:14">
      <c r="F4095" s="136" t="s">
        <v>17035</v>
      </c>
      <c r="G4095" s="136">
        <v>4092</v>
      </c>
      <c r="H4095" s="136" t="s">
        <v>2334</v>
      </c>
      <c r="I4095" s="136" t="s">
        <v>2335</v>
      </c>
      <c r="J4095" s="136" t="s">
        <v>17036</v>
      </c>
      <c r="L4095" s="136"/>
      <c r="M4095" s="136"/>
      <c r="N4095" s="136"/>
    </row>
    <row r="4096" spans="6:14">
      <c r="F4096" s="136" t="s">
        <v>17037</v>
      </c>
      <c r="G4096" s="136">
        <v>7512277652</v>
      </c>
      <c r="H4096" s="136" t="s">
        <v>4372</v>
      </c>
      <c r="I4096" s="136" t="s">
        <v>4372</v>
      </c>
      <c r="J4096" s="136" t="s">
        <v>17038</v>
      </c>
      <c r="L4096" s="136"/>
      <c r="M4096" s="136"/>
      <c r="N4096" s="136"/>
    </row>
    <row r="4097" spans="6:14">
      <c r="F4097" s="136" t="s">
        <v>17039</v>
      </c>
      <c r="G4097" s="136">
        <v>69833443672</v>
      </c>
      <c r="H4097" s="136" t="s">
        <v>2002</v>
      </c>
      <c r="I4097" s="136" t="s">
        <v>2002</v>
      </c>
      <c r="J4097" s="136" t="s">
        <v>17040</v>
      </c>
      <c r="L4097" s="136"/>
      <c r="M4097" s="136"/>
      <c r="N4097" s="136"/>
    </row>
    <row r="4098" spans="6:14">
      <c r="F4098" s="136" t="s">
        <v>17041</v>
      </c>
      <c r="G4098" s="136">
        <v>32387036840</v>
      </c>
      <c r="H4098" s="136" t="s">
        <v>3681</v>
      </c>
      <c r="I4098" s="136" t="s">
        <v>3681</v>
      </c>
      <c r="J4098" s="136" t="s">
        <v>17042</v>
      </c>
      <c r="L4098" s="136"/>
      <c r="M4098" s="136"/>
      <c r="N4098" s="136"/>
    </row>
    <row r="4099" spans="6:14">
      <c r="F4099" s="136" t="s">
        <v>17043</v>
      </c>
      <c r="G4099" s="136">
        <v>28268216875</v>
      </c>
      <c r="H4099" s="136" t="s">
        <v>2127</v>
      </c>
      <c r="I4099" s="136" t="s">
        <v>2127</v>
      </c>
      <c r="J4099" s="136" t="s">
        <v>17044</v>
      </c>
      <c r="L4099" s="136"/>
      <c r="M4099" s="136"/>
      <c r="N4099" s="136"/>
    </row>
    <row r="4100" spans="6:14">
      <c r="F4100" s="136" t="s">
        <v>17045</v>
      </c>
      <c r="G4100" s="136">
        <v>11710718684</v>
      </c>
      <c r="H4100" s="136" t="s">
        <v>5803</v>
      </c>
      <c r="I4100" s="136" t="s">
        <v>5804</v>
      </c>
      <c r="J4100" s="136" t="s">
        <v>17046</v>
      </c>
      <c r="L4100" s="136"/>
      <c r="M4100" s="136"/>
      <c r="N4100" s="136"/>
    </row>
    <row r="4101" spans="6:14">
      <c r="F4101" s="136" t="s">
        <v>17047</v>
      </c>
      <c r="G4101" s="136">
        <v>41635213991</v>
      </c>
      <c r="H4101" s="136" t="s">
        <v>5314</v>
      </c>
      <c r="I4101" s="136" t="s">
        <v>5314</v>
      </c>
      <c r="J4101" s="136" t="s">
        <v>17048</v>
      </c>
      <c r="L4101" s="136"/>
      <c r="M4101" s="136"/>
      <c r="N4101" s="136"/>
    </row>
    <row r="4102" spans="6:14">
      <c r="F4102" s="136" t="s">
        <v>17049</v>
      </c>
      <c r="G4102" s="136">
        <v>2918436119</v>
      </c>
      <c r="H4102" s="136" t="s">
        <v>3860</v>
      </c>
      <c r="I4102" s="136" t="s">
        <v>3860</v>
      </c>
      <c r="J4102" s="136" t="s">
        <v>17050</v>
      </c>
      <c r="L4102" s="136"/>
      <c r="M4102" s="136"/>
      <c r="N4102" s="136"/>
    </row>
    <row r="4103" spans="6:14">
      <c r="F4103" s="136" t="s">
        <v>17051</v>
      </c>
      <c r="G4103" s="136">
        <v>33843705895</v>
      </c>
      <c r="H4103" s="136" t="s">
        <v>5733</v>
      </c>
      <c r="I4103" s="136" t="s">
        <v>5733</v>
      </c>
      <c r="J4103" s="136" t="s">
        <v>17052</v>
      </c>
      <c r="L4103" s="136"/>
      <c r="M4103" s="136"/>
      <c r="N4103" s="136"/>
    </row>
    <row r="4104" spans="6:14">
      <c r="F4104" s="136" t="s">
        <v>17053</v>
      </c>
      <c r="G4104" s="136">
        <v>8335455902</v>
      </c>
      <c r="H4104" s="136" t="s">
        <v>245</v>
      </c>
      <c r="I4104" s="136" t="s">
        <v>246</v>
      </c>
      <c r="J4104" s="136" t="s">
        <v>17054</v>
      </c>
      <c r="L4104" s="136"/>
      <c r="M4104" s="136"/>
      <c r="N4104" s="136"/>
    </row>
    <row r="4105" spans="6:14">
      <c r="F4105" s="136" t="s">
        <v>17055</v>
      </c>
      <c r="G4105" s="136">
        <v>4102</v>
      </c>
      <c r="H4105" s="136" t="s">
        <v>2238</v>
      </c>
      <c r="I4105" s="136" t="s">
        <v>2238</v>
      </c>
      <c r="J4105" s="136" t="s">
        <v>17056</v>
      </c>
      <c r="L4105" s="136"/>
      <c r="M4105" s="136"/>
      <c r="N4105" s="136"/>
    </row>
    <row r="4106" spans="6:14">
      <c r="F4106" s="136" t="s">
        <v>17057</v>
      </c>
      <c r="G4106" s="136">
        <v>4103</v>
      </c>
      <c r="H4106" s="136" t="s">
        <v>2285</v>
      </c>
      <c r="I4106" s="136" t="s">
        <v>2286</v>
      </c>
      <c r="J4106" s="136" t="s">
        <v>17058</v>
      </c>
      <c r="L4106" s="136"/>
      <c r="M4106" s="136"/>
      <c r="N4106" s="136"/>
    </row>
    <row r="4107" spans="6:14">
      <c r="F4107" s="136" t="s">
        <v>17059</v>
      </c>
      <c r="G4107" s="136">
        <v>4104</v>
      </c>
      <c r="H4107" s="136" t="s">
        <v>17026</v>
      </c>
      <c r="I4107" s="136" t="s">
        <v>17060</v>
      </c>
      <c r="J4107" s="136" t="s">
        <v>17061</v>
      </c>
      <c r="L4107" s="136"/>
      <c r="M4107" s="136"/>
      <c r="N4107" s="136"/>
    </row>
    <row r="4108" spans="6:14">
      <c r="F4108" s="136" t="s">
        <v>17062</v>
      </c>
      <c r="G4108" s="136">
        <v>4105</v>
      </c>
      <c r="H4108" s="136" t="s">
        <v>5635</v>
      </c>
      <c r="I4108" s="136" t="s">
        <v>5636</v>
      </c>
      <c r="J4108" s="136" t="s">
        <v>17063</v>
      </c>
      <c r="L4108" s="136"/>
      <c r="M4108" s="136"/>
      <c r="N4108" s="136"/>
    </row>
    <row r="4109" spans="6:14">
      <c r="F4109" s="136" t="s">
        <v>17064</v>
      </c>
      <c r="G4109" s="136">
        <v>88750817515</v>
      </c>
      <c r="H4109" s="136" t="s">
        <v>1584</v>
      </c>
      <c r="I4109" s="136" t="s">
        <v>1584</v>
      </c>
      <c r="J4109" s="136" t="s">
        <v>17065</v>
      </c>
      <c r="L4109" s="136"/>
      <c r="M4109" s="136"/>
      <c r="N4109" s="136"/>
    </row>
    <row r="4110" spans="6:14">
      <c r="F4110" s="136" t="s">
        <v>17066</v>
      </c>
      <c r="G4110" s="136">
        <v>4107</v>
      </c>
      <c r="H4110" s="136" t="s">
        <v>2183</v>
      </c>
      <c r="I4110" s="136" t="s">
        <v>2184</v>
      </c>
      <c r="J4110" s="136" t="s">
        <v>17067</v>
      </c>
      <c r="L4110" s="136"/>
      <c r="M4110" s="136"/>
      <c r="N4110" s="136"/>
    </row>
    <row r="4111" spans="6:14">
      <c r="F4111" s="136" t="s">
        <v>17068</v>
      </c>
      <c r="G4111" s="136">
        <v>28665091882</v>
      </c>
      <c r="H4111" s="136" t="s">
        <v>758</v>
      </c>
      <c r="I4111" s="136" t="s">
        <v>759</v>
      </c>
      <c r="J4111" s="136" t="s">
        <v>17069</v>
      </c>
      <c r="L4111" s="136"/>
      <c r="M4111" s="136"/>
      <c r="N4111" s="136"/>
    </row>
    <row r="4112" spans="6:14">
      <c r="F4112" s="136" t="s">
        <v>17070</v>
      </c>
      <c r="G4112" s="136">
        <v>4109</v>
      </c>
      <c r="H4112" s="136" t="s">
        <v>2885</v>
      </c>
      <c r="I4112" s="136" t="s">
        <v>2888</v>
      </c>
      <c r="J4112" s="136" t="s">
        <v>17071</v>
      </c>
      <c r="L4112" s="136"/>
      <c r="M4112" s="136"/>
      <c r="N4112" s="136"/>
    </row>
    <row r="4113" spans="6:14">
      <c r="F4113" s="136" t="s">
        <v>17072</v>
      </c>
      <c r="G4113" s="136">
        <v>4110</v>
      </c>
      <c r="H4113" s="136" t="s">
        <v>3461</v>
      </c>
      <c r="I4113" s="136" t="s">
        <v>3462</v>
      </c>
      <c r="J4113" s="136" t="s">
        <v>17073</v>
      </c>
      <c r="L4113" s="136"/>
      <c r="M4113" s="136"/>
      <c r="N4113" s="136"/>
    </row>
    <row r="4114" spans="6:14">
      <c r="F4114" s="136" t="s">
        <v>17074</v>
      </c>
      <c r="G4114" s="136">
        <v>4111</v>
      </c>
      <c r="H4114" s="136" t="s">
        <v>1521</v>
      </c>
      <c r="I4114" s="136" t="s">
        <v>1521</v>
      </c>
      <c r="J4114" s="136" t="s">
        <v>17075</v>
      </c>
      <c r="L4114" s="136"/>
      <c r="M4114" s="136"/>
      <c r="N4114" s="136"/>
    </row>
    <row r="4115" spans="6:14">
      <c r="F4115" s="136" t="s">
        <v>17076</v>
      </c>
      <c r="G4115" s="136">
        <v>8982558721</v>
      </c>
      <c r="H4115" s="136" t="s">
        <v>5170</v>
      </c>
      <c r="I4115" s="136" t="s">
        <v>5170</v>
      </c>
      <c r="J4115" s="136" t="s">
        <v>17077</v>
      </c>
      <c r="L4115" s="136"/>
      <c r="M4115" s="136"/>
      <c r="N4115" s="136"/>
    </row>
    <row r="4116" spans="6:14">
      <c r="F4116" s="136" t="s">
        <v>17078</v>
      </c>
      <c r="G4116" s="136">
        <v>4113</v>
      </c>
      <c r="H4116" s="136" t="s">
        <v>17079</v>
      </c>
      <c r="I4116" s="136" t="s">
        <v>13451</v>
      </c>
      <c r="J4116" s="136" t="s">
        <v>17080</v>
      </c>
      <c r="L4116" s="136"/>
      <c r="M4116" s="136"/>
      <c r="N4116" s="136"/>
    </row>
    <row r="4117" spans="6:14">
      <c r="F4117" s="136" t="s">
        <v>17081</v>
      </c>
      <c r="G4117" s="136">
        <v>39267512900</v>
      </c>
      <c r="H4117" s="136" t="s">
        <v>3967</v>
      </c>
      <c r="I4117" s="136" t="s">
        <v>3967</v>
      </c>
      <c r="J4117" s="136" t="s">
        <v>17082</v>
      </c>
      <c r="L4117" s="136"/>
      <c r="M4117" s="136"/>
      <c r="N4117" s="136"/>
    </row>
    <row r="4118" spans="6:14">
      <c r="F4118" s="136" t="s">
        <v>17083</v>
      </c>
      <c r="G4118" s="136">
        <v>10880752661</v>
      </c>
      <c r="H4118" s="136" t="s">
        <v>3057</v>
      </c>
      <c r="I4118" s="136" t="s">
        <v>3057</v>
      </c>
      <c r="J4118" s="136" t="s">
        <v>17084</v>
      </c>
      <c r="L4118" s="136"/>
      <c r="M4118" s="136"/>
      <c r="N4118" s="136"/>
    </row>
    <row r="4119" spans="6:14">
      <c r="F4119" s="136" t="s">
        <v>17085</v>
      </c>
      <c r="G4119" s="136">
        <v>8912102885</v>
      </c>
      <c r="H4119" s="136" t="s">
        <v>3016</v>
      </c>
      <c r="I4119" s="136" t="s">
        <v>3016</v>
      </c>
      <c r="J4119" s="136" t="s">
        <v>17086</v>
      </c>
      <c r="L4119" s="136"/>
      <c r="M4119" s="136"/>
      <c r="N4119" s="136"/>
    </row>
    <row r="4120" spans="6:14">
      <c r="F4120" s="136" t="s">
        <v>17087</v>
      </c>
      <c r="G4120" s="136">
        <v>4117</v>
      </c>
      <c r="H4120" s="136" t="s">
        <v>1204</v>
      </c>
      <c r="I4120" s="136" t="s">
        <v>1205</v>
      </c>
      <c r="J4120" s="136" t="s">
        <v>17088</v>
      </c>
      <c r="L4120" s="136"/>
      <c r="M4120" s="136"/>
      <c r="N4120" s="136"/>
    </row>
    <row r="4121" spans="6:14">
      <c r="F4121" s="136" t="s">
        <v>17089</v>
      </c>
      <c r="G4121" s="136">
        <v>3015019473</v>
      </c>
      <c r="H4121" s="136" t="s">
        <v>1055</v>
      </c>
      <c r="I4121" s="136" t="s">
        <v>1055</v>
      </c>
      <c r="J4121" s="136" t="s">
        <v>17090</v>
      </c>
      <c r="L4121" s="136"/>
      <c r="M4121" s="136"/>
      <c r="N4121" s="136"/>
    </row>
    <row r="4122" spans="6:14">
      <c r="F4122" s="136" t="s">
        <v>17091</v>
      </c>
      <c r="G4122" s="136">
        <v>4119</v>
      </c>
      <c r="H4122" s="136" t="s">
        <v>5744</v>
      </c>
      <c r="I4122" s="136" t="s">
        <v>5745</v>
      </c>
      <c r="J4122" s="136" t="s">
        <v>17092</v>
      </c>
      <c r="L4122" s="136"/>
      <c r="M4122" s="136"/>
      <c r="N4122" s="136"/>
    </row>
    <row r="4123" spans="6:14">
      <c r="F4123" s="136" t="s">
        <v>17093</v>
      </c>
      <c r="G4123" s="136">
        <v>4120</v>
      </c>
      <c r="H4123" s="136" t="s">
        <v>2978</v>
      </c>
      <c r="I4123" s="136" t="s">
        <v>2978</v>
      </c>
      <c r="J4123" s="136" t="s">
        <v>17094</v>
      </c>
      <c r="L4123" s="136"/>
      <c r="M4123" s="136"/>
      <c r="N4123" s="136"/>
    </row>
    <row r="4124" spans="6:14">
      <c r="F4124" s="136" t="s">
        <v>17095</v>
      </c>
      <c r="G4124" s="136">
        <v>4121</v>
      </c>
      <c r="H4124" s="136" t="s">
        <v>8232</v>
      </c>
      <c r="I4124" s="136" t="s">
        <v>8233</v>
      </c>
      <c r="J4124" s="136" t="s">
        <v>17096</v>
      </c>
      <c r="L4124" s="136"/>
      <c r="M4124" s="136"/>
      <c r="N4124" s="136"/>
    </row>
    <row r="4125" spans="6:14">
      <c r="F4125" s="136" t="s">
        <v>17097</v>
      </c>
      <c r="G4125" s="136">
        <v>4122</v>
      </c>
      <c r="H4125" s="136" t="s">
        <v>17098</v>
      </c>
      <c r="I4125" s="136" t="s">
        <v>17099</v>
      </c>
      <c r="J4125" s="136" t="s">
        <v>17100</v>
      </c>
      <c r="L4125" s="136"/>
      <c r="M4125" s="136"/>
      <c r="N4125" s="136"/>
    </row>
    <row r="4126" spans="6:14">
      <c r="F4126" s="136" t="s">
        <v>17101</v>
      </c>
      <c r="G4126" s="136">
        <v>43079374819</v>
      </c>
      <c r="H4126" s="136" t="s">
        <v>5785</v>
      </c>
      <c r="I4126" s="136" t="s">
        <v>5785</v>
      </c>
      <c r="J4126" s="136" t="s">
        <v>17102</v>
      </c>
      <c r="L4126" s="136"/>
      <c r="M4126" s="136"/>
      <c r="N4126" s="136"/>
    </row>
    <row r="4127" spans="6:14">
      <c r="F4127" s="136" t="s">
        <v>17103</v>
      </c>
      <c r="G4127" s="136">
        <v>29632489896</v>
      </c>
      <c r="H4127" s="136" t="s">
        <v>4220</v>
      </c>
      <c r="I4127" s="136" t="s">
        <v>4221</v>
      </c>
      <c r="J4127" s="136" t="s">
        <v>17104</v>
      </c>
      <c r="L4127" s="136"/>
      <c r="M4127" s="136"/>
      <c r="N4127" s="136"/>
    </row>
    <row r="4128" spans="6:14">
      <c r="F4128" s="136" t="s">
        <v>17105</v>
      </c>
      <c r="G4128" s="136">
        <v>2237041130</v>
      </c>
      <c r="H4128" s="136" t="s">
        <v>957</v>
      </c>
      <c r="I4128" s="136" t="s">
        <v>958</v>
      </c>
      <c r="J4128" s="136" t="s">
        <v>17106</v>
      </c>
      <c r="L4128" s="136"/>
      <c r="M4128" s="136"/>
      <c r="N4128" s="136"/>
    </row>
    <row r="4129" spans="6:14">
      <c r="F4129" s="136" t="s">
        <v>17107</v>
      </c>
      <c r="G4129" s="136">
        <v>27733577870</v>
      </c>
      <c r="H4129" s="136" t="s">
        <v>3991</v>
      </c>
      <c r="I4129" s="136" t="s">
        <v>3992</v>
      </c>
      <c r="J4129" s="136" t="s">
        <v>17108</v>
      </c>
      <c r="L4129" s="136"/>
      <c r="M4129" s="136"/>
      <c r="N4129" s="136"/>
    </row>
    <row r="4130" spans="6:14">
      <c r="F4130" s="136" t="s">
        <v>17109</v>
      </c>
      <c r="G4130" s="136">
        <v>3116629943</v>
      </c>
      <c r="H4130" s="136" t="s">
        <v>3729</v>
      </c>
      <c r="I4130" s="136" t="s">
        <v>3730</v>
      </c>
      <c r="J4130" s="136" t="s">
        <v>17110</v>
      </c>
      <c r="L4130" s="136"/>
      <c r="M4130" s="136"/>
      <c r="N4130" s="136"/>
    </row>
    <row r="4131" spans="6:14">
      <c r="F4131" s="136" t="s">
        <v>17111</v>
      </c>
      <c r="G4131" s="136">
        <v>4128</v>
      </c>
      <c r="H4131" s="136" t="s">
        <v>8232</v>
      </c>
      <c r="I4131" s="136" t="s">
        <v>8233</v>
      </c>
      <c r="J4131" s="136" t="s">
        <v>17112</v>
      </c>
      <c r="L4131" s="136"/>
      <c r="M4131" s="136"/>
      <c r="N4131" s="136"/>
    </row>
    <row r="4132" spans="6:14">
      <c r="F4132" s="136" t="s">
        <v>17113</v>
      </c>
      <c r="G4132" s="136">
        <v>4999530457</v>
      </c>
      <c r="H4132" s="136" t="s">
        <v>956</v>
      </c>
      <c r="I4132" s="136" t="s">
        <v>956</v>
      </c>
      <c r="J4132" s="136" t="s">
        <v>17114</v>
      </c>
      <c r="L4132" s="136"/>
      <c r="M4132" s="136"/>
      <c r="N4132" s="136"/>
    </row>
    <row r="4133" spans="6:14">
      <c r="F4133" s="136" t="s">
        <v>17115</v>
      </c>
      <c r="G4133" s="136">
        <v>43810166880</v>
      </c>
      <c r="H4133" s="136" t="s">
        <v>5646</v>
      </c>
      <c r="I4133" s="136" t="s">
        <v>5646</v>
      </c>
      <c r="J4133" s="136" t="s">
        <v>17116</v>
      </c>
      <c r="L4133" s="136"/>
      <c r="M4133" s="136"/>
      <c r="N4133" s="136"/>
    </row>
    <row r="4134" spans="6:14">
      <c r="F4134" s="136" t="s">
        <v>17117</v>
      </c>
      <c r="G4134" s="136">
        <v>26020428893</v>
      </c>
      <c r="H4134" s="136" t="s">
        <v>3257</v>
      </c>
      <c r="I4134" s="136" t="s">
        <v>3257</v>
      </c>
      <c r="J4134" s="136" t="s">
        <v>17118</v>
      </c>
      <c r="L4134" s="136"/>
      <c r="M4134" s="136"/>
      <c r="N4134" s="136"/>
    </row>
    <row r="4135" spans="6:14">
      <c r="F4135" s="136" t="s">
        <v>17119</v>
      </c>
      <c r="G4135" s="136">
        <v>4132</v>
      </c>
      <c r="H4135" s="136" t="s">
        <v>17120</v>
      </c>
      <c r="I4135" s="136" t="s">
        <v>17120</v>
      </c>
      <c r="J4135" s="136" t="s">
        <v>17121</v>
      </c>
      <c r="L4135" s="136"/>
      <c r="M4135" s="136"/>
      <c r="N4135" s="136"/>
    </row>
    <row r="4136" spans="6:14">
      <c r="F4136" s="136" t="s">
        <v>17122</v>
      </c>
      <c r="G4136" s="136">
        <v>4133</v>
      </c>
      <c r="H4136" s="136" t="s">
        <v>17123</v>
      </c>
      <c r="I4136" s="136" t="s">
        <v>17124</v>
      </c>
      <c r="J4136" s="136" t="s">
        <v>17125</v>
      </c>
      <c r="L4136" s="136"/>
      <c r="M4136" s="136"/>
      <c r="N4136" s="136"/>
    </row>
    <row r="4137" spans="6:14">
      <c r="F4137" s="136" t="s">
        <v>17126</v>
      </c>
      <c r="G4137" s="136">
        <v>3359495845</v>
      </c>
      <c r="H4137" s="136" t="s">
        <v>3959</v>
      </c>
      <c r="I4137" s="136" t="s">
        <v>3960</v>
      </c>
      <c r="J4137" s="136" t="s">
        <v>17127</v>
      </c>
      <c r="L4137" s="136"/>
      <c r="M4137" s="136"/>
      <c r="N4137" s="136"/>
    </row>
    <row r="4138" spans="6:14">
      <c r="F4138" s="136" t="s">
        <v>17128</v>
      </c>
      <c r="G4138" s="136">
        <v>4135</v>
      </c>
      <c r="H4138" s="136" t="s">
        <v>1375</v>
      </c>
      <c r="I4138" s="136" t="s">
        <v>1376</v>
      </c>
      <c r="J4138" s="136" t="s">
        <v>17129</v>
      </c>
      <c r="L4138" s="136"/>
      <c r="M4138" s="136"/>
      <c r="N4138" s="136"/>
    </row>
    <row r="4139" spans="6:14">
      <c r="F4139" s="136" t="s">
        <v>17130</v>
      </c>
      <c r="G4139" s="136">
        <v>4136</v>
      </c>
      <c r="H4139" s="136" t="s">
        <v>3240</v>
      </c>
      <c r="I4139" s="136" t="s">
        <v>3240</v>
      </c>
      <c r="J4139" s="136" t="s">
        <v>17131</v>
      </c>
      <c r="L4139" s="136"/>
      <c r="M4139" s="136"/>
      <c r="N4139" s="136"/>
    </row>
    <row r="4140" spans="6:14">
      <c r="F4140" s="136" t="s">
        <v>17132</v>
      </c>
      <c r="G4140" s="136">
        <v>4137</v>
      </c>
      <c r="H4140" s="136" t="s">
        <v>5305</v>
      </c>
      <c r="I4140" s="136" t="s">
        <v>5305</v>
      </c>
      <c r="J4140" s="136" t="s">
        <v>17133</v>
      </c>
      <c r="L4140" s="136"/>
      <c r="M4140" s="136"/>
      <c r="N4140" s="136"/>
    </row>
    <row r="4141" spans="6:14">
      <c r="F4141" s="136" t="s">
        <v>17134</v>
      </c>
      <c r="G4141" s="136">
        <v>4138</v>
      </c>
      <c r="H4141" s="136" t="s">
        <v>2512</v>
      </c>
      <c r="I4141" s="136" t="s">
        <v>2513</v>
      </c>
      <c r="J4141" s="136" t="s">
        <v>17135</v>
      </c>
      <c r="L4141" s="136"/>
      <c r="M4141" s="136"/>
      <c r="N4141" s="136"/>
    </row>
    <row r="4142" spans="6:14">
      <c r="F4142" s="136" t="s">
        <v>17136</v>
      </c>
      <c r="G4142" s="136">
        <v>4139</v>
      </c>
      <c r="H4142" s="136" t="s">
        <v>1889</v>
      </c>
      <c r="I4142" s="136" t="s">
        <v>1889</v>
      </c>
      <c r="J4142" s="136" t="s">
        <v>17137</v>
      </c>
      <c r="L4142" s="136"/>
      <c r="M4142" s="136"/>
      <c r="N4142" s="136"/>
    </row>
    <row r="4143" spans="6:14">
      <c r="F4143" s="136" t="s">
        <v>17138</v>
      </c>
      <c r="G4143" s="136">
        <v>84708018487</v>
      </c>
      <c r="H4143" s="136" t="s">
        <v>3893</v>
      </c>
      <c r="I4143" s="136" t="s">
        <v>3893</v>
      </c>
      <c r="J4143" s="136" t="s">
        <v>17139</v>
      </c>
      <c r="L4143" s="136"/>
      <c r="M4143" s="136"/>
      <c r="N4143" s="136"/>
    </row>
    <row r="4144" spans="6:14">
      <c r="F4144" s="136" t="s">
        <v>17140</v>
      </c>
      <c r="G4144" s="136">
        <v>1443830550</v>
      </c>
      <c r="H4144" s="136" t="s">
        <v>5806</v>
      </c>
      <c r="I4144" s="136" t="s">
        <v>5807</v>
      </c>
      <c r="J4144" s="136" t="s">
        <v>17141</v>
      </c>
      <c r="L4144" s="136"/>
      <c r="M4144" s="136"/>
      <c r="N4144" s="136"/>
    </row>
    <row r="4145" spans="6:14">
      <c r="F4145" s="136" t="s">
        <v>17142</v>
      </c>
      <c r="G4145" s="136">
        <v>6404698412</v>
      </c>
      <c r="H4145" s="136" t="s">
        <v>3707</v>
      </c>
      <c r="I4145" s="136" t="s">
        <v>3707</v>
      </c>
      <c r="J4145" s="136" t="s">
        <v>17143</v>
      </c>
      <c r="L4145" s="136"/>
      <c r="M4145" s="136"/>
      <c r="N4145" s="136"/>
    </row>
    <row r="4146" spans="6:14">
      <c r="F4146" s="136" t="s">
        <v>17144</v>
      </c>
      <c r="G4146" s="136">
        <v>173212638</v>
      </c>
      <c r="H4146" s="136" t="s">
        <v>3668</v>
      </c>
      <c r="I4146" s="136" t="s">
        <v>3669</v>
      </c>
      <c r="J4146" s="136" t="s">
        <v>17145</v>
      </c>
      <c r="L4146" s="136"/>
      <c r="M4146" s="136"/>
      <c r="N4146" s="136"/>
    </row>
    <row r="4147" spans="6:14">
      <c r="F4147" s="136" t="s">
        <v>17146</v>
      </c>
      <c r="G4147" s="136">
        <v>5122720932</v>
      </c>
      <c r="H4147" s="136" t="s">
        <v>3705</v>
      </c>
      <c r="I4147" s="136" t="s">
        <v>3706</v>
      </c>
      <c r="J4147" s="136" t="s">
        <v>17147</v>
      </c>
      <c r="L4147" s="136"/>
      <c r="M4147" s="136"/>
      <c r="N4147" s="136"/>
    </row>
    <row r="4148" spans="6:14">
      <c r="F4148" s="136" t="s">
        <v>17148</v>
      </c>
      <c r="G4148" s="136">
        <v>43390281851</v>
      </c>
      <c r="H4148" s="136" t="s">
        <v>756</v>
      </c>
      <c r="I4148" s="136" t="s">
        <v>757</v>
      </c>
      <c r="J4148" s="136" t="s">
        <v>17149</v>
      </c>
      <c r="L4148" s="136"/>
      <c r="M4148" s="136"/>
      <c r="N4148" s="136"/>
    </row>
    <row r="4149" spans="6:14">
      <c r="F4149" s="136" t="s">
        <v>17150</v>
      </c>
      <c r="G4149" s="136">
        <v>7555604507</v>
      </c>
      <c r="H4149" s="136" t="s">
        <v>6061</v>
      </c>
      <c r="I4149" s="136" t="s">
        <v>6062</v>
      </c>
      <c r="J4149" s="136" t="s">
        <v>17151</v>
      </c>
      <c r="L4149" s="136"/>
      <c r="M4149" s="136"/>
      <c r="N4149" s="136"/>
    </row>
    <row r="4150" spans="6:14">
      <c r="F4150" s="136" t="s">
        <v>17152</v>
      </c>
      <c r="G4150" s="136">
        <v>4147</v>
      </c>
      <c r="H4150" s="136" t="s">
        <v>1544</v>
      </c>
      <c r="I4150" s="136" t="s">
        <v>1545</v>
      </c>
      <c r="J4150" s="136" t="s">
        <v>17153</v>
      </c>
      <c r="L4150" s="136"/>
      <c r="M4150" s="136"/>
      <c r="N4150" s="136"/>
    </row>
    <row r="4151" spans="6:14">
      <c r="F4151" s="136" t="s">
        <v>17154</v>
      </c>
      <c r="G4151" s="136">
        <v>4148</v>
      </c>
      <c r="H4151" s="136" t="s">
        <v>17155</v>
      </c>
      <c r="I4151" s="136" t="s">
        <v>17156</v>
      </c>
      <c r="J4151" s="136" t="s">
        <v>17157</v>
      </c>
      <c r="L4151" s="136"/>
      <c r="M4151" s="136"/>
      <c r="N4151" s="136"/>
    </row>
    <row r="4152" spans="6:14">
      <c r="F4152" s="136" t="s">
        <v>17158</v>
      </c>
      <c r="G4152" s="136">
        <v>4149</v>
      </c>
      <c r="H4152" s="136" t="s">
        <v>17159</v>
      </c>
      <c r="I4152" s="136" t="s">
        <v>17160</v>
      </c>
      <c r="J4152" s="136" t="s">
        <v>17161</v>
      </c>
      <c r="L4152" s="136"/>
      <c r="M4152" s="136"/>
      <c r="N4152" s="136"/>
    </row>
    <row r="4153" spans="6:14">
      <c r="F4153" s="136" t="s">
        <v>17162</v>
      </c>
      <c r="G4153" s="136">
        <v>9006146927</v>
      </c>
      <c r="H4153" s="136" t="s">
        <v>5519</v>
      </c>
      <c r="I4153" s="136" t="s">
        <v>5520</v>
      </c>
      <c r="J4153" s="136" t="s">
        <v>17163</v>
      </c>
      <c r="L4153" s="136"/>
      <c r="M4153" s="136"/>
      <c r="N4153" s="136"/>
    </row>
    <row r="4154" spans="6:14">
      <c r="F4154" s="136" t="s">
        <v>17164</v>
      </c>
      <c r="G4154" s="136">
        <v>4151</v>
      </c>
      <c r="H4154" s="136" t="s">
        <v>17165</v>
      </c>
      <c r="I4154" s="136" t="s">
        <v>17166</v>
      </c>
      <c r="J4154" s="136" t="s">
        <v>17167</v>
      </c>
      <c r="L4154" s="136"/>
      <c r="M4154" s="136"/>
      <c r="N4154" s="136"/>
    </row>
    <row r="4155" spans="6:14">
      <c r="F4155" s="136" t="s">
        <v>17168</v>
      </c>
      <c r="G4155" s="136">
        <v>9059330447</v>
      </c>
      <c r="H4155" s="136" t="s">
        <v>5815</v>
      </c>
      <c r="I4155" s="136" t="s">
        <v>5815</v>
      </c>
      <c r="J4155" s="136" t="s">
        <v>17169</v>
      </c>
      <c r="L4155" s="136"/>
      <c r="M4155" s="136"/>
      <c r="N4155" s="136"/>
    </row>
    <row r="4156" spans="6:14">
      <c r="F4156" s="136" t="s">
        <v>17170</v>
      </c>
      <c r="G4156" s="136">
        <v>4153</v>
      </c>
      <c r="H4156" s="136" t="s">
        <v>17171</v>
      </c>
      <c r="I4156" s="136" t="s">
        <v>17172</v>
      </c>
      <c r="J4156" s="136" t="s">
        <v>17173</v>
      </c>
      <c r="L4156" s="136"/>
      <c r="M4156" s="136"/>
      <c r="N4156" s="136"/>
    </row>
    <row r="4157" spans="6:14">
      <c r="F4157" s="136" t="s">
        <v>17174</v>
      </c>
      <c r="G4157" s="136">
        <v>4154</v>
      </c>
      <c r="H4157" s="136" t="s">
        <v>3874</v>
      </c>
      <c r="I4157" s="136" t="s">
        <v>3874</v>
      </c>
      <c r="J4157" s="136" t="s">
        <v>17175</v>
      </c>
      <c r="L4157" s="136"/>
      <c r="M4157" s="136"/>
      <c r="N4157" s="136"/>
    </row>
    <row r="4158" spans="6:14">
      <c r="F4158" s="136" t="s">
        <v>17176</v>
      </c>
      <c r="G4158" s="136">
        <v>1662547625</v>
      </c>
      <c r="H4158" s="136" t="s">
        <v>885</v>
      </c>
      <c r="I4158" s="136" t="s">
        <v>886</v>
      </c>
      <c r="J4158" s="136" t="s">
        <v>17177</v>
      </c>
      <c r="L4158" s="136"/>
      <c r="M4158" s="136"/>
      <c r="N4158" s="136"/>
    </row>
    <row r="4159" spans="6:14">
      <c r="F4159" s="136" t="s">
        <v>17178</v>
      </c>
      <c r="G4159" s="136">
        <v>4156</v>
      </c>
      <c r="H4159" s="136" t="s">
        <v>3675</v>
      </c>
      <c r="I4159" s="136" t="s">
        <v>3675</v>
      </c>
      <c r="J4159" s="136" t="s">
        <v>17179</v>
      </c>
      <c r="L4159" s="136"/>
      <c r="M4159" s="136"/>
      <c r="N4159" s="136"/>
    </row>
    <row r="4160" spans="6:14">
      <c r="F4160" s="136" t="s">
        <v>17180</v>
      </c>
      <c r="G4160" s="136">
        <v>4157</v>
      </c>
      <c r="H4160" s="136" t="s">
        <v>13006</v>
      </c>
      <c r="I4160" s="136" t="s">
        <v>17181</v>
      </c>
      <c r="J4160" s="136" t="s">
        <v>17182</v>
      </c>
      <c r="L4160" s="136"/>
      <c r="M4160" s="136"/>
      <c r="N4160" s="136"/>
    </row>
    <row r="4161" spans="6:14">
      <c r="F4161" s="136" t="s">
        <v>17183</v>
      </c>
      <c r="G4161" s="136">
        <v>4158</v>
      </c>
      <c r="H4161" s="136" t="s">
        <v>17184</v>
      </c>
      <c r="I4161" s="136" t="s">
        <v>17185</v>
      </c>
      <c r="J4161" s="136" t="s">
        <v>17186</v>
      </c>
      <c r="L4161" s="136"/>
      <c r="M4161" s="136"/>
      <c r="N4161" s="136"/>
    </row>
    <row r="4162" spans="6:14">
      <c r="F4162" s="136" t="s">
        <v>17187</v>
      </c>
      <c r="G4162" s="136">
        <v>4159</v>
      </c>
      <c r="H4162" s="136" t="s">
        <v>1269</v>
      </c>
      <c r="I4162" s="136" t="s">
        <v>1270</v>
      </c>
      <c r="J4162" s="136" t="s">
        <v>17188</v>
      </c>
      <c r="L4162" s="136"/>
      <c r="M4162" s="136"/>
      <c r="N4162" s="136"/>
    </row>
    <row r="4163" spans="6:14">
      <c r="F4163" s="136" t="s">
        <v>17189</v>
      </c>
      <c r="G4163" s="136">
        <v>4160</v>
      </c>
      <c r="H4163" s="136" t="s">
        <v>17190</v>
      </c>
      <c r="I4163" s="136" t="s">
        <v>17190</v>
      </c>
      <c r="J4163" s="136" t="s">
        <v>17191</v>
      </c>
      <c r="L4163" s="136"/>
      <c r="M4163" s="136"/>
      <c r="N4163" s="136"/>
    </row>
    <row r="4164" spans="6:14">
      <c r="F4164" s="136" t="s">
        <v>17192</v>
      </c>
      <c r="G4164" s="136">
        <v>4161</v>
      </c>
      <c r="H4164" s="136" t="s">
        <v>9444</v>
      </c>
      <c r="I4164" s="136" t="s">
        <v>9444</v>
      </c>
      <c r="J4164" s="136" t="s">
        <v>17193</v>
      </c>
      <c r="L4164" s="136"/>
      <c r="M4164" s="136"/>
      <c r="N4164" s="136"/>
    </row>
    <row r="4165" spans="6:14">
      <c r="F4165" s="136" t="s">
        <v>17194</v>
      </c>
      <c r="G4165" s="136">
        <v>4162</v>
      </c>
      <c r="H4165" s="136" t="s">
        <v>17195</v>
      </c>
      <c r="I4165" s="136" t="s">
        <v>17195</v>
      </c>
      <c r="J4165" s="136" t="s">
        <v>17196</v>
      </c>
      <c r="L4165" s="136"/>
      <c r="M4165" s="136"/>
      <c r="N4165" s="136"/>
    </row>
    <row r="4166" spans="6:14">
      <c r="F4166" s="136" t="s">
        <v>17197</v>
      </c>
      <c r="G4166" s="136">
        <v>4163</v>
      </c>
      <c r="H4166" s="136" t="s">
        <v>548</v>
      </c>
      <c r="I4166" s="136" t="s">
        <v>593</v>
      </c>
      <c r="J4166" s="136" t="s">
        <v>17198</v>
      </c>
      <c r="L4166" s="136"/>
      <c r="M4166" s="136"/>
      <c r="N4166" s="136"/>
    </row>
    <row r="4167" spans="6:14">
      <c r="F4167" s="136" t="s">
        <v>17199</v>
      </c>
      <c r="G4167" s="136">
        <v>10046949623</v>
      </c>
      <c r="H4167" s="136" t="s">
        <v>1561</v>
      </c>
      <c r="I4167" s="136" t="s">
        <v>1562</v>
      </c>
      <c r="J4167" s="136" t="s">
        <v>17200</v>
      </c>
      <c r="L4167" s="136"/>
      <c r="M4167" s="136"/>
      <c r="N4167" s="136"/>
    </row>
    <row r="4168" spans="6:14">
      <c r="F4168" s="136" t="s">
        <v>17201</v>
      </c>
      <c r="G4168" s="136">
        <v>4165</v>
      </c>
      <c r="H4168" s="136" t="s">
        <v>6058</v>
      </c>
      <c r="I4168" s="136" t="s">
        <v>6059</v>
      </c>
      <c r="J4168" s="136" t="s">
        <v>17202</v>
      </c>
      <c r="L4168" s="136"/>
      <c r="M4168" s="136"/>
      <c r="N4168" s="136"/>
    </row>
    <row r="4169" spans="6:14">
      <c r="F4169" s="136" t="s">
        <v>17203</v>
      </c>
      <c r="G4169" s="136">
        <v>4166</v>
      </c>
      <c r="H4169" s="136" t="s">
        <v>17204</v>
      </c>
      <c r="I4169" s="136" t="s">
        <v>17205</v>
      </c>
      <c r="J4169" s="136" t="s">
        <v>17206</v>
      </c>
      <c r="L4169" s="136"/>
      <c r="M4169" s="136"/>
      <c r="N4169" s="136"/>
    </row>
    <row r="4170" spans="6:14">
      <c r="F4170" s="136" t="s">
        <v>17207</v>
      </c>
      <c r="G4170" s="136">
        <v>4167</v>
      </c>
      <c r="H4170" s="136" t="s">
        <v>17208</v>
      </c>
      <c r="I4170" s="136" t="s">
        <v>17208</v>
      </c>
      <c r="J4170" s="136" t="s">
        <v>17209</v>
      </c>
      <c r="L4170" s="136"/>
      <c r="M4170" s="136"/>
      <c r="N4170" s="136"/>
    </row>
    <row r="4171" spans="6:14">
      <c r="F4171" s="136" t="s">
        <v>17210</v>
      </c>
      <c r="G4171" s="136">
        <v>364265981</v>
      </c>
      <c r="H4171" s="136" t="s">
        <v>4701</v>
      </c>
      <c r="I4171" s="136" t="s">
        <v>4701</v>
      </c>
      <c r="J4171" s="136" t="s">
        <v>17211</v>
      </c>
      <c r="L4171" s="136"/>
      <c r="M4171" s="136"/>
      <c r="N4171" s="136"/>
    </row>
    <row r="4172" spans="6:14">
      <c r="F4172" s="136" t="s">
        <v>17212</v>
      </c>
      <c r="G4172" s="136">
        <v>10934622566</v>
      </c>
      <c r="H4172" s="136" t="s">
        <v>1248</v>
      </c>
      <c r="I4172" s="136" t="s">
        <v>1248</v>
      </c>
      <c r="J4172" s="136" t="s">
        <v>17213</v>
      </c>
      <c r="L4172" s="136"/>
      <c r="M4172" s="136"/>
      <c r="N4172" s="136"/>
    </row>
    <row r="4173" spans="6:14">
      <c r="F4173" s="136" t="s">
        <v>17214</v>
      </c>
      <c r="G4173" s="136">
        <v>4170</v>
      </c>
      <c r="H4173" s="136" t="s">
        <v>4124</v>
      </c>
      <c r="I4173" s="136" t="s">
        <v>4124</v>
      </c>
      <c r="J4173" s="136" t="s">
        <v>17215</v>
      </c>
      <c r="L4173" s="136"/>
      <c r="M4173" s="136"/>
      <c r="N4173" s="136"/>
    </row>
    <row r="4174" spans="6:14">
      <c r="F4174" s="136" t="s">
        <v>17216</v>
      </c>
      <c r="G4174" s="136">
        <v>25506908857</v>
      </c>
      <c r="H4174" s="136" t="s">
        <v>5295</v>
      </c>
      <c r="I4174" s="136" t="s">
        <v>5296</v>
      </c>
      <c r="J4174" s="136" t="s">
        <v>17217</v>
      </c>
      <c r="L4174" s="136"/>
      <c r="M4174" s="136"/>
      <c r="N4174" s="136"/>
    </row>
    <row r="4175" spans="6:14">
      <c r="F4175" s="136" t="s">
        <v>17218</v>
      </c>
      <c r="G4175" s="136">
        <v>4172</v>
      </c>
      <c r="H4175" s="136" t="s">
        <v>17219</v>
      </c>
      <c r="I4175" s="136" t="s">
        <v>17220</v>
      </c>
      <c r="J4175" s="136" t="s">
        <v>17221</v>
      </c>
      <c r="L4175" s="136"/>
      <c r="M4175" s="136"/>
      <c r="N4175" s="136"/>
    </row>
    <row r="4176" spans="6:14">
      <c r="F4176" s="136" t="s">
        <v>17222</v>
      </c>
      <c r="G4176" s="136">
        <v>9570909862</v>
      </c>
      <c r="H4176" s="136" t="s">
        <v>4373</v>
      </c>
      <c r="I4176" s="136" t="s">
        <v>4374</v>
      </c>
      <c r="J4176" s="136" t="s">
        <v>17223</v>
      </c>
      <c r="L4176" s="136"/>
      <c r="M4176" s="136"/>
      <c r="N4176" s="136"/>
    </row>
    <row r="4177" spans="6:14">
      <c r="F4177" s="136" t="s">
        <v>17224</v>
      </c>
      <c r="G4177" s="136">
        <v>6260445610</v>
      </c>
      <c r="H4177" s="136" t="s">
        <v>5504</v>
      </c>
      <c r="I4177" s="136" t="s">
        <v>5505</v>
      </c>
      <c r="J4177" s="136" t="s">
        <v>17225</v>
      </c>
      <c r="L4177" s="136"/>
      <c r="M4177" s="136"/>
      <c r="N4177" s="136"/>
    </row>
    <row r="4178" spans="6:14">
      <c r="F4178" s="136" t="s">
        <v>17226</v>
      </c>
      <c r="G4178" s="136">
        <v>32417027828</v>
      </c>
      <c r="H4178" s="136" t="s">
        <v>2544</v>
      </c>
      <c r="I4178" s="136" t="s">
        <v>2544</v>
      </c>
      <c r="J4178" s="136" t="s">
        <v>17227</v>
      </c>
      <c r="L4178" s="136"/>
      <c r="M4178" s="136"/>
      <c r="N4178" s="136"/>
    </row>
    <row r="4179" spans="6:14">
      <c r="F4179" s="136" t="s">
        <v>17228</v>
      </c>
      <c r="G4179" s="136">
        <v>2339883601</v>
      </c>
      <c r="H4179" s="136" t="s">
        <v>6063</v>
      </c>
      <c r="I4179" s="136" t="s">
        <v>6063</v>
      </c>
      <c r="J4179" s="136" t="s">
        <v>17229</v>
      </c>
      <c r="L4179" s="136"/>
      <c r="M4179" s="136"/>
      <c r="N4179" s="136"/>
    </row>
    <row r="4180" spans="6:14">
      <c r="F4180" s="136" t="s">
        <v>17230</v>
      </c>
      <c r="G4180" s="136">
        <v>4177</v>
      </c>
      <c r="H4180" s="136" t="s">
        <v>5799</v>
      </c>
      <c r="I4180" s="136" t="s">
        <v>5799</v>
      </c>
      <c r="J4180" s="136" t="s">
        <v>17231</v>
      </c>
      <c r="L4180" s="136"/>
      <c r="M4180" s="136"/>
      <c r="N4180" s="136"/>
    </row>
    <row r="4181" spans="6:14">
      <c r="F4181" s="136" t="s">
        <v>17232</v>
      </c>
      <c r="G4181" s="136">
        <v>2730041150</v>
      </c>
      <c r="H4181" s="136" t="s">
        <v>1670</v>
      </c>
      <c r="I4181" s="136" t="s">
        <v>1670</v>
      </c>
      <c r="J4181" s="136" t="s">
        <v>17233</v>
      </c>
      <c r="L4181" s="136"/>
      <c r="M4181" s="136"/>
      <c r="N4181" s="136"/>
    </row>
    <row r="4182" spans="6:14">
      <c r="F4182" s="136" t="s">
        <v>17234</v>
      </c>
      <c r="G4182" s="136">
        <v>4179</v>
      </c>
      <c r="H4182" s="136" t="s">
        <v>2461</v>
      </c>
      <c r="I4182" s="136" t="s">
        <v>2462</v>
      </c>
      <c r="J4182" s="136" t="s">
        <v>17235</v>
      </c>
      <c r="L4182" s="136"/>
      <c r="M4182" s="136"/>
      <c r="N4182" s="136"/>
    </row>
    <row r="4183" spans="6:14">
      <c r="F4183" s="136" t="s">
        <v>17236</v>
      </c>
      <c r="G4183" s="136">
        <v>4180</v>
      </c>
      <c r="H4183" s="136" t="s">
        <v>3957</v>
      </c>
      <c r="I4183" s="136" t="s">
        <v>3958</v>
      </c>
      <c r="J4183" s="136" t="s">
        <v>17237</v>
      </c>
      <c r="L4183" s="136"/>
      <c r="M4183" s="136"/>
      <c r="N4183" s="136"/>
    </row>
    <row r="4184" spans="6:14">
      <c r="F4184" s="136" t="s">
        <v>17238</v>
      </c>
      <c r="G4184" s="136">
        <v>4181</v>
      </c>
      <c r="H4184" s="136" t="s">
        <v>402</v>
      </c>
      <c r="I4184" s="136" t="s">
        <v>403</v>
      </c>
      <c r="J4184" s="136" t="s">
        <v>17239</v>
      </c>
      <c r="L4184" s="136"/>
      <c r="M4184" s="136"/>
      <c r="N4184" s="136"/>
    </row>
    <row r="4185" spans="6:14">
      <c r="F4185" s="136" t="s">
        <v>17240</v>
      </c>
      <c r="G4185" s="136">
        <v>4182</v>
      </c>
      <c r="H4185" s="136" t="s">
        <v>480</v>
      </c>
      <c r="I4185" s="136" t="s">
        <v>481</v>
      </c>
      <c r="J4185" s="136" t="s">
        <v>17241</v>
      </c>
      <c r="L4185" s="136"/>
      <c r="M4185" s="136"/>
      <c r="N4185" s="136"/>
    </row>
    <row r="4186" spans="6:14">
      <c r="F4186" s="136" t="s">
        <v>17242</v>
      </c>
      <c r="G4186" s="136">
        <v>4183</v>
      </c>
      <c r="H4186" s="136" t="s">
        <v>4010</v>
      </c>
      <c r="I4186" s="136" t="s">
        <v>4010</v>
      </c>
      <c r="J4186" s="136" t="s">
        <v>17243</v>
      </c>
      <c r="L4186" s="136"/>
      <c r="M4186" s="136"/>
      <c r="N4186" s="136"/>
    </row>
    <row r="4187" spans="6:14">
      <c r="F4187" s="136" t="s">
        <v>17244</v>
      </c>
      <c r="G4187" s="136">
        <v>4184</v>
      </c>
      <c r="H4187" s="136" t="s">
        <v>4347</v>
      </c>
      <c r="I4187" s="136" t="s">
        <v>4348</v>
      </c>
      <c r="J4187" s="136" t="s">
        <v>17245</v>
      </c>
      <c r="L4187" s="136"/>
      <c r="M4187" s="136"/>
      <c r="N4187" s="136"/>
    </row>
    <row r="4188" spans="6:14">
      <c r="F4188" s="136" t="s">
        <v>17246</v>
      </c>
      <c r="G4188" s="136">
        <v>4185</v>
      </c>
      <c r="H4188" s="136" t="s">
        <v>2985</v>
      </c>
      <c r="I4188" s="136" t="s">
        <v>2985</v>
      </c>
      <c r="J4188" s="136" t="s">
        <v>17247</v>
      </c>
      <c r="L4188" s="136"/>
      <c r="M4188" s="136"/>
      <c r="N4188" s="136"/>
    </row>
    <row r="4189" spans="6:14">
      <c r="F4189" s="136" t="s">
        <v>17248</v>
      </c>
      <c r="G4189" s="136">
        <v>4186</v>
      </c>
      <c r="H4189" s="136" t="s">
        <v>3275</v>
      </c>
      <c r="I4189" s="136" t="s">
        <v>3276</v>
      </c>
      <c r="J4189" s="136" t="s">
        <v>17249</v>
      </c>
      <c r="L4189" s="136"/>
      <c r="M4189" s="136"/>
      <c r="N4189" s="136"/>
    </row>
    <row r="4190" spans="6:14">
      <c r="F4190" s="136" t="s">
        <v>17250</v>
      </c>
      <c r="G4190" s="136">
        <v>4187</v>
      </c>
      <c r="H4190" s="136" t="s">
        <v>3231</v>
      </c>
      <c r="I4190" s="136" t="s">
        <v>3232</v>
      </c>
      <c r="J4190" s="136" t="s">
        <v>17251</v>
      </c>
      <c r="L4190" s="136"/>
      <c r="M4190" s="136"/>
      <c r="N4190" s="136"/>
    </row>
    <row r="4191" spans="6:14">
      <c r="F4191" s="136" t="s">
        <v>17252</v>
      </c>
      <c r="G4191" s="136">
        <v>4188</v>
      </c>
      <c r="H4191" s="136" t="s">
        <v>5711</v>
      </c>
      <c r="I4191" s="136" t="s">
        <v>5712</v>
      </c>
      <c r="J4191" s="136" t="s">
        <v>17253</v>
      </c>
      <c r="L4191" s="136"/>
      <c r="M4191" s="136"/>
      <c r="N4191" s="136"/>
    </row>
    <row r="4192" spans="6:14">
      <c r="F4192" s="136" t="s">
        <v>17254</v>
      </c>
      <c r="G4192" s="136">
        <v>4189</v>
      </c>
      <c r="H4192" s="136" t="s">
        <v>17255</v>
      </c>
      <c r="I4192" s="136" t="s">
        <v>17256</v>
      </c>
      <c r="J4192" s="136" t="s">
        <v>17257</v>
      </c>
      <c r="L4192" s="136"/>
      <c r="M4192" s="136"/>
      <c r="N4192" s="136"/>
    </row>
    <row r="4193" spans="6:14">
      <c r="F4193" s="136" t="s">
        <v>17258</v>
      </c>
      <c r="G4193" s="136">
        <v>4190</v>
      </c>
      <c r="H4193" s="136" t="s">
        <v>17259</v>
      </c>
      <c r="I4193" s="136" t="s">
        <v>17260</v>
      </c>
      <c r="J4193" s="136" t="s">
        <v>17261</v>
      </c>
      <c r="L4193" s="136"/>
      <c r="M4193" s="136"/>
      <c r="N4193" s="136"/>
    </row>
    <row r="4194" spans="6:14">
      <c r="F4194" s="136" t="s">
        <v>17262</v>
      </c>
      <c r="G4194" s="136">
        <v>4191</v>
      </c>
      <c r="H4194" s="136" t="s">
        <v>17263</v>
      </c>
      <c r="I4194" s="136" t="s">
        <v>17264</v>
      </c>
      <c r="J4194" s="136" t="s">
        <v>17265</v>
      </c>
      <c r="L4194" s="136"/>
      <c r="M4194" s="136"/>
      <c r="N4194" s="136"/>
    </row>
    <row r="4195" spans="6:14">
      <c r="F4195" s="136" t="s">
        <v>17266</v>
      </c>
      <c r="G4195" s="136">
        <v>4192</v>
      </c>
      <c r="H4195" s="136" t="s">
        <v>17267</v>
      </c>
      <c r="I4195" s="136" t="s">
        <v>17268</v>
      </c>
      <c r="J4195" s="136" t="s">
        <v>17269</v>
      </c>
      <c r="L4195" s="136"/>
      <c r="M4195" s="136"/>
      <c r="N4195" s="136"/>
    </row>
    <row r="4196" spans="6:14">
      <c r="F4196" s="136" t="s">
        <v>17270</v>
      </c>
      <c r="G4196" s="136">
        <v>4193</v>
      </c>
      <c r="H4196" s="136" t="s">
        <v>1553</v>
      </c>
      <c r="I4196" s="136" t="s">
        <v>1554</v>
      </c>
      <c r="J4196" s="136" t="s">
        <v>17271</v>
      </c>
      <c r="L4196" s="136"/>
      <c r="M4196" s="136"/>
      <c r="N4196" s="136"/>
    </row>
    <row r="4197" spans="6:14">
      <c r="F4197" s="136" t="s">
        <v>17272</v>
      </c>
      <c r="G4197" s="136">
        <v>4194</v>
      </c>
      <c r="H4197" s="136" t="s">
        <v>17273</v>
      </c>
      <c r="I4197" s="136" t="s">
        <v>17274</v>
      </c>
      <c r="J4197" s="136" t="s">
        <v>17275</v>
      </c>
      <c r="L4197" s="136"/>
      <c r="M4197" s="136"/>
      <c r="N4197" s="136"/>
    </row>
    <row r="4198" spans="6:14">
      <c r="F4198" s="136" t="s">
        <v>17276</v>
      </c>
      <c r="G4198" s="136">
        <v>7335809983</v>
      </c>
      <c r="H4198" s="136" t="s">
        <v>5282</v>
      </c>
      <c r="I4198" s="136" t="s">
        <v>5282</v>
      </c>
      <c r="J4198" s="136" t="s">
        <v>17277</v>
      </c>
      <c r="L4198" s="136"/>
      <c r="M4198" s="136"/>
      <c r="N4198" s="136"/>
    </row>
    <row r="4199" spans="6:14">
      <c r="F4199" s="136" t="s">
        <v>17278</v>
      </c>
      <c r="G4199" s="136">
        <v>6919805600</v>
      </c>
      <c r="H4199" s="136" t="s">
        <v>3579</v>
      </c>
      <c r="I4199" s="136" t="s">
        <v>3579</v>
      </c>
      <c r="J4199" s="136" t="s">
        <v>17279</v>
      </c>
      <c r="L4199" s="136"/>
      <c r="M4199" s="136"/>
      <c r="N4199" s="136"/>
    </row>
    <row r="4200" spans="6:14">
      <c r="F4200" s="136" t="s">
        <v>17280</v>
      </c>
      <c r="G4200" s="136">
        <v>4197</v>
      </c>
      <c r="H4200" s="136" t="s">
        <v>17281</v>
      </c>
      <c r="I4200" s="136" t="s">
        <v>17282</v>
      </c>
      <c r="J4200" s="136" t="s">
        <v>17283</v>
      </c>
      <c r="L4200" s="136"/>
      <c r="M4200" s="136"/>
      <c r="N4200" s="136"/>
    </row>
    <row r="4201" spans="6:14">
      <c r="F4201" s="136" t="s">
        <v>17284</v>
      </c>
      <c r="G4201" s="136">
        <v>9430620983</v>
      </c>
      <c r="H4201" s="136" t="s">
        <v>129</v>
      </c>
      <c r="I4201" s="136" t="s">
        <v>129</v>
      </c>
      <c r="J4201" s="136" t="s">
        <v>17285</v>
      </c>
      <c r="L4201" s="136"/>
      <c r="M4201" s="136"/>
      <c r="N4201" s="136"/>
    </row>
    <row r="4202" spans="6:14">
      <c r="F4202" s="136" t="s">
        <v>17286</v>
      </c>
      <c r="G4202" s="136">
        <v>4199</v>
      </c>
      <c r="H4202" s="136" t="s">
        <v>17287</v>
      </c>
      <c r="I4202" s="136" t="s">
        <v>17288</v>
      </c>
      <c r="J4202" s="136" t="s">
        <v>17289</v>
      </c>
      <c r="L4202" s="136"/>
      <c r="M4202" s="136"/>
      <c r="N4202" s="136"/>
    </row>
    <row r="4203" spans="6:14">
      <c r="F4203" s="136" t="s">
        <v>17290</v>
      </c>
      <c r="G4203" s="136">
        <v>5427499717</v>
      </c>
      <c r="H4203" s="136" t="s">
        <v>5716</v>
      </c>
      <c r="I4203" s="136" t="s">
        <v>5717</v>
      </c>
      <c r="J4203" s="136" t="s">
        <v>17291</v>
      </c>
      <c r="L4203" s="136"/>
      <c r="M4203" s="136"/>
      <c r="N4203" s="136"/>
    </row>
    <row r="4204" spans="6:14">
      <c r="F4204" s="136" t="s">
        <v>17292</v>
      </c>
      <c r="G4204" s="136">
        <v>88862798415</v>
      </c>
      <c r="H4204" s="136" t="s">
        <v>3886</v>
      </c>
      <c r="I4204" s="136" t="s">
        <v>3886</v>
      </c>
      <c r="J4204" s="136" t="s">
        <v>17293</v>
      </c>
      <c r="L4204" s="136"/>
      <c r="M4204" s="136"/>
      <c r="N4204" s="136"/>
    </row>
    <row r="4205" spans="6:14">
      <c r="F4205" s="136" t="s">
        <v>17294</v>
      </c>
      <c r="G4205" s="136">
        <v>7620466789</v>
      </c>
      <c r="H4205" s="136" t="s">
        <v>3252</v>
      </c>
      <c r="I4205" s="136" t="s">
        <v>3252</v>
      </c>
      <c r="J4205" s="136" t="s">
        <v>17295</v>
      </c>
      <c r="L4205" s="136"/>
      <c r="M4205" s="136"/>
      <c r="N4205" s="136"/>
    </row>
    <row r="4206" spans="6:14">
      <c r="F4206" s="136" t="s">
        <v>17296</v>
      </c>
      <c r="G4206" s="136">
        <v>4203</v>
      </c>
      <c r="H4206" s="136" t="s">
        <v>17297</v>
      </c>
      <c r="I4206" s="136" t="s">
        <v>17298</v>
      </c>
      <c r="J4206" s="136" t="s">
        <v>17299</v>
      </c>
      <c r="L4206" s="136"/>
      <c r="M4206" s="136"/>
      <c r="N4206" s="136"/>
    </row>
    <row r="4207" spans="6:14">
      <c r="F4207" s="136" t="s">
        <v>17300</v>
      </c>
      <c r="G4207" s="136">
        <v>4204</v>
      </c>
      <c r="H4207" s="136" t="s">
        <v>17301</v>
      </c>
      <c r="I4207" s="136" t="s">
        <v>17302</v>
      </c>
      <c r="J4207" s="136" t="s">
        <v>17303</v>
      </c>
      <c r="L4207" s="136"/>
      <c r="M4207" s="136"/>
      <c r="N4207" s="136"/>
    </row>
    <row r="4208" spans="6:14">
      <c r="F4208" s="136" t="s">
        <v>17304</v>
      </c>
      <c r="G4208" s="136">
        <v>4205</v>
      </c>
      <c r="H4208" s="136" t="s">
        <v>17305</v>
      </c>
      <c r="I4208" s="136" t="s">
        <v>17306</v>
      </c>
      <c r="J4208" s="136" t="s">
        <v>17307</v>
      </c>
      <c r="L4208" s="136"/>
      <c r="M4208" s="136"/>
      <c r="N4208" s="136"/>
    </row>
    <row r="4209" spans="6:14">
      <c r="F4209" s="136" t="s">
        <v>17308</v>
      </c>
      <c r="G4209" s="136">
        <v>4206</v>
      </c>
      <c r="H4209" s="136" t="s">
        <v>3373</v>
      </c>
      <c r="I4209" s="136" t="s">
        <v>3374</v>
      </c>
      <c r="J4209" s="136" t="s">
        <v>17309</v>
      </c>
      <c r="L4209" s="136"/>
      <c r="M4209" s="136"/>
      <c r="N4209" s="136"/>
    </row>
    <row r="4210" spans="6:14">
      <c r="F4210" s="136" t="s">
        <v>17310</v>
      </c>
      <c r="G4210" s="136">
        <v>4207</v>
      </c>
      <c r="H4210" s="136" t="s">
        <v>1661</v>
      </c>
      <c r="I4210" s="136" t="s">
        <v>1662</v>
      </c>
      <c r="J4210" s="136" t="s">
        <v>17311</v>
      </c>
      <c r="L4210" s="136"/>
      <c r="M4210" s="136"/>
      <c r="N4210" s="136"/>
    </row>
    <row r="4211" spans="6:14">
      <c r="F4211" s="136" t="s">
        <v>17312</v>
      </c>
      <c r="G4211" s="136">
        <v>4208</v>
      </c>
      <c r="H4211" s="136" t="s">
        <v>1728</v>
      </c>
      <c r="I4211" s="136" t="s">
        <v>1729</v>
      </c>
      <c r="J4211" s="136" t="s">
        <v>17313</v>
      </c>
      <c r="L4211" s="136"/>
      <c r="M4211" s="136"/>
      <c r="N4211" s="136"/>
    </row>
    <row r="4212" spans="6:14">
      <c r="F4212" s="136" t="s">
        <v>17314</v>
      </c>
      <c r="G4212" s="136">
        <v>12905449640</v>
      </c>
      <c r="H4212" s="136" t="s">
        <v>871</v>
      </c>
      <c r="I4212" s="136" t="s">
        <v>871</v>
      </c>
      <c r="J4212" s="136" t="s">
        <v>17315</v>
      </c>
      <c r="L4212" s="136"/>
      <c r="M4212" s="136"/>
      <c r="N4212" s="136"/>
    </row>
    <row r="4213" spans="6:14">
      <c r="F4213" s="136" t="s">
        <v>17316</v>
      </c>
      <c r="G4213" s="136">
        <v>4210</v>
      </c>
      <c r="H4213" s="136" t="s">
        <v>2015</v>
      </c>
      <c r="I4213" s="136" t="s">
        <v>2016</v>
      </c>
      <c r="J4213" s="136" t="s">
        <v>17317</v>
      </c>
      <c r="L4213" s="136"/>
      <c r="M4213" s="136"/>
      <c r="N4213" s="136"/>
    </row>
    <row r="4214" spans="6:14">
      <c r="F4214" s="136" t="s">
        <v>17318</v>
      </c>
      <c r="G4214" s="136">
        <v>4211</v>
      </c>
      <c r="H4214" s="136" t="s">
        <v>3167</v>
      </c>
      <c r="I4214" s="136" t="s">
        <v>3168</v>
      </c>
      <c r="J4214" s="136" t="s">
        <v>17319</v>
      </c>
      <c r="L4214" s="136"/>
      <c r="M4214" s="136"/>
      <c r="N4214" s="136"/>
    </row>
    <row r="4215" spans="6:14">
      <c r="F4215" s="136" t="s">
        <v>17320</v>
      </c>
      <c r="G4215" s="136">
        <v>4212</v>
      </c>
      <c r="H4215" s="136" t="s">
        <v>17321</v>
      </c>
      <c r="I4215" s="136" t="s">
        <v>17322</v>
      </c>
      <c r="J4215" s="136" t="s">
        <v>17323</v>
      </c>
      <c r="L4215" s="136"/>
      <c r="M4215" s="136"/>
      <c r="N4215" s="136"/>
    </row>
    <row r="4216" spans="6:14">
      <c r="F4216" s="136" t="s">
        <v>17324</v>
      </c>
      <c r="G4216" s="136">
        <v>4213</v>
      </c>
      <c r="H4216" s="136" t="s">
        <v>17325</v>
      </c>
      <c r="I4216" s="136" t="s">
        <v>17326</v>
      </c>
      <c r="J4216" s="136" t="s">
        <v>17327</v>
      </c>
      <c r="L4216" s="136"/>
      <c r="M4216" s="136"/>
      <c r="N4216" s="136"/>
    </row>
    <row r="4217" spans="6:14">
      <c r="F4217" s="136" t="s">
        <v>17328</v>
      </c>
      <c r="G4217" s="136">
        <v>4214</v>
      </c>
      <c r="H4217" s="136" t="s">
        <v>17329</v>
      </c>
      <c r="I4217" s="136" t="s">
        <v>17330</v>
      </c>
      <c r="J4217" s="136" t="s">
        <v>17331</v>
      </c>
      <c r="L4217" s="136"/>
      <c r="M4217" s="136"/>
      <c r="N4217" s="136"/>
    </row>
    <row r="4218" spans="6:14">
      <c r="F4218" s="136" t="s">
        <v>17332</v>
      </c>
      <c r="G4218" s="136">
        <v>92618006020</v>
      </c>
      <c r="H4218" s="136" t="s">
        <v>347</v>
      </c>
      <c r="I4218" s="136" t="s">
        <v>347</v>
      </c>
      <c r="J4218" s="136" t="s">
        <v>17333</v>
      </c>
      <c r="L4218" s="136"/>
      <c r="M4218" s="136"/>
      <c r="N4218" s="136"/>
    </row>
    <row r="4219" spans="6:14">
      <c r="F4219" s="136" t="s">
        <v>17334</v>
      </c>
      <c r="G4219" s="136">
        <v>4216</v>
      </c>
      <c r="H4219" s="136" t="s">
        <v>5409</v>
      </c>
      <c r="I4219" s="136" t="s">
        <v>5410</v>
      </c>
      <c r="J4219" s="136" t="s">
        <v>17335</v>
      </c>
      <c r="L4219" s="136"/>
      <c r="M4219" s="136"/>
      <c r="N4219" s="136"/>
    </row>
    <row r="4220" spans="6:14">
      <c r="F4220" s="136" t="s">
        <v>17336</v>
      </c>
      <c r="G4220" s="136">
        <v>4217</v>
      </c>
      <c r="H4220" s="136" t="s">
        <v>4001</v>
      </c>
      <c r="I4220" s="136" t="s">
        <v>4002</v>
      </c>
      <c r="J4220" s="136" t="s">
        <v>17337</v>
      </c>
      <c r="L4220" s="136"/>
      <c r="M4220" s="136"/>
      <c r="N4220" s="136"/>
    </row>
    <row r="4221" spans="6:14">
      <c r="F4221" s="136" t="s">
        <v>17338</v>
      </c>
      <c r="G4221" s="136">
        <v>4218</v>
      </c>
      <c r="H4221" s="136" t="s">
        <v>2246</v>
      </c>
      <c r="I4221" s="136" t="s">
        <v>2247</v>
      </c>
      <c r="J4221" s="136" t="s">
        <v>17339</v>
      </c>
      <c r="L4221" s="136"/>
      <c r="M4221" s="136"/>
      <c r="N4221" s="136"/>
    </row>
    <row r="4222" spans="6:14">
      <c r="F4222" s="136" t="s">
        <v>17340</v>
      </c>
      <c r="G4222" s="136">
        <v>4219</v>
      </c>
      <c r="H4222" s="136" t="s">
        <v>278</v>
      </c>
      <c r="I4222" s="136" t="s">
        <v>278</v>
      </c>
      <c r="J4222" s="136" t="s">
        <v>17341</v>
      </c>
      <c r="L4222" s="136"/>
      <c r="M4222" s="136"/>
      <c r="N4222" s="136"/>
    </row>
    <row r="4223" spans="6:14">
      <c r="F4223" s="136" t="s">
        <v>17342</v>
      </c>
      <c r="G4223" s="136">
        <v>7083374902</v>
      </c>
      <c r="H4223" s="136" t="s">
        <v>3246</v>
      </c>
      <c r="I4223" s="136" t="s">
        <v>3246</v>
      </c>
      <c r="J4223" s="136" t="s">
        <v>17343</v>
      </c>
      <c r="L4223" s="136"/>
      <c r="M4223" s="136"/>
      <c r="N4223" s="136"/>
    </row>
    <row r="4224" spans="6:14">
      <c r="F4224" s="136" t="s">
        <v>17344</v>
      </c>
      <c r="G4224" s="136">
        <v>99055929972</v>
      </c>
      <c r="H4224" s="136" t="s">
        <v>3697</v>
      </c>
      <c r="I4224" s="136" t="s">
        <v>3698</v>
      </c>
      <c r="J4224" s="136" t="s">
        <v>17345</v>
      </c>
      <c r="L4224" s="136"/>
      <c r="M4224" s="136"/>
      <c r="N4224" s="136"/>
    </row>
    <row r="4225" spans="6:14">
      <c r="F4225" s="136" t="s">
        <v>17346</v>
      </c>
      <c r="G4225" s="136">
        <v>4222</v>
      </c>
      <c r="H4225" s="136" t="s">
        <v>17347</v>
      </c>
      <c r="I4225" s="136" t="s">
        <v>17348</v>
      </c>
      <c r="J4225" s="136" t="s">
        <v>17349</v>
      </c>
      <c r="L4225" s="136"/>
      <c r="M4225" s="136"/>
      <c r="N4225" s="136"/>
    </row>
    <row r="4226" spans="6:14">
      <c r="F4226" s="136" t="s">
        <v>17350</v>
      </c>
      <c r="G4226" s="136">
        <v>4223</v>
      </c>
      <c r="H4226" s="136" t="s">
        <v>16944</v>
      </c>
      <c r="I4226" s="136" t="s">
        <v>17351</v>
      </c>
      <c r="J4226" s="136" t="s">
        <v>17352</v>
      </c>
      <c r="L4226" s="136"/>
      <c r="M4226" s="136"/>
      <c r="N4226" s="136"/>
    </row>
    <row r="4227" spans="6:14">
      <c r="F4227" s="136" t="s">
        <v>17353</v>
      </c>
      <c r="G4227" s="136">
        <v>4224</v>
      </c>
      <c r="H4227" s="136" t="s">
        <v>2451</v>
      </c>
      <c r="I4227" s="136" t="s">
        <v>2452</v>
      </c>
      <c r="J4227" s="136" t="s">
        <v>17354</v>
      </c>
      <c r="L4227" s="136"/>
      <c r="M4227" s="136"/>
      <c r="N4227" s="136"/>
    </row>
    <row r="4228" spans="6:14">
      <c r="F4228" s="136" t="s">
        <v>17355</v>
      </c>
      <c r="G4228" s="136">
        <v>4225</v>
      </c>
      <c r="H4228" s="136" t="s">
        <v>3892</v>
      </c>
      <c r="I4228" s="136" t="s">
        <v>3892</v>
      </c>
      <c r="J4228" s="136" t="s">
        <v>17356</v>
      </c>
      <c r="L4228" s="136"/>
      <c r="M4228" s="136"/>
      <c r="N4228" s="136"/>
    </row>
    <row r="4229" spans="6:14">
      <c r="F4229" s="136" t="s">
        <v>17357</v>
      </c>
      <c r="G4229" s="136">
        <v>1210518627</v>
      </c>
      <c r="H4229" s="136" t="s">
        <v>3364</v>
      </c>
      <c r="I4229" s="136" t="s">
        <v>3364</v>
      </c>
      <c r="J4229" s="136" t="s">
        <v>17358</v>
      </c>
      <c r="L4229" s="136"/>
      <c r="M4229" s="136"/>
      <c r="N4229" s="136"/>
    </row>
    <row r="4230" spans="6:14">
      <c r="F4230" s="136" t="s">
        <v>17359</v>
      </c>
      <c r="G4230" s="136">
        <v>91759471291</v>
      </c>
      <c r="H4230" s="136" t="s">
        <v>3150</v>
      </c>
      <c r="I4230" s="136" t="s">
        <v>3151</v>
      </c>
      <c r="J4230" s="136" t="s">
        <v>17360</v>
      </c>
      <c r="L4230" s="136"/>
      <c r="M4230" s="136"/>
      <c r="N4230" s="136"/>
    </row>
    <row r="4231" spans="6:14">
      <c r="F4231" s="136" t="s">
        <v>17361</v>
      </c>
      <c r="G4231" s="136">
        <v>4228</v>
      </c>
      <c r="H4231" s="136" t="s">
        <v>17362</v>
      </c>
      <c r="I4231" s="136" t="s">
        <v>17363</v>
      </c>
      <c r="J4231" s="136" t="s">
        <v>17364</v>
      </c>
      <c r="L4231" s="136"/>
      <c r="M4231" s="136"/>
      <c r="N4231" s="136"/>
    </row>
    <row r="4232" spans="6:14">
      <c r="F4232" s="136" t="s">
        <v>17365</v>
      </c>
      <c r="G4232" s="136">
        <v>81100574700</v>
      </c>
      <c r="H4232" s="136" t="s">
        <v>2244</v>
      </c>
      <c r="I4232" s="136" t="s">
        <v>2245</v>
      </c>
      <c r="J4232" s="136" t="s">
        <v>17366</v>
      </c>
      <c r="L4232" s="136"/>
      <c r="M4232" s="136"/>
      <c r="N4232" s="136"/>
    </row>
    <row r="4233" spans="6:14">
      <c r="F4233" s="136" t="s">
        <v>17367</v>
      </c>
      <c r="G4233" s="136">
        <v>39748491811</v>
      </c>
      <c r="H4233" s="136" t="s">
        <v>1155</v>
      </c>
      <c r="I4233" s="136" t="s">
        <v>1155</v>
      </c>
      <c r="J4233" s="136" t="s">
        <v>17368</v>
      </c>
      <c r="L4233" s="136"/>
      <c r="M4233" s="136"/>
      <c r="N4233" s="136"/>
    </row>
    <row r="4234" spans="6:14">
      <c r="F4234" s="136" t="s">
        <v>17369</v>
      </c>
      <c r="G4234" s="136">
        <v>7633493720</v>
      </c>
      <c r="H4234" s="136" t="s">
        <v>2014</v>
      </c>
      <c r="I4234" s="136" t="s">
        <v>2014</v>
      </c>
      <c r="J4234" s="136" t="s">
        <v>17370</v>
      </c>
      <c r="L4234" s="136"/>
      <c r="M4234" s="136"/>
      <c r="N4234" s="136"/>
    </row>
    <row r="4235" spans="6:14">
      <c r="F4235" s="136" t="s">
        <v>17371</v>
      </c>
      <c r="G4235" s="136">
        <v>4307989112</v>
      </c>
      <c r="H4235" s="136" t="s">
        <v>1669</v>
      </c>
      <c r="I4235" s="136" t="s">
        <v>1669</v>
      </c>
      <c r="J4235" s="136" t="s">
        <v>17372</v>
      </c>
      <c r="L4235" s="136"/>
      <c r="M4235" s="136"/>
      <c r="N4235" s="136"/>
    </row>
    <row r="4236" spans="6:14">
      <c r="F4236" s="136" t="s">
        <v>17373</v>
      </c>
      <c r="G4236" s="136">
        <v>4233</v>
      </c>
      <c r="H4236" s="136" t="s">
        <v>1713</v>
      </c>
      <c r="I4236" s="136" t="s">
        <v>1714</v>
      </c>
      <c r="J4236" s="136" t="s">
        <v>17374</v>
      </c>
      <c r="L4236" s="136"/>
      <c r="M4236" s="136"/>
      <c r="N4236" s="136"/>
    </row>
    <row r="4237" spans="6:14">
      <c r="F4237" s="136" t="s">
        <v>17375</v>
      </c>
      <c r="G4237" s="136">
        <v>4234</v>
      </c>
      <c r="H4237" s="136" t="s">
        <v>548</v>
      </c>
      <c r="I4237" s="136" t="s">
        <v>594</v>
      </c>
      <c r="J4237" s="136" t="s">
        <v>17376</v>
      </c>
      <c r="L4237" s="136"/>
      <c r="M4237" s="136"/>
      <c r="N4237" s="136"/>
    </row>
    <row r="4238" spans="6:14">
      <c r="F4238" s="136" t="s">
        <v>17377</v>
      </c>
      <c r="G4238" s="136">
        <v>32262889899</v>
      </c>
      <c r="H4238" s="136" t="s">
        <v>5523</v>
      </c>
      <c r="I4238" s="136" t="s">
        <v>5523</v>
      </c>
      <c r="J4238" s="136" t="s">
        <v>17378</v>
      </c>
      <c r="L4238" s="136"/>
      <c r="M4238" s="136"/>
      <c r="N4238" s="136"/>
    </row>
    <row r="4239" spans="6:14">
      <c r="F4239" s="136" t="s">
        <v>17379</v>
      </c>
      <c r="G4239" s="136">
        <v>34952448835</v>
      </c>
      <c r="H4239" s="136" t="s">
        <v>3656</v>
      </c>
      <c r="I4239" s="136" t="s">
        <v>3656</v>
      </c>
      <c r="J4239" s="136" t="s">
        <v>17380</v>
      </c>
      <c r="L4239" s="136"/>
      <c r="M4239" s="136"/>
      <c r="N4239" s="136"/>
    </row>
    <row r="4240" spans="6:14">
      <c r="F4240" s="136" t="s">
        <v>17381</v>
      </c>
      <c r="G4240" s="136">
        <v>10675939771</v>
      </c>
      <c r="H4240" s="136" t="s">
        <v>4432</v>
      </c>
      <c r="I4240" s="136" t="s">
        <v>4433</v>
      </c>
      <c r="J4240" s="136" t="s">
        <v>17382</v>
      </c>
      <c r="L4240" s="136"/>
      <c r="M4240" s="136"/>
      <c r="N4240" s="136"/>
    </row>
    <row r="4241" spans="6:14">
      <c r="F4241" s="136" t="s">
        <v>17383</v>
      </c>
      <c r="G4241" s="136">
        <v>4238</v>
      </c>
      <c r="H4241" s="136" t="s">
        <v>4435</v>
      </c>
      <c r="I4241" s="136" t="s">
        <v>4436</v>
      </c>
      <c r="J4241" s="136" t="s">
        <v>17384</v>
      </c>
      <c r="L4241" s="136"/>
      <c r="M4241" s="136"/>
      <c r="N4241" s="136"/>
    </row>
    <row r="4242" spans="6:14">
      <c r="F4242" s="136" t="s">
        <v>17385</v>
      </c>
      <c r="G4242" s="136">
        <v>82634637691</v>
      </c>
      <c r="H4242" s="136" t="s">
        <v>1603</v>
      </c>
      <c r="I4242" s="136" t="s">
        <v>1603</v>
      </c>
      <c r="J4242" s="136" t="s">
        <v>17386</v>
      </c>
      <c r="L4242" s="136"/>
      <c r="M4242" s="136"/>
      <c r="N4242" s="136"/>
    </row>
    <row r="4243" spans="6:14">
      <c r="F4243" s="136" t="s">
        <v>17387</v>
      </c>
      <c r="G4243" s="136">
        <v>4240</v>
      </c>
      <c r="H4243" s="136" t="s">
        <v>3339</v>
      </c>
      <c r="I4243" s="136" t="s">
        <v>3339</v>
      </c>
      <c r="J4243" s="136" t="s">
        <v>17388</v>
      </c>
      <c r="L4243" s="136"/>
      <c r="M4243" s="136"/>
      <c r="N4243" s="136"/>
    </row>
    <row r="4244" spans="6:14">
      <c r="F4244" s="136" t="s">
        <v>17389</v>
      </c>
      <c r="G4244" s="136">
        <v>4241</v>
      </c>
      <c r="H4244" s="136" t="s">
        <v>17390</v>
      </c>
      <c r="I4244" s="136" t="s">
        <v>17391</v>
      </c>
      <c r="J4244" s="136" t="s">
        <v>17392</v>
      </c>
      <c r="L4244" s="136"/>
      <c r="M4244" s="136"/>
      <c r="N4244" s="136"/>
    </row>
    <row r="4245" spans="6:14">
      <c r="F4245" s="136" t="s">
        <v>17393</v>
      </c>
      <c r="G4245" s="136">
        <v>4242</v>
      </c>
      <c r="H4245" s="136" t="s">
        <v>2487</v>
      </c>
      <c r="I4245" s="136" t="s">
        <v>2488</v>
      </c>
      <c r="J4245" s="136" t="s">
        <v>17394</v>
      </c>
      <c r="L4245" s="136"/>
      <c r="M4245" s="136"/>
      <c r="N4245" s="136"/>
    </row>
    <row r="4246" spans="6:14">
      <c r="F4246" s="136" t="s">
        <v>17395</v>
      </c>
      <c r="G4246" s="136">
        <v>10466693702</v>
      </c>
      <c r="H4246" s="136" t="s">
        <v>2055</v>
      </c>
      <c r="I4246" s="136" t="s">
        <v>2055</v>
      </c>
      <c r="J4246" s="136" t="s">
        <v>17396</v>
      </c>
      <c r="L4246" s="136"/>
      <c r="M4246" s="136"/>
      <c r="N4246" s="136"/>
    </row>
    <row r="4247" spans="6:14">
      <c r="F4247" s="136" t="s">
        <v>17397</v>
      </c>
      <c r="G4247" s="136">
        <v>4244</v>
      </c>
      <c r="H4247" s="136" t="s">
        <v>3571</v>
      </c>
      <c r="I4247" s="136" t="s">
        <v>3571</v>
      </c>
      <c r="J4247" s="136" t="s">
        <v>17398</v>
      </c>
      <c r="L4247" s="136"/>
      <c r="M4247" s="136"/>
      <c r="N4247" s="136"/>
    </row>
    <row r="4248" spans="6:14">
      <c r="F4248" s="136" t="s">
        <v>17399</v>
      </c>
      <c r="G4248" s="136">
        <v>4245</v>
      </c>
      <c r="H4248" s="136" t="s">
        <v>3269</v>
      </c>
      <c r="I4248" s="136" t="s">
        <v>3270</v>
      </c>
      <c r="J4248" s="136" t="s">
        <v>17400</v>
      </c>
      <c r="L4248" s="136"/>
      <c r="M4248" s="136"/>
      <c r="N4248" s="136"/>
    </row>
    <row r="4249" spans="6:14">
      <c r="F4249" s="136" t="s">
        <v>17401</v>
      </c>
      <c r="G4249" s="136">
        <v>4246</v>
      </c>
      <c r="H4249" s="136" t="s">
        <v>3716</v>
      </c>
      <c r="I4249" s="136" t="s">
        <v>3716</v>
      </c>
      <c r="J4249" s="136" t="s">
        <v>17402</v>
      </c>
      <c r="L4249" s="136"/>
      <c r="M4249" s="136"/>
      <c r="N4249" s="136"/>
    </row>
    <row r="4250" spans="6:14">
      <c r="F4250" s="136" t="s">
        <v>17403</v>
      </c>
      <c r="G4250" s="136">
        <v>4247</v>
      </c>
      <c r="H4250" s="136" t="s">
        <v>17404</v>
      </c>
      <c r="I4250" s="136" t="s">
        <v>17405</v>
      </c>
      <c r="J4250" s="136" t="s">
        <v>17406</v>
      </c>
      <c r="L4250" s="136"/>
      <c r="M4250" s="136"/>
      <c r="N4250" s="136"/>
    </row>
    <row r="4251" spans="6:14">
      <c r="F4251" s="136" t="s">
        <v>17407</v>
      </c>
      <c r="G4251" s="136">
        <v>3806538697</v>
      </c>
      <c r="H4251" s="136" t="s">
        <v>2525</v>
      </c>
      <c r="I4251" s="136" t="s">
        <v>2525</v>
      </c>
      <c r="J4251" s="136" t="s">
        <v>17408</v>
      </c>
      <c r="L4251" s="136"/>
      <c r="M4251" s="136"/>
      <c r="N4251" s="136"/>
    </row>
    <row r="4252" spans="6:14">
      <c r="F4252" s="136" t="s">
        <v>17409</v>
      </c>
      <c r="G4252" s="136">
        <v>18250951751</v>
      </c>
      <c r="H4252" s="136" t="s">
        <v>200</v>
      </c>
      <c r="I4252" s="136" t="s">
        <v>201</v>
      </c>
      <c r="J4252" s="136" t="s">
        <v>17410</v>
      </c>
      <c r="L4252" s="136"/>
      <c r="M4252" s="136"/>
      <c r="N4252" s="136"/>
    </row>
    <row r="4253" spans="6:14">
      <c r="F4253" s="136" t="s">
        <v>17411</v>
      </c>
      <c r="G4253" s="136">
        <v>2571755048</v>
      </c>
      <c r="H4253" s="136" t="s">
        <v>1814</v>
      </c>
      <c r="I4253" s="136" t="s">
        <v>1815</v>
      </c>
      <c r="J4253" s="136" t="s">
        <v>17412</v>
      </c>
      <c r="L4253" s="136"/>
      <c r="M4253" s="136"/>
      <c r="N4253" s="136"/>
    </row>
    <row r="4254" spans="6:14">
      <c r="F4254" s="136" t="s">
        <v>17413</v>
      </c>
      <c r="G4254" s="136">
        <v>4251</v>
      </c>
      <c r="H4254" s="136" t="s">
        <v>17414</v>
      </c>
      <c r="I4254" s="136" t="s">
        <v>17415</v>
      </c>
      <c r="J4254" s="136" t="s">
        <v>17416</v>
      </c>
      <c r="L4254" s="136"/>
      <c r="M4254" s="136"/>
      <c r="N4254" s="136"/>
    </row>
    <row r="4255" spans="6:14">
      <c r="F4255" s="136" t="s">
        <v>17417</v>
      </c>
      <c r="G4255" s="136">
        <v>10140479945</v>
      </c>
      <c r="H4255" s="136" t="s">
        <v>1567</v>
      </c>
      <c r="I4255" s="136" t="s">
        <v>1568</v>
      </c>
      <c r="J4255" s="136" t="s">
        <v>17418</v>
      </c>
      <c r="L4255" s="136"/>
      <c r="M4255" s="136"/>
      <c r="N4255" s="136"/>
    </row>
    <row r="4256" spans="6:14">
      <c r="F4256" s="136" t="s">
        <v>17419</v>
      </c>
      <c r="G4256" s="136">
        <v>31649709862</v>
      </c>
      <c r="H4256" s="136" t="s">
        <v>3102</v>
      </c>
      <c r="I4256" s="136" t="s">
        <v>3103</v>
      </c>
      <c r="J4256" s="136" t="s">
        <v>17420</v>
      </c>
      <c r="L4256" s="136"/>
      <c r="M4256" s="136"/>
      <c r="N4256" s="136"/>
    </row>
    <row r="4257" spans="6:14">
      <c r="F4257" s="136" t="s">
        <v>17421</v>
      </c>
      <c r="G4257" s="136">
        <v>4254</v>
      </c>
      <c r="H4257" s="136" t="s">
        <v>17422</v>
      </c>
      <c r="I4257" s="136" t="s">
        <v>17423</v>
      </c>
      <c r="J4257" s="136" t="s">
        <v>17424</v>
      </c>
      <c r="L4257" s="136"/>
      <c r="M4257" s="136"/>
      <c r="N4257" s="136"/>
    </row>
    <row r="4258" spans="6:14">
      <c r="F4258" s="136" t="s">
        <v>17425</v>
      </c>
      <c r="G4258" s="136">
        <v>4255</v>
      </c>
      <c r="H4258" s="136" t="s">
        <v>2091</v>
      </c>
      <c r="I4258" s="136" t="s">
        <v>2092</v>
      </c>
      <c r="J4258" s="136" t="s">
        <v>17426</v>
      </c>
      <c r="L4258" s="136"/>
      <c r="M4258" s="136"/>
      <c r="N4258" s="136"/>
    </row>
    <row r="4259" spans="6:14">
      <c r="F4259" s="136" t="s">
        <v>17427</v>
      </c>
      <c r="G4259" s="136">
        <v>4256</v>
      </c>
      <c r="H4259" s="136" t="s">
        <v>17428</v>
      </c>
      <c r="I4259" s="136" t="s">
        <v>17429</v>
      </c>
      <c r="J4259" s="136" t="s">
        <v>17430</v>
      </c>
      <c r="L4259" s="136"/>
      <c r="M4259" s="136"/>
      <c r="N4259" s="136"/>
    </row>
    <row r="4260" spans="6:14">
      <c r="F4260" s="136" t="s">
        <v>17431</v>
      </c>
      <c r="G4260" s="136">
        <v>4257</v>
      </c>
      <c r="H4260" s="136" t="s">
        <v>2093</v>
      </c>
      <c r="I4260" s="136" t="s">
        <v>2094</v>
      </c>
      <c r="J4260" s="136" t="s">
        <v>17432</v>
      </c>
      <c r="L4260" s="136"/>
      <c r="M4260" s="136"/>
      <c r="N4260" s="136"/>
    </row>
    <row r="4261" spans="6:14">
      <c r="F4261" s="136" t="s">
        <v>17433</v>
      </c>
      <c r="G4261" s="136">
        <v>5585806459</v>
      </c>
      <c r="H4261" s="136" t="s">
        <v>5813</v>
      </c>
      <c r="I4261" s="136" t="s">
        <v>5814</v>
      </c>
      <c r="J4261" s="136" t="s">
        <v>17434</v>
      </c>
      <c r="L4261" s="136"/>
      <c r="M4261" s="136"/>
      <c r="N4261" s="136"/>
    </row>
    <row r="4262" spans="6:14">
      <c r="F4262" s="136" t="s">
        <v>17435</v>
      </c>
      <c r="G4262" s="136">
        <v>13493992726</v>
      </c>
      <c r="H4262" s="136" t="s">
        <v>312</v>
      </c>
      <c r="I4262" s="136" t="s">
        <v>312</v>
      </c>
      <c r="J4262" s="136" t="s">
        <v>17436</v>
      </c>
      <c r="L4262" s="136"/>
      <c r="M4262" s="136"/>
      <c r="N4262" s="136"/>
    </row>
    <row r="4263" spans="6:14">
      <c r="F4263" s="136" t="s">
        <v>17437</v>
      </c>
      <c r="G4263" s="136">
        <v>1304960145</v>
      </c>
      <c r="H4263" s="136" t="s">
        <v>884</v>
      </c>
      <c r="I4263" s="136" t="s">
        <v>884</v>
      </c>
      <c r="J4263" s="136" t="s">
        <v>17438</v>
      </c>
      <c r="L4263" s="136"/>
      <c r="M4263" s="136"/>
      <c r="N4263" s="136"/>
    </row>
    <row r="4264" spans="6:14">
      <c r="F4264" s="136" t="s">
        <v>17439</v>
      </c>
      <c r="G4264" s="136">
        <v>13557125645</v>
      </c>
      <c r="H4264" s="136" t="s">
        <v>3441</v>
      </c>
      <c r="I4264" s="136" t="s">
        <v>3441</v>
      </c>
      <c r="J4264" s="136" t="s">
        <v>17440</v>
      </c>
      <c r="L4264" s="136"/>
      <c r="M4264" s="136"/>
      <c r="N4264" s="136"/>
    </row>
    <row r="4265" spans="6:14">
      <c r="F4265" s="136" t="s">
        <v>17441</v>
      </c>
      <c r="G4265" s="136">
        <v>4262</v>
      </c>
      <c r="H4265" s="136" t="s">
        <v>1622</v>
      </c>
      <c r="I4265" s="136" t="s">
        <v>1631</v>
      </c>
      <c r="J4265" s="136" t="s">
        <v>17442</v>
      </c>
      <c r="L4265" s="136"/>
      <c r="M4265" s="136"/>
      <c r="N4265" s="136"/>
    </row>
    <row r="4266" spans="6:14">
      <c r="F4266" s="136" t="s">
        <v>17443</v>
      </c>
      <c r="G4266" s="136">
        <v>4263</v>
      </c>
      <c r="H4266" s="136" t="s">
        <v>2672</v>
      </c>
      <c r="I4266" s="136" t="s">
        <v>2673</v>
      </c>
      <c r="J4266" s="136" t="s">
        <v>17444</v>
      </c>
      <c r="L4266" s="136"/>
      <c r="M4266" s="136"/>
      <c r="N4266" s="136"/>
    </row>
    <row r="4267" spans="6:14">
      <c r="F4267" s="136" t="s">
        <v>17445</v>
      </c>
      <c r="G4267" s="136">
        <v>31425495877</v>
      </c>
      <c r="H4267" s="136" t="s">
        <v>1735</v>
      </c>
      <c r="I4267" s="136" t="s">
        <v>1736</v>
      </c>
      <c r="J4267" s="136" t="s">
        <v>17446</v>
      </c>
      <c r="L4267" s="136"/>
      <c r="M4267" s="136"/>
      <c r="N4267" s="136"/>
    </row>
    <row r="4268" spans="6:14">
      <c r="F4268" s="136" t="s">
        <v>17447</v>
      </c>
      <c r="G4268" s="136">
        <v>16493119740</v>
      </c>
      <c r="H4268" s="136" t="s">
        <v>247</v>
      </c>
      <c r="I4268" s="136" t="s">
        <v>248</v>
      </c>
      <c r="J4268" s="136" t="s">
        <v>17448</v>
      </c>
      <c r="L4268" s="136"/>
      <c r="M4268" s="136"/>
      <c r="N4268" s="136"/>
    </row>
    <row r="4269" spans="6:14">
      <c r="F4269" s="136" t="s">
        <v>17449</v>
      </c>
      <c r="G4269" s="136">
        <v>4266</v>
      </c>
      <c r="H4269" s="136" t="s">
        <v>1089</v>
      </c>
      <c r="I4269" s="136" t="s">
        <v>1090</v>
      </c>
      <c r="J4269" s="136" t="s">
        <v>17450</v>
      </c>
      <c r="L4269" s="136"/>
      <c r="M4269" s="136"/>
      <c r="N4269" s="136"/>
    </row>
    <row r="4270" spans="6:14">
      <c r="F4270" s="136" t="s">
        <v>17451</v>
      </c>
      <c r="G4270" s="136">
        <v>4267</v>
      </c>
      <c r="H4270" s="136" t="s">
        <v>2259</v>
      </c>
      <c r="I4270" s="136" t="s">
        <v>2259</v>
      </c>
      <c r="J4270" s="136" t="s">
        <v>17452</v>
      </c>
      <c r="L4270" s="136"/>
      <c r="M4270" s="136"/>
      <c r="N4270" s="136"/>
    </row>
    <row r="4271" spans="6:14">
      <c r="F4271" s="136" t="s">
        <v>17453</v>
      </c>
      <c r="G4271" s="136">
        <v>44387963859</v>
      </c>
      <c r="H4271" s="136" t="s">
        <v>453</v>
      </c>
      <c r="I4271" s="136" t="s">
        <v>453</v>
      </c>
      <c r="J4271" s="136" t="s">
        <v>17454</v>
      </c>
      <c r="L4271" s="136"/>
      <c r="M4271" s="136"/>
      <c r="N4271" s="136"/>
    </row>
    <row r="4272" spans="6:14">
      <c r="F4272" s="136" t="s">
        <v>17455</v>
      </c>
      <c r="G4272" s="136">
        <v>13626179702</v>
      </c>
      <c r="H4272" s="136" t="s">
        <v>1542</v>
      </c>
      <c r="I4272" s="136" t="s">
        <v>1543</v>
      </c>
      <c r="J4272" s="136" t="s">
        <v>17456</v>
      </c>
      <c r="L4272" s="136"/>
      <c r="M4272" s="136"/>
      <c r="N4272" s="136"/>
    </row>
    <row r="4273" spans="6:14">
      <c r="F4273" s="136" t="s">
        <v>17457</v>
      </c>
      <c r="G4273" s="136">
        <v>9503407745</v>
      </c>
      <c r="H4273" s="136" t="s">
        <v>2981</v>
      </c>
      <c r="I4273" s="136" t="s">
        <v>2981</v>
      </c>
      <c r="J4273" s="136" t="s">
        <v>17458</v>
      </c>
      <c r="L4273" s="136"/>
      <c r="M4273" s="136"/>
      <c r="N4273" s="136"/>
    </row>
    <row r="4274" spans="6:14">
      <c r="F4274" s="136" t="s">
        <v>17459</v>
      </c>
      <c r="G4274" s="136">
        <v>4271</v>
      </c>
      <c r="H4274" s="136" t="s">
        <v>24593</v>
      </c>
      <c r="I4274" s="136" t="s">
        <v>24594</v>
      </c>
      <c r="J4274" s="136" t="s">
        <v>17460</v>
      </c>
      <c r="L4274" s="136"/>
      <c r="M4274" s="136"/>
      <c r="N4274" s="136"/>
    </row>
    <row r="4275" spans="6:14">
      <c r="F4275" s="136" t="s">
        <v>17461</v>
      </c>
      <c r="G4275" s="136">
        <v>4272</v>
      </c>
      <c r="H4275" s="136" t="s">
        <v>3091</v>
      </c>
      <c r="I4275" s="136" t="s">
        <v>3091</v>
      </c>
      <c r="J4275" s="136" t="s">
        <v>17462</v>
      </c>
      <c r="L4275" s="136"/>
      <c r="M4275" s="136"/>
      <c r="N4275" s="136"/>
    </row>
    <row r="4276" spans="6:14">
      <c r="F4276" s="136" t="s">
        <v>17463</v>
      </c>
      <c r="G4276" s="136">
        <v>2228100170</v>
      </c>
      <c r="H4276" s="136" t="s">
        <v>240</v>
      </c>
      <c r="I4276" s="136" t="s">
        <v>240</v>
      </c>
      <c r="J4276" s="136" t="s">
        <v>17464</v>
      </c>
      <c r="L4276" s="136"/>
      <c r="M4276" s="136"/>
      <c r="N4276" s="136"/>
    </row>
    <row r="4277" spans="6:14">
      <c r="F4277" s="136" t="s">
        <v>17465</v>
      </c>
      <c r="G4277" s="136">
        <v>4274</v>
      </c>
      <c r="H4277" s="136" t="s">
        <v>13795</v>
      </c>
      <c r="I4277" s="136" t="s">
        <v>13796</v>
      </c>
      <c r="J4277" s="136" t="s">
        <v>17466</v>
      </c>
      <c r="L4277" s="136"/>
      <c r="M4277" s="136"/>
      <c r="N4277" s="136"/>
    </row>
    <row r="4278" spans="6:14">
      <c r="F4278" s="136" t="s">
        <v>17467</v>
      </c>
      <c r="G4278" s="136">
        <v>89726278791</v>
      </c>
      <c r="H4278" s="136" t="s">
        <v>5317</v>
      </c>
      <c r="I4278" s="136" t="s">
        <v>5318</v>
      </c>
      <c r="J4278" s="136" t="s">
        <v>17468</v>
      </c>
      <c r="L4278" s="136"/>
      <c r="M4278" s="136"/>
      <c r="N4278" s="136"/>
    </row>
    <row r="4279" spans="6:14">
      <c r="F4279" s="136" t="s">
        <v>17469</v>
      </c>
      <c r="G4279" s="136">
        <v>4276</v>
      </c>
      <c r="H4279" s="136" t="s">
        <v>17470</v>
      </c>
      <c r="I4279" s="136" t="s">
        <v>17471</v>
      </c>
      <c r="J4279" s="136" t="s">
        <v>17472</v>
      </c>
      <c r="L4279" s="136"/>
      <c r="M4279" s="136"/>
      <c r="N4279" s="136"/>
    </row>
    <row r="4280" spans="6:14">
      <c r="F4280" s="136" t="s">
        <v>17473</v>
      </c>
      <c r="G4280" s="136">
        <v>4583158777</v>
      </c>
      <c r="H4280" s="136" t="s">
        <v>85</v>
      </c>
      <c r="I4280" s="136" t="s">
        <v>86</v>
      </c>
      <c r="J4280" s="136" t="s">
        <v>17474</v>
      </c>
      <c r="L4280" s="136"/>
      <c r="M4280" s="136"/>
      <c r="N4280" s="136"/>
    </row>
    <row r="4281" spans="6:14">
      <c r="F4281" s="136" t="s">
        <v>17475</v>
      </c>
      <c r="G4281" s="136">
        <v>5441380667</v>
      </c>
      <c r="H4281" s="136" t="s">
        <v>6128</v>
      </c>
      <c r="I4281" s="136" t="s">
        <v>6128</v>
      </c>
      <c r="J4281" s="136" t="s">
        <v>17476</v>
      </c>
      <c r="L4281" s="136"/>
      <c r="M4281" s="136"/>
      <c r="N4281" s="136"/>
    </row>
    <row r="4282" spans="6:14">
      <c r="F4282" s="136" t="s">
        <v>17477</v>
      </c>
      <c r="G4282" s="136">
        <v>4279</v>
      </c>
      <c r="H4282" s="136" t="s">
        <v>17478</v>
      </c>
      <c r="I4282" s="136" t="s">
        <v>17478</v>
      </c>
      <c r="J4282" s="136" t="s">
        <v>17479</v>
      </c>
      <c r="L4282" s="136"/>
      <c r="M4282" s="136"/>
      <c r="N4282" s="136"/>
    </row>
    <row r="4283" spans="6:14">
      <c r="F4283" s="136" t="s">
        <v>17480</v>
      </c>
      <c r="G4283" s="136">
        <v>36513079802</v>
      </c>
      <c r="H4283" s="136" t="s">
        <v>2235</v>
      </c>
      <c r="I4283" s="136" t="s">
        <v>2235</v>
      </c>
      <c r="J4283" s="136" t="s">
        <v>17481</v>
      </c>
      <c r="L4283" s="136"/>
      <c r="M4283" s="136"/>
      <c r="N4283" s="136"/>
    </row>
    <row r="4284" spans="6:14">
      <c r="F4284" s="136" t="s">
        <v>17482</v>
      </c>
      <c r="G4284" s="136">
        <v>13037180730</v>
      </c>
      <c r="H4284" s="136" t="s">
        <v>5034</v>
      </c>
      <c r="I4284" s="136" t="s">
        <v>5034</v>
      </c>
      <c r="J4284" s="136" t="s">
        <v>17483</v>
      </c>
      <c r="L4284" s="136"/>
      <c r="M4284" s="136"/>
      <c r="N4284" s="136"/>
    </row>
    <row r="4285" spans="6:14">
      <c r="F4285" s="136" t="s">
        <v>17484</v>
      </c>
      <c r="G4285" s="136">
        <v>4282</v>
      </c>
      <c r="H4285" s="136" t="s">
        <v>5757</v>
      </c>
      <c r="I4285" s="136" t="s">
        <v>5758</v>
      </c>
      <c r="J4285" s="136" t="s">
        <v>17485</v>
      </c>
      <c r="L4285" s="136"/>
      <c r="M4285" s="136"/>
      <c r="N4285" s="136"/>
    </row>
    <row r="4286" spans="6:14">
      <c r="F4286" s="136" t="s">
        <v>17486</v>
      </c>
      <c r="G4286" s="136">
        <v>40973082895</v>
      </c>
      <c r="H4286" s="136" t="s">
        <v>2255</v>
      </c>
      <c r="I4286" s="136" t="s">
        <v>2255</v>
      </c>
      <c r="J4286" s="136" t="s">
        <v>17487</v>
      </c>
      <c r="L4286" s="136"/>
      <c r="M4286" s="136"/>
      <c r="N4286" s="136"/>
    </row>
    <row r="4287" spans="6:14">
      <c r="F4287" s="136" t="s">
        <v>17488</v>
      </c>
      <c r="G4287" s="136">
        <v>9831430727</v>
      </c>
      <c r="H4287" s="136" t="s">
        <v>2264</v>
      </c>
      <c r="I4287" s="136" t="s">
        <v>2265</v>
      </c>
      <c r="J4287" s="136" t="s">
        <v>17489</v>
      </c>
      <c r="L4287" s="136"/>
      <c r="M4287" s="136"/>
      <c r="N4287" s="136"/>
    </row>
    <row r="4288" spans="6:14">
      <c r="F4288" s="136" t="s">
        <v>17490</v>
      </c>
      <c r="G4288" s="136">
        <v>22891481801</v>
      </c>
      <c r="H4288" s="136" t="s">
        <v>971</v>
      </c>
      <c r="I4288" s="136" t="s">
        <v>971</v>
      </c>
      <c r="J4288" s="136" t="s">
        <v>17491</v>
      </c>
      <c r="L4288" s="136"/>
      <c r="M4288" s="136"/>
      <c r="N4288" s="136"/>
    </row>
    <row r="4289" spans="6:14">
      <c r="F4289" s="136" t="s">
        <v>17492</v>
      </c>
      <c r="G4289" s="136">
        <v>2557784494</v>
      </c>
      <c r="H4289" s="136" t="s">
        <v>3883</v>
      </c>
      <c r="I4289" s="136" t="s">
        <v>3883</v>
      </c>
      <c r="J4289" s="136" t="s">
        <v>17493</v>
      </c>
      <c r="L4289" s="136"/>
      <c r="M4289" s="136"/>
      <c r="N4289" s="136"/>
    </row>
    <row r="4290" spans="6:14">
      <c r="F4290" s="136" t="s">
        <v>17494</v>
      </c>
      <c r="G4290" s="136">
        <v>4287</v>
      </c>
      <c r="H4290" s="136" t="s">
        <v>1636</v>
      </c>
      <c r="I4290" s="136" t="s">
        <v>1644</v>
      </c>
      <c r="J4290" s="136" t="s">
        <v>17495</v>
      </c>
      <c r="L4290" s="136"/>
      <c r="M4290" s="136"/>
      <c r="N4290" s="136"/>
    </row>
    <row r="4291" spans="6:14">
      <c r="F4291" s="136" t="s">
        <v>17496</v>
      </c>
      <c r="G4291" s="136">
        <v>4288</v>
      </c>
      <c r="H4291" s="136" t="s">
        <v>1649</v>
      </c>
      <c r="I4291" s="136" t="s">
        <v>1652</v>
      </c>
      <c r="J4291" s="136" t="s">
        <v>17497</v>
      </c>
      <c r="L4291" s="136"/>
      <c r="M4291" s="136"/>
      <c r="N4291" s="136"/>
    </row>
    <row r="4292" spans="6:14">
      <c r="F4292" s="136" t="s">
        <v>17498</v>
      </c>
      <c r="G4292" s="136">
        <v>4289</v>
      </c>
      <c r="H4292" s="136" t="s">
        <v>983</v>
      </c>
      <c r="I4292" s="136" t="s">
        <v>983</v>
      </c>
      <c r="J4292" s="136" t="s">
        <v>17499</v>
      </c>
      <c r="L4292" s="136"/>
      <c r="M4292" s="136"/>
      <c r="N4292" s="136"/>
    </row>
    <row r="4293" spans="6:14">
      <c r="F4293" s="136" t="s">
        <v>17500</v>
      </c>
      <c r="G4293" s="136">
        <v>4290</v>
      </c>
      <c r="H4293" s="136" t="s">
        <v>3277</v>
      </c>
      <c r="I4293" s="136" t="s">
        <v>3277</v>
      </c>
      <c r="J4293" s="136" t="s">
        <v>17501</v>
      </c>
      <c r="L4293" s="136"/>
      <c r="M4293" s="136"/>
      <c r="N4293" s="136"/>
    </row>
    <row r="4294" spans="6:14">
      <c r="F4294" s="136" t="s">
        <v>17502</v>
      </c>
      <c r="G4294" s="136">
        <v>7087786822</v>
      </c>
      <c r="H4294" s="136" t="s">
        <v>1813</v>
      </c>
      <c r="I4294" s="136" t="s">
        <v>1813</v>
      </c>
      <c r="J4294" s="136" t="s">
        <v>17503</v>
      </c>
      <c r="L4294" s="136"/>
      <c r="M4294" s="136"/>
      <c r="N4294" s="136"/>
    </row>
    <row r="4295" spans="6:14">
      <c r="F4295" s="136" t="s">
        <v>17504</v>
      </c>
      <c r="G4295" s="136">
        <v>4292</v>
      </c>
      <c r="H4295" s="136" t="s">
        <v>17505</v>
      </c>
      <c r="I4295" s="136" t="s">
        <v>17506</v>
      </c>
      <c r="J4295" s="136" t="s">
        <v>17507</v>
      </c>
      <c r="L4295" s="136"/>
      <c r="M4295" s="136"/>
      <c r="N4295" s="136"/>
    </row>
    <row r="4296" spans="6:14">
      <c r="F4296" s="136" t="s">
        <v>17508</v>
      </c>
      <c r="G4296" s="136">
        <v>4293</v>
      </c>
      <c r="H4296" s="136" t="s">
        <v>5153</v>
      </c>
      <c r="I4296" s="136" t="s">
        <v>5154</v>
      </c>
      <c r="J4296" s="136" t="s">
        <v>17509</v>
      </c>
      <c r="L4296" s="136"/>
      <c r="M4296" s="136"/>
      <c r="N4296" s="136"/>
    </row>
    <row r="4297" spans="6:14">
      <c r="F4297" s="136" t="s">
        <v>17510</v>
      </c>
      <c r="G4297" s="136">
        <v>4294</v>
      </c>
      <c r="H4297" s="136" t="s">
        <v>17511</v>
      </c>
      <c r="I4297" s="136" t="s">
        <v>17512</v>
      </c>
      <c r="J4297" s="136" t="s">
        <v>17513</v>
      </c>
      <c r="L4297" s="136"/>
      <c r="M4297" s="136"/>
      <c r="N4297" s="136"/>
    </row>
    <row r="4298" spans="6:14">
      <c r="F4298" s="136" t="s">
        <v>17514</v>
      </c>
      <c r="G4298" s="136">
        <v>4295</v>
      </c>
      <c r="H4298" s="136" t="s">
        <v>1760</v>
      </c>
      <c r="I4298" s="136" t="s">
        <v>1761</v>
      </c>
      <c r="J4298" s="136" t="s">
        <v>17515</v>
      </c>
      <c r="L4298" s="136"/>
      <c r="M4298" s="136"/>
      <c r="N4298" s="136"/>
    </row>
    <row r="4299" spans="6:14">
      <c r="F4299" s="136" t="s">
        <v>17516</v>
      </c>
      <c r="G4299" s="136">
        <v>15688335718</v>
      </c>
      <c r="H4299" s="136" t="s">
        <v>2989</v>
      </c>
      <c r="I4299" s="136" t="s">
        <v>2989</v>
      </c>
      <c r="J4299" s="136" t="s">
        <v>17517</v>
      </c>
      <c r="L4299" s="136"/>
      <c r="M4299" s="136"/>
      <c r="N4299" s="136"/>
    </row>
    <row r="4300" spans="6:14">
      <c r="F4300" s="136" t="s">
        <v>17518</v>
      </c>
      <c r="G4300" s="136">
        <v>11455854697</v>
      </c>
      <c r="H4300" s="136" t="s">
        <v>1444</v>
      </c>
      <c r="I4300" s="136" t="s">
        <v>1444</v>
      </c>
      <c r="J4300" s="136" t="s">
        <v>17519</v>
      </c>
      <c r="L4300" s="136"/>
      <c r="M4300" s="136"/>
      <c r="N4300" s="136"/>
    </row>
    <row r="4301" spans="6:14">
      <c r="F4301" s="136" t="s">
        <v>17520</v>
      </c>
      <c r="G4301" s="136">
        <v>73839329353</v>
      </c>
      <c r="H4301" s="136" t="s">
        <v>3340</v>
      </c>
      <c r="I4301" s="136" t="s">
        <v>3341</v>
      </c>
      <c r="J4301" s="136" t="s">
        <v>17521</v>
      </c>
      <c r="L4301" s="136"/>
      <c r="M4301" s="136"/>
      <c r="N4301" s="136"/>
    </row>
    <row r="4302" spans="6:14">
      <c r="F4302" s="136" t="s">
        <v>17522</v>
      </c>
      <c r="G4302" s="136">
        <v>4299</v>
      </c>
      <c r="H4302" s="136" t="s">
        <v>5500</v>
      </c>
      <c r="I4302" s="136" t="s">
        <v>5501</v>
      </c>
      <c r="J4302" s="136" t="s">
        <v>17523</v>
      </c>
      <c r="L4302" s="136"/>
      <c r="M4302" s="136"/>
      <c r="N4302" s="136"/>
    </row>
    <row r="4303" spans="6:14">
      <c r="F4303" s="136" t="s">
        <v>17524</v>
      </c>
      <c r="G4303" s="136">
        <v>4300</v>
      </c>
      <c r="H4303" s="136" t="s">
        <v>17525</v>
      </c>
      <c r="I4303" s="136" t="s">
        <v>2059</v>
      </c>
      <c r="J4303" s="136" t="s">
        <v>17526</v>
      </c>
      <c r="L4303" s="136"/>
      <c r="M4303" s="136"/>
      <c r="N4303" s="136"/>
    </row>
    <row r="4304" spans="6:14">
      <c r="F4304" s="136" t="s">
        <v>17527</v>
      </c>
      <c r="G4304" s="136">
        <v>5481193760</v>
      </c>
      <c r="H4304" s="136" t="s">
        <v>874</v>
      </c>
      <c r="I4304" s="136" t="s">
        <v>875</v>
      </c>
      <c r="J4304" s="136" t="s">
        <v>17528</v>
      </c>
      <c r="L4304" s="136"/>
      <c r="M4304" s="136"/>
      <c r="N4304" s="136"/>
    </row>
    <row r="4305" spans="6:14">
      <c r="F4305" s="136" t="s">
        <v>17529</v>
      </c>
      <c r="G4305" s="136">
        <v>4302</v>
      </c>
      <c r="H4305" s="136" t="s">
        <v>3658</v>
      </c>
      <c r="I4305" s="136" t="s">
        <v>3659</v>
      </c>
      <c r="J4305" s="136" t="s">
        <v>17530</v>
      </c>
      <c r="L4305" s="136"/>
      <c r="M4305" s="136"/>
      <c r="N4305" s="136"/>
    </row>
    <row r="4306" spans="6:14">
      <c r="F4306" s="136" t="s">
        <v>17531</v>
      </c>
      <c r="G4306" s="136">
        <v>5958418483</v>
      </c>
      <c r="H4306" s="136" t="s">
        <v>4218</v>
      </c>
      <c r="I4306" s="136" t="s">
        <v>4218</v>
      </c>
      <c r="J4306" s="136" t="s">
        <v>17532</v>
      </c>
      <c r="L4306" s="136"/>
      <c r="M4306" s="136"/>
      <c r="N4306" s="136"/>
    </row>
    <row r="4307" spans="6:14">
      <c r="F4307" s="136" t="s">
        <v>17533</v>
      </c>
      <c r="G4307" s="136">
        <v>331441250</v>
      </c>
      <c r="H4307" s="136" t="s">
        <v>3521</v>
      </c>
      <c r="I4307" s="136" t="s">
        <v>3522</v>
      </c>
      <c r="J4307" s="136" t="s">
        <v>17534</v>
      </c>
      <c r="L4307" s="136"/>
      <c r="M4307" s="136"/>
      <c r="N4307" s="136"/>
    </row>
    <row r="4308" spans="6:14">
      <c r="F4308" s="136" t="s">
        <v>17535</v>
      </c>
      <c r="G4308" s="136">
        <v>40948314877</v>
      </c>
      <c r="H4308" s="136" t="s">
        <v>4368</v>
      </c>
      <c r="I4308" s="136" t="s">
        <v>4368</v>
      </c>
      <c r="J4308" s="136" t="s">
        <v>17536</v>
      </c>
      <c r="L4308" s="136"/>
      <c r="M4308" s="136"/>
      <c r="N4308" s="136"/>
    </row>
    <row r="4309" spans="6:14">
      <c r="F4309" s="136" t="s">
        <v>17537</v>
      </c>
      <c r="G4309" s="136">
        <v>4306</v>
      </c>
      <c r="H4309" s="136" t="s">
        <v>17538</v>
      </c>
      <c r="I4309" s="136" t="s">
        <v>17539</v>
      </c>
      <c r="J4309" s="136" t="s">
        <v>17540</v>
      </c>
      <c r="L4309" s="136"/>
      <c r="M4309" s="136"/>
      <c r="N4309" s="136"/>
    </row>
    <row r="4310" spans="6:14">
      <c r="F4310" s="136" t="s">
        <v>17541</v>
      </c>
      <c r="G4310" s="136">
        <v>6997774610</v>
      </c>
      <c r="H4310" s="136" t="s">
        <v>3051</v>
      </c>
      <c r="I4310" s="136" t="s">
        <v>3051</v>
      </c>
      <c r="J4310" s="136" t="s">
        <v>17542</v>
      </c>
      <c r="L4310" s="136"/>
      <c r="M4310" s="136"/>
      <c r="N4310" s="136"/>
    </row>
    <row r="4311" spans="6:14">
      <c r="F4311" s="136" t="s">
        <v>17543</v>
      </c>
      <c r="G4311" s="136">
        <v>13227422786</v>
      </c>
      <c r="H4311" s="136" t="s">
        <v>986</v>
      </c>
      <c r="I4311" s="136" t="s">
        <v>987</v>
      </c>
      <c r="J4311" s="136" t="s">
        <v>17544</v>
      </c>
      <c r="L4311" s="136"/>
      <c r="M4311" s="136"/>
      <c r="N4311" s="136"/>
    </row>
    <row r="4312" spans="6:14">
      <c r="F4312" s="136" t="s">
        <v>17545</v>
      </c>
      <c r="G4312" s="136">
        <v>4309</v>
      </c>
      <c r="H4312" s="136" t="s">
        <v>5066</v>
      </c>
      <c r="I4312" s="136" t="s">
        <v>5066</v>
      </c>
      <c r="J4312" s="136" t="s">
        <v>17546</v>
      </c>
      <c r="L4312" s="136"/>
      <c r="M4312" s="136"/>
      <c r="N4312" s="136"/>
    </row>
    <row r="4313" spans="6:14">
      <c r="F4313" s="136" t="s">
        <v>17547</v>
      </c>
      <c r="G4313" s="136">
        <v>4310</v>
      </c>
      <c r="H4313" s="136" t="s">
        <v>3714</v>
      </c>
      <c r="I4313" s="136" t="s">
        <v>3714</v>
      </c>
      <c r="J4313" s="136" t="s">
        <v>17548</v>
      </c>
      <c r="L4313" s="136"/>
      <c r="M4313" s="136"/>
      <c r="N4313" s="136"/>
    </row>
    <row r="4314" spans="6:14">
      <c r="F4314" s="136" t="s">
        <v>17549</v>
      </c>
      <c r="G4314" s="136">
        <v>4311</v>
      </c>
      <c r="H4314" s="136" t="s">
        <v>2260</v>
      </c>
      <c r="I4314" s="136" t="s">
        <v>2260</v>
      </c>
      <c r="J4314" s="136" t="s">
        <v>17550</v>
      </c>
      <c r="L4314" s="136"/>
      <c r="M4314" s="136"/>
      <c r="N4314" s="136"/>
    </row>
    <row r="4315" spans="6:14">
      <c r="F4315" s="136" t="s">
        <v>17551</v>
      </c>
      <c r="G4315" s="136">
        <v>4312</v>
      </c>
      <c r="H4315" s="136" t="s">
        <v>807</v>
      </c>
      <c r="I4315" s="136" t="s">
        <v>808</v>
      </c>
      <c r="J4315" s="136" t="s">
        <v>17552</v>
      </c>
      <c r="L4315" s="136"/>
      <c r="M4315" s="136"/>
      <c r="N4315" s="136"/>
    </row>
    <row r="4316" spans="6:14">
      <c r="F4316" s="136" t="s">
        <v>17553</v>
      </c>
      <c r="G4316" s="136">
        <v>11931645752</v>
      </c>
      <c r="H4316" s="136" t="s">
        <v>199</v>
      </c>
      <c r="I4316" s="136" t="s">
        <v>199</v>
      </c>
      <c r="J4316" s="136" t="s">
        <v>17554</v>
      </c>
      <c r="L4316" s="136"/>
      <c r="M4316" s="136"/>
      <c r="N4316" s="136"/>
    </row>
    <row r="4317" spans="6:14">
      <c r="F4317" s="136" t="s">
        <v>17555</v>
      </c>
      <c r="G4317" s="136">
        <v>4314</v>
      </c>
      <c r="H4317" s="136" t="s">
        <v>5545</v>
      </c>
      <c r="I4317" s="136" t="s">
        <v>5546</v>
      </c>
      <c r="J4317" s="136" t="s">
        <v>17556</v>
      </c>
      <c r="L4317" s="136"/>
      <c r="M4317" s="136"/>
      <c r="N4317" s="136"/>
    </row>
    <row r="4318" spans="6:14">
      <c r="F4318" s="136" t="s">
        <v>17557</v>
      </c>
      <c r="G4318" s="136">
        <v>4315</v>
      </c>
      <c r="H4318" s="136" t="s">
        <v>3465</v>
      </c>
      <c r="I4318" s="136" t="s">
        <v>3465</v>
      </c>
      <c r="J4318" s="136" t="s">
        <v>17558</v>
      </c>
      <c r="L4318" s="136"/>
      <c r="M4318" s="136"/>
      <c r="N4318" s="136"/>
    </row>
    <row r="4319" spans="6:14">
      <c r="F4319" s="136" t="s">
        <v>17559</v>
      </c>
      <c r="G4319" s="136">
        <v>4316</v>
      </c>
      <c r="H4319" s="136" t="s">
        <v>4644</v>
      </c>
      <c r="I4319" s="136" t="s">
        <v>4645</v>
      </c>
      <c r="J4319" s="136" t="s">
        <v>17560</v>
      </c>
      <c r="L4319" s="136"/>
      <c r="M4319" s="136"/>
      <c r="N4319" s="136"/>
    </row>
    <row r="4320" spans="6:14">
      <c r="F4320" s="136" t="s">
        <v>17561</v>
      </c>
      <c r="G4320" s="136">
        <v>4317</v>
      </c>
      <c r="H4320" s="136" t="s">
        <v>890</v>
      </c>
      <c r="I4320" s="136" t="s">
        <v>890</v>
      </c>
      <c r="J4320" s="136" t="s">
        <v>17562</v>
      </c>
      <c r="L4320" s="136"/>
      <c r="M4320" s="136"/>
      <c r="N4320" s="136"/>
    </row>
    <row r="4321" spans="6:14">
      <c r="F4321" s="136" t="s">
        <v>17563</v>
      </c>
      <c r="G4321" s="136">
        <v>42616021803</v>
      </c>
      <c r="H4321" s="136" t="s">
        <v>3660</v>
      </c>
      <c r="I4321" s="136" t="s">
        <v>3661</v>
      </c>
      <c r="J4321" s="136" t="s">
        <v>17564</v>
      </c>
      <c r="L4321" s="136"/>
      <c r="M4321" s="136"/>
      <c r="N4321" s="136"/>
    </row>
    <row r="4322" spans="6:14">
      <c r="F4322" s="136" t="s">
        <v>17565</v>
      </c>
      <c r="G4322" s="136">
        <v>4319</v>
      </c>
      <c r="H4322" s="136" t="s">
        <v>17566</v>
      </c>
      <c r="I4322" s="136" t="s">
        <v>17567</v>
      </c>
      <c r="J4322" s="136" t="s">
        <v>17568</v>
      </c>
      <c r="L4322" s="136"/>
      <c r="M4322" s="136"/>
      <c r="N4322" s="136"/>
    </row>
    <row r="4323" spans="6:14">
      <c r="F4323" s="136" t="s">
        <v>17569</v>
      </c>
      <c r="G4323" s="136">
        <v>4320</v>
      </c>
      <c r="H4323" s="136" t="s">
        <v>14074</v>
      </c>
      <c r="I4323" s="136" t="s">
        <v>16149</v>
      </c>
      <c r="J4323" s="136" t="s">
        <v>17570</v>
      </c>
      <c r="L4323" s="136"/>
      <c r="M4323" s="136"/>
      <c r="N4323" s="136"/>
    </row>
    <row r="4324" spans="6:14">
      <c r="F4324" s="136" t="s">
        <v>17571</v>
      </c>
      <c r="G4324" s="136">
        <v>4321</v>
      </c>
      <c r="H4324" s="136" t="s">
        <v>7739</v>
      </c>
      <c r="I4324" s="136" t="s">
        <v>7740</v>
      </c>
      <c r="J4324" s="136" t="s">
        <v>17572</v>
      </c>
      <c r="L4324" s="136"/>
      <c r="M4324" s="136"/>
      <c r="N4324" s="136"/>
    </row>
    <row r="4325" spans="6:14">
      <c r="F4325" s="136" t="s">
        <v>17573</v>
      </c>
      <c r="G4325" s="136">
        <v>4322</v>
      </c>
      <c r="H4325" s="136" t="s">
        <v>17574</v>
      </c>
      <c r="I4325" s="136" t="s">
        <v>17575</v>
      </c>
      <c r="J4325" s="136" t="s">
        <v>17576</v>
      </c>
      <c r="L4325" s="136"/>
      <c r="M4325" s="136"/>
      <c r="N4325" s="136"/>
    </row>
    <row r="4326" spans="6:14">
      <c r="F4326" s="136" t="s">
        <v>17577</v>
      </c>
      <c r="G4326" s="136">
        <v>4323</v>
      </c>
      <c r="H4326" s="136" t="s">
        <v>2638</v>
      </c>
      <c r="I4326" s="136" t="s">
        <v>2639</v>
      </c>
      <c r="J4326" s="136" t="s">
        <v>17578</v>
      </c>
      <c r="L4326" s="136"/>
      <c r="M4326" s="136"/>
      <c r="N4326" s="136"/>
    </row>
    <row r="4327" spans="6:14">
      <c r="F4327" s="136" t="s">
        <v>17579</v>
      </c>
      <c r="G4327" s="136">
        <v>4324</v>
      </c>
      <c r="H4327" s="136" t="s">
        <v>17580</v>
      </c>
      <c r="I4327" s="136" t="s">
        <v>17581</v>
      </c>
      <c r="J4327" s="136" t="s">
        <v>17582</v>
      </c>
      <c r="L4327" s="136"/>
      <c r="M4327" s="136"/>
      <c r="N4327" s="136"/>
    </row>
    <row r="4328" spans="6:14">
      <c r="F4328" s="136" t="s">
        <v>17583</v>
      </c>
      <c r="G4328" s="136">
        <v>4325</v>
      </c>
      <c r="H4328" s="136" t="s">
        <v>17584</v>
      </c>
      <c r="I4328" s="136" t="s">
        <v>17581</v>
      </c>
      <c r="J4328" s="136" t="s">
        <v>17585</v>
      </c>
      <c r="L4328" s="136"/>
      <c r="M4328" s="136"/>
      <c r="N4328" s="136"/>
    </row>
    <row r="4329" spans="6:14">
      <c r="F4329" s="136" t="s">
        <v>17586</v>
      </c>
      <c r="G4329" s="136">
        <v>75303558649</v>
      </c>
      <c r="H4329" s="136" t="s">
        <v>1257</v>
      </c>
      <c r="I4329" s="136" t="s">
        <v>1257</v>
      </c>
      <c r="J4329" s="136" t="s">
        <v>17587</v>
      </c>
      <c r="L4329" s="136"/>
      <c r="M4329" s="136"/>
      <c r="N4329" s="136"/>
    </row>
    <row r="4330" spans="6:14">
      <c r="F4330" s="136" t="s">
        <v>17588</v>
      </c>
      <c r="G4330" s="136">
        <v>39464353864</v>
      </c>
      <c r="H4330" s="136" t="s">
        <v>3335</v>
      </c>
      <c r="I4330" s="136" t="s">
        <v>3335</v>
      </c>
      <c r="J4330" s="136" t="s">
        <v>17589</v>
      </c>
      <c r="L4330" s="136"/>
      <c r="M4330" s="136"/>
      <c r="N4330" s="136"/>
    </row>
    <row r="4331" spans="6:14">
      <c r="F4331" s="136" t="s">
        <v>17590</v>
      </c>
      <c r="G4331" s="136">
        <v>6539273800</v>
      </c>
      <c r="H4331" s="136" t="s">
        <v>4214</v>
      </c>
      <c r="I4331" s="136" t="s">
        <v>4214</v>
      </c>
      <c r="J4331" s="136" t="s">
        <v>17591</v>
      </c>
      <c r="L4331" s="136"/>
      <c r="M4331" s="136"/>
      <c r="N4331" s="136"/>
    </row>
    <row r="4332" spans="6:14">
      <c r="F4332" s="136" t="s">
        <v>17592</v>
      </c>
      <c r="G4332" s="136">
        <v>51579288820</v>
      </c>
      <c r="H4332" s="136" t="s">
        <v>4661</v>
      </c>
      <c r="I4332" s="136" t="s">
        <v>4662</v>
      </c>
      <c r="J4332" s="136" t="s">
        <v>17593</v>
      </c>
      <c r="L4332" s="136"/>
      <c r="M4332" s="136"/>
      <c r="N4332" s="136"/>
    </row>
    <row r="4333" spans="6:14">
      <c r="F4333" s="136" t="s">
        <v>17594</v>
      </c>
      <c r="G4333" s="136">
        <v>9652549762</v>
      </c>
      <c r="H4333" s="136" t="s">
        <v>1032</v>
      </c>
      <c r="I4333" s="136" t="s">
        <v>1032</v>
      </c>
      <c r="J4333" s="136" t="s">
        <v>17595</v>
      </c>
      <c r="L4333" s="136"/>
      <c r="M4333" s="136"/>
      <c r="N4333" s="136"/>
    </row>
    <row r="4334" spans="6:14">
      <c r="F4334" s="136" t="s">
        <v>17596</v>
      </c>
      <c r="G4334" s="136">
        <v>142153575</v>
      </c>
      <c r="H4334" s="136" t="s">
        <v>3691</v>
      </c>
      <c r="I4334" s="136" t="s">
        <v>3691</v>
      </c>
      <c r="J4334" s="136" t="s">
        <v>17597</v>
      </c>
      <c r="L4334" s="136"/>
      <c r="M4334" s="136"/>
      <c r="N4334" s="136"/>
    </row>
    <row r="4335" spans="6:14">
      <c r="F4335" s="136" t="s">
        <v>17598</v>
      </c>
      <c r="G4335" s="136">
        <v>14881778803</v>
      </c>
      <c r="H4335" s="136" t="s">
        <v>5312</v>
      </c>
      <c r="I4335" s="136" t="s">
        <v>5312</v>
      </c>
      <c r="J4335" s="136" t="s">
        <v>17599</v>
      </c>
      <c r="L4335" s="136"/>
      <c r="M4335" s="136"/>
      <c r="N4335" s="136"/>
    </row>
    <row r="4336" spans="6:14">
      <c r="F4336" s="136" t="s">
        <v>17600</v>
      </c>
      <c r="G4336" s="136">
        <v>4333</v>
      </c>
      <c r="H4336" s="136" t="s">
        <v>5710</v>
      </c>
      <c r="I4336" s="136" t="s">
        <v>5710</v>
      </c>
      <c r="J4336" s="136" t="s">
        <v>17601</v>
      </c>
      <c r="L4336" s="136"/>
      <c r="M4336" s="136"/>
      <c r="N4336" s="136"/>
    </row>
    <row r="4337" spans="6:14">
      <c r="F4337" s="136" t="s">
        <v>17602</v>
      </c>
      <c r="G4337" s="136">
        <v>4334</v>
      </c>
      <c r="H4337" s="136" t="s">
        <v>5311</v>
      </c>
      <c r="I4337" s="136" t="s">
        <v>5311</v>
      </c>
      <c r="J4337" s="136" t="s">
        <v>17603</v>
      </c>
      <c r="L4337" s="136"/>
      <c r="M4337" s="136"/>
      <c r="N4337" s="136"/>
    </row>
    <row r="4338" spans="6:14">
      <c r="F4338" s="136" t="s">
        <v>17604</v>
      </c>
      <c r="G4338" s="136">
        <v>2619999316</v>
      </c>
      <c r="H4338" s="136" t="s">
        <v>5797</v>
      </c>
      <c r="I4338" s="136" t="s">
        <v>5798</v>
      </c>
      <c r="J4338" s="136" t="s">
        <v>17605</v>
      </c>
      <c r="L4338" s="136"/>
      <c r="M4338" s="136"/>
      <c r="N4338" s="136"/>
    </row>
    <row r="4339" spans="6:14">
      <c r="F4339" s="136" t="s">
        <v>17606</v>
      </c>
      <c r="G4339" s="136">
        <v>9290603690</v>
      </c>
      <c r="H4339" s="136" t="s">
        <v>5506</v>
      </c>
      <c r="I4339" s="136" t="s">
        <v>5507</v>
      </c>
      <c r="J4339" s="136" t="s">
        <v>17607</v>
      </c>
      <c r="L4339" s="136"/>
      <c r="M4339" s="136"/>
      <c r="N4339" s="136"/>
    </row>
    <row r="4340" spans="6:14">
      <c r="F4340" s="136" t="s">
        <v>17608</v>
      </c>
      <c r="G4340" s="136">
        <v>8486847702</v>
      </c>
      <c r="H4340" s="136" t="s">
        <v>1987</v>
      </c>
      <c r="I4340" s="136" t="s">
        <v>1987</v>
      </c>
      <c r="J4340" s="136" t="s">
        <v>17609</v>
      </c>
      <c r="L4340" s="136"/>
      <c r="M4340" s="136"/>
      <c r="N4340" s="136"/>
    </row>
    <row r="4341" spans="6:14">
      <c r="F4341" s="136" t="s">
        <v>17610</v>
      </c>
      <c r="G4341" s="136">
        <v>4338</v>
      </c>
      <c r="H4341" s="136" t="s">
        <v>3865</v>
      </c>
      <c r="I4341" s="136" t="s">
        <v>3865</v>
      </c>
      <c r="J4341" s="136" t="s">
        <v>17611</v>
      </c>
      <c r="L4341" s="136"/>
      <c r="M4341" s="136"/>
      <c r="N4341" s="136"/>
    </row>
    <row r="4342" spans="6:14">
      <c r="F4342" s="136" t="s">
        <v>17612</v>
      </c>
      <c r="G4342" s="136">
        <v>2921999102</v>
      </c>
      <c r="H4342" s="136" t="s">
        <v>882</v>
      </c>
      <c r="I4342" s="136" t="s">
        <v>882</v>
      </c>
      <c r="J4342" s="136" t="s">
        <v>17613</v>
      </c>
      <c r="L4342" s="136"/>
      <c r="M4342" s="136"/>
      <c r="N4342" s="136"/>
    </row>
    <row r="4343" spans="6:14">
      <c r="F4343" s="136" t="s">
        <v>17614</v>
      </c>
      <c r="G4343" s="136">
        <v>4340</v>
      </c>
      <c r="H4343" s="136" t="s">
        <v>290</v>
      </c>
      <c r="I4343" s="136" t="s">
        <v>290</v>
      </c>
      <c r="J4343" s="136" t="s">
        <v>17615</v>
      </c>
      <c r="L4343" s="136"/>
      <c r="M4343" s="136"/>
      <c r="N4343" s="136"/>
    </row>
    <row r="4344" spans="6:14">
      <c r="F4344" s="136" t="s">
        <v>17616</v>
      </c>
      <c r="G4344" s="136">
        <v>13550629850</v>
      </c>
      <c r="H4344" s="136" t="s">
        <v>433</v>
      </c>
      <c r="I4344" s="136" t="s">
        <v>434</v>
      </c>
      <c r="J4344" s="136" t="s">
        <v>17617</v>
      </c>
      <c r="L4344" s="136"/>
      <c r="M4344" s="136"/>
      <c r="N4344" s="136"/>
    </row>
    <row r="4345" spans="6:14">
      <c r="F4345" s="136" t="s">
        <v>17618</v>
      </c>
      <c r="G4345" s="136">
        <v>3170087142</v>
      </c>
      <c r="H4345" s="136" t="s">
        <v>3926</v>
      </c>
      <c r="I4345" s="136" t="s">
        <v>3927</v>
      </c>
      <c r="J4345" s="136" t="s">
        <v>17619</v>
      </c>
      <c r="L4345" s="136"/>
      <c r="M4345" s="136"/>
      <c r="N4345" s="136"/>
    </row>
    <row r="4346" spans="6:14">
      <c r="F4346" s="136" t="s">
        <v>17620</v>
      </c>
      <c r="G4346" s="136">
        <v>18274879686</v>
      </c>
      <c r="H4346" s="136" t="s">
        <v>3648</v>
      </c>
      <c r="I4346" s="136" t="s">
        <v>3648</v>
      </c>
      <c r="J4346" s="136" t="s">
        <v>17621</v>
      </c>
      <c r="L4346" s="136"/>
      <c r="M4346" s="136"/>
      <c r="N4346" s="136"/>
    </row>
    <row r="4347" spans="6:14">
      <c r="F4347" s="136" t="s">
        <v>17622</v>
      </c>
      <c r="G4347" s="136">
        <v>8677665730</v>
      </c>
      <c r="H4347" s="136" t="s">
        <v>5994</v>
      </c>
      <c r="I4347" s="136" t="s">
        <v>5994</v>
      </c>
      <c r="J4347" s="136" t="s">
        <v>17623</v>
      </c>
      <c r="L4347" s="136"/>
      <c r="M4347" s="136"/>
      <c r="N4347" s="136"/>
    </row>
    <row r="4348" spans="6:14">
      <c r="F4348" s="136" t="s">
        <v>17624</v>
      </c>
      <c r="G4348" s="136">
        <v>1905865082</v>
      </c>
      <c r="H4348" s="136" t="s">
        <v>3572</v>
      </c>
      <c r="I4348" s="136" t="s">
        <v>3573</v>
      </c>
      <c r="J4348" s="136" t="s">
        <v>17625</v>
      </c>
      <c r="L4348" s="136"/>
      <c r="M4348" s="136"/>
      <c r="N4348" s="136"/>
    </row>
    <row r="4349" spans="6:14">
      <c r="F4349" s="136" t="s">
        <v>17626</v>
      </c>
      <c r="G4349" s="136">
        <v>4346</v>
      </c>
      <c r="H4349" s="136" t="s">
        <v>5647</v>
      </c>
      <c r="I4349" s="136" t="s">
        <v>5647</v>
      </c>
      <c r="J4349" s="136" t="s">
        <v>17627</v>
      </c>
      <c r="L4349" s="136"/>
      <c r="M4349" s="136"/>
      <c r="N4349" s="136"/>
    </row>
    <row r="4350" spans="6:14">
      <c r="F4350" s="136" t="s">
        <v>17628</v>
      </c>
      <c r="G4350" s="136">
        <v>4347</v>
      </c>
      <c r="H4350" s="136" t="s">
        <v>17629</v>
      </c>
      <c r="I4350" s="136" t="s">
        <v>17630</v>
      </c>
      <c r="J4350" s="136" t="s">
        <v>17631</v>
      </c>
      <c r="L4350" s="136"/>
      <c r="M4350" s="136"/>
      <c r="N4350" s="136"/>
    </row>
    <row r="4351" spans="6:14">
      <c r="F4351" s="136" t="s">
        <v>17632</v>
      </c>
      <c r="G4351" s="136">
        <v>4348</v>
      </c>
      <c r="H4351" s="136" t="s">
        <v>17633</v>
      </c>
      <c r="I4351" s="136" t="s">
        <v>17634</v>
      </c>
      <c r="J4351" s="136" t="s">
        <v>17635</v>
      </c>
      <c r="L4351" s="136"/>
      <c r="M4351" s="136"/>
      <c r="N4351" s="136"/>
    </row>
    <row r="4352" spans="6:14">
      <c r="F4352" s="136" t="s">
        <v>17636</v>
      </c>
      <c r="G4352" s="136">
        <v>7704252755</v>
      </c>
      <c r="H4352" s="136" t="s">
        <v>6214</v>
      </c>
      <c r="I4352" s="136" t="s">
        <v>6214</v>
      </c>
      <c r="J4352" s="136" t="s">
        <v>17637</v>
      </c>
      <c r="L4352" s="136"/>
      <c r="M4352" s="136"/>
      <c r="N4352" s="136"/>
    </row>
    <row r="4353" spans="6:14">
      <c r="F4353" s="136" t="s">
        <v>17638</v>
      </c>
      <c r="G4353" s="136">
        <v>85220655191</v>
      </c>
      <c r="H4353" s="136" t="s">
        <v>1589</v>
      </c>
      <c r="I4353" s="136" t="s">
        <v>1590</v>
      </c>
      <c r="J4353" s="136" t="s">
        <v>17639</v>
      </c>
      <c r="L4353" s="136"/>
      <c r="M4353" s="136"/>
      <c r="N4353" s="136"/>
    </row>
    <row r="4354" spans="6:14">
      <c r="F4354" s="136" t="s">
        <v>17640</v>
      </c>
      <c r="G4354" s="136">
        <v>28766486874</v>
      </c>
      <c r="H4354" s="136" t="s">
        <v>2456</v>
      </c>
      <c r="I4354" s="136" t="s">
        <v>2456</v>
      </c>
      <c r="J4354" s="136" t="s">
        <v>17641</v>
      </c>
      <c r="L4354" s="136"/>
      <c r="M4354" s="136"/>
      <c r="N4354" s="136"/>
    </row>
    <row r="4355" spans="6:14">
      <c r="F4355" s="136" t="s">
        <v>17642</v>
      </c>
      <c r="G4355" s="136">
        <v>4352</v>
      </c>
      <c r="H4355" s="136" t="s">
        <v>5049</v>
      </c>
      <c r="I4355" s="136" t="s">
        <v>5049</v>
      </c>
      <c r="J4355" s="136" t="s">
        <v>17643</v>
      </c>
      <c r="L4355" s="136"/>
      <c r="M4355" s="136"/>
      <c r="N4355" s="136"/>
    </row>
    <row r="4356" spans="6:14">
      <c r="F4356" s="136" t="s">
        <v>17644</v>
      </c>
      <c r="G4356" s="136">
        <v>4353</v>
      </c>
      <c r="H4356" s="136" t="s">
        <v>17645</v>
      </c>
      <c r="I4356" s="136" t="s">
        <v>17646</v>
      </c>
      <c r="J4356" s="136" t="s">
        <v>17647</v>
      </c>
      <c r="L4356" s="136"/>
      <c r="M4356" s="136"/>
      <c r="N4356" s="136"/>
    </row>
    <row r="4357" spans="6:14">
      <c r="F4357" s="136" t="s">
        <v>17648</v>
      </c>
      <c r="G4357" s="136">
        <v>4354</v>
      </c>
      <c r="H4357" s="136" t="s">
        <v>2139</v>
      </c>
      <c r="I4357" s="136" t="s">
        <v>2127</v>
      </c>
      <c r="J4357" s="136" t="s">
        <v>17649</v>
      </c>
      <c r="L4357" s="136"/>
      <c r="M4357" s="136"/>
      <c r="N4357" s="136"/>
    </row>
    <row r="4358" spans="6:14">
      <c r="F4358" s="136" t="s">
        <v>17650</v>
      </c>
      <c r="G4358" s="136">
        <v>5502696731</v>
      </c>
      <c r="H4358" s="136" t="s">
        <v>2007</v>
      </c>
      <c r="I4358" s="136" t="s">
        <v>2007</v>
      </c>
      <c r="J4358" s="136" t="s">
        <v>17651</v>
      </c>
      <c r="L4358" s="136"/>
      <c r="M4358" s="136"/>
      <c r="N4358" s="136"/>
    </row>
    <row r="4359" spans="6:14">
      <c r="F4359" s="136" t="s">
        <v>17652</v>
      </c>
      <c r="G4359" s="136">
        <v>4356</v>
      </c>
      <c r="H4359" s="136" t="s">
        <v>17653</v>
      </c>
      <c r="I4359" s="136" t="s">
        <v>17654</v>
      </c>
      <c r="J4359" s="136" t="s">
        <v>17655</v>
      </c>
      <c r="L4359" s="136"/>
      <c r="M4359" s="136"/>
      <c r="N4359" s="136"/>
    </row>
    <row r="4360" spans="6:14">
      <c r="F4360" s="136" t="s">
        <v>17656</v>
      </c>
      <c r="G4360" s="136">
        <v>34074563878</v>
      </c>
      <c r="H4360" s="136" t="s">
        <v>4404</v>
      </c>
      <c r="I4360" s="136" t="s">
        <v>4404</v>
      </c>
      <c r="J4360" s="136" t="s">
        <v>17657</v>
      </c>
      <c r="L4360" s="136"/>
      <c r="M4360" s="136"/>
      <c r="N4360" s="136"/>
    </row>
    <row r="4361" spans="6:14">
      <c r="F4361" s="136" t="s">
        <v>17658</v>
      </c>
      <c r="G4361" s="136">
        <v>4358</v>
      </c>
      <c r="H4361" s="136" t="s">
        <v>17659</v>
      </c>
      <c r="I4361" s="136" t="s">
        <v>17660</v>
      </c>
      <c r="J4361" s="136" t="s">
        <v>17661</v>
      </c>
      <c r="L4361" s="136"/>
      <c r="M4361" s="136"/>
      <c r="N4361" s="136"/>
    </row>
    <row r="4362" spans="6:14">
      <c r="F4362" s="136" t="s">
        <v>17662</v>
      </c>
      <c r="G4362" s="136">
        <v>4359</v>
      </c>
      <c r="H4362" s="136" t="s">
        <v>636</v>
      </c>
      <c r="I4362" s="136" t="s">
        <v>637</v>
      </c>
      <c r="J4362" s="136" t="s">
        <v>17663</v>
      </c>
      <c r="L4362" s="136"/>
      <c r="M4362" s="136"/>
      <c r="N4362" s="136"/>
    </row>
    <row r="4363" spans="6:14">
      <c r="F4363" s="136" t="s">
        <v>17664</v>
      </c>
      <c r="G4363" s="136">
        <v>4360</v>
      </c>
      <c r="H4363" s="136" t="s">
        <v>17665</v>
      </c>
      <c r="I4363" s="136" t="s">
        <v>17666</v>
      </c>
      <c r="J4363" s="136" t="s">
        <v>17667</v>
      </c>
      <c r="L4363" s="136"/>
      <c r="M4363" s="136"/>
      <c r="N4363" s="136"/>
    </row>
    <row r="4364" spans="6:14">
      <c r="F4364" s="136" t="s">
        <v>17668</v>
      </c>
      <c r="G4364" s="136">
        <v>19419571882</v>
      </c>
      <c r="H4364" s="136" t="s">
        <v>3164</v>
      </c>
      <c r="I4364" s="136" t="s">
        <v>3165</v>
      </c>
      <c r="J4364" s="136" t="s">
        <v>17669</v>
      </c>
      <c r="L4364" s="136"/>
      <c r="M4364" s="136"/>
      <c r="N4364" s="136"/>
    </row>
    <row r="4365" spans="6:14">
      <c r="F4365" s="136" t="s">
        <v>17670</v>
      </c>
      <c r="G4365" s="136">
        <v>528947460</v>
      </c>
      <c r="H4365" s="136" t="s">
        <v>1148</v>
      </c>
      <c r="I4365" s="136" t="s">
        <v>1148</v>
      </c>
      <c r="J4365" s="136" t="s">
        <v>17671</v>
      </c>
      <c r="L4365" s="136"/>
      <c r="M4365" s="136"/>
      <c r="N4365" s="136"/>
    </row>
    <row r="4366" spans="6:14">
      <c r="F4366" s="136" t="s">
        <v>17672</v>
      </c>
      <c r="G4366" s="136">
        <v>2805706609</v>
      </c>
      <c r="H4366" s="136" t="s">
        <v>1271</v>
      </c>
      <c r="I4366" s="136" t="s">
        <v>1272</v>
      </c>
      <c r="J4366" s="136" t="s">
        <v>17673</v>
      </c>
      <c r="L4366" s="136"/>
      <c r="M4366" s="136"/>
      <c r="N4366" s="136"/>
    </row>
    <row r="4367" spans="6:14">
      <c r="F4367" s="136" t="s">
        <v>17674</v>
      </c>
      <c r="G4367" s="136">
        <v>4364</v>
      </c>
      <c r="H4367" s="136" t="s">
        <v>205</v>
      </c>
      <c r="I4367" s="136" t="s">
        <v>205</v>
      </c>
      <c r="J4367" s="136" t="s">
        <v>17675</v>
      </c>
      <c r="L4367" s="136"/>
      <c r="M4367" s="136"/>
      <c r="N4367" s="136"/>
    </row>
    <row r="4368" spans="6:14">
      <c r="F4368" s="136" t="s">
        <v>17676</v>
      </c>
      <c r="G4368" s="136">
        <v>4365</v>
      </c>
      <c r="H4368" s="136" t="s">
        <v>16934</v>
      </c>
      <c r="I4368" s="136" t="s">
        <v>16934</v>
      </c>
      <c r="J4368" s="136" t="s">
        <v>17677</v>
      </c>
      <c r="L4368" s="136"/>
      <c r="M4368" s="136"/>
      <c r="N4368" s="136"/>
    </row>
    <row r="4369" spans="6:14">
      <c r="F4369" s="136" t="s">
        <v>17678</v>
      </c>
      <c r="G4369" s="136">
        <v>4366</v>
      </c>
      <c r="H4369" s="136" t="s">
        <v>17679</v>
      </c>
      <c r="I4369" s="136" t="s">
        <v>17680</v>
      </c>
      <c r="J4369" s="136" t="s">
        <v>17681</v>
      </c>
      <c r="L4369" s="136"/>
      <c r="M4369" s="136"/>
      <c r="N4369" s="136"/>
    </row>
    <row r="4370" spans="6:14">
      <c r="F4370" s="136" t="s">
        <v>17682</v>
      </c>
      <c r="G4370" s="136">
        <v>4367</v>
      </c>
      <c r="H4370" s="136" t="s">
        <v>1229</v>
      </c>
      <c r="I4370" s="136" t="s">
        <v>1230</v>
      </c>
      <c r="J4370" s="136" t="s">
        <v>17683</v>
      </c>
      <c r="L4370" s="136"/>
      <c r="M4370" s="136"/>
      <c r="N4370" s="136"/>
    </row>
    <row r="4371" spans="6:14">
      <c r="F4371" s="136" t="s">
        <v>17684</v>
      </c>
      <c r="G4371" s="136">
        <v>15800830720</v>
      </c>
      <c r="H4371" s="136" t="s">
        <v>5394</v>
      </c>
      <c r="I4371" s="136" t="s">
        <v>5395</v>
      </c>
      <c r="J4371" s="136" t="s">
        <v>17685</v>
      </c>
      <c r="L4371" s="136"/>
      <c r="M4371" s="136"/>
      <c r="N4371" s="136"/>
    </row>
    <row r="4372" spans="6:14">
      <c r="F4372" s="136" t="s">
        <v>17686</v>
      </c>
      <c r="G4372" s="136">
        <v>44615705840</v>
      </c>
      <c r="H4372" s="136" t="s">
        <v>4660</v>
      </c>
      <c r="I4372" s="136" t="s">
        <v>4660</v>
      </c>
      <c r="J4372" s="136" t="s">
        <v>17687</v>
      </c>
      <c r="L4372" s="136"/>
      <c r="M4372" s="136"/>
      <c r="N4372" s="136"/>
    </row>
    <row r="4373" spans="6:14">
      <c r="F4373" s="136" t="s">
        <v>17688</v>
      </c>
      <c r="G4373" s="136">
        <v>12257201760</v>
      </c>
      <c r="H4373" s="136" t="s">
        <v>253</v>
      </c>
      <c r="I4373" s="136" t="s">
        <v>253</v>
      </c>
      <c r="J4373" s="136" t="s">
        <v>17689</v>
      </c>
      <c r="L4373" s="136"/>
      <c r="M4373" s="136"/>
      <c r="N4373" s="136"/>
    </row>
    <row r="4374" spans="6:14">
      <c r="F4374" s="136" t="s">
        <v>17690</v>
      </c>
      <c r="G4374" s="136">
        <v>1332778798</v>
      </c>
      <c r="H4374" s="136" t="s">
        <v>226</v>
      </c>
      <c r="I4374" s="136" t="s">
        <v>227</v>
      </c>
      <c r="J4374" s="136" t="s">
        <v>17691</v>
      </c>
      <c r="L4374" s="136"/>
      <c r="M4374" s="136"/>
      <c r="N4374" s="136"/>
    </row>
    <row r="4375" spans="6:14">
      <c r="F4375" s="136" t="s">
        <v>17692</v>
      </c>
      <c r="G4375" s="136">
        <v>5580192770</v>
      </c>
      <c r="H4375" s="136" t="s">
        <v>1534</v>
      </c>
      <c r="I4375" s="136" t="s">
        <v>1534</v>
      </c>
      <c r="J4375" s="136" t="s">
        <v>17693</v>
      </c>
      <c r="L4375" s="136"/>
      <c r="M4375" s="136"/>
      <c r="N4375" s="136"/>
    </row>
    <row r="4376" spans="6:14">
      <c r="F4376" s="136" t="s">
        <v>17694</v>
      </c>
      <c r="G4376" s="136">
        <v>4373</v>
      </c>
      <c r="H4376" s="136" t="s">
        <v>17695</v>
      </c>
      <c r="I4376" s="136" t="s">
        <v>17696</v>
      </c>
      <c r="J4376" s="136" t="s">
        <v>17697</v>
      </c>
      <c r="L4376" s="136"/>
      <c r="M4376" s="136"/>
      <c r="N4376" s="136"/>
    </row>
    <row r="4377" spans="6:14">
      <c r="F4377" s="136" t="s">
        <v>17698</v>
      </c>
      <c r="G4377" s="136">
        <v>4374</v>
      </c>
      <c r="H4377" s="136" t="s">
        <v>498</v>
      </c>
      <c r="I4377" s="136" t="s">
        <v>499</v>
      </c>
      <c r="J4377" s="136" t="s">
        <v>17699</v>
      </c>
      <c r="L4377" s="136"/>
      <c r="M4377" s="136"/>
      <c r="N4377" s="136"/>
    </row>
    <row r="4378" spans="6:14">
      <c r="F4378" s="136" t="s">
        <v>17700</v>
      </c>
      <c r="G4378" s="136">
        <v>4375</v>
      </c>
      <c r="H4378" s="136" t="s">
        <v>17701</v>
      </c>
      <c r="I4378" s="136" t="s">
        <v>17702</v>
      </c>
      <c r="J4378" s="136" t="s">
        <v>17703</v>
      </c>
      <c r="L4378" s="136"/>
      <c r="M4378" s="136"/>
      <c r="N4378" s="136"/>
    </row>
    <row r="4379" spans="6:14">
      <c r="F4379" s="136" t="s">
        <v>17704</v>
      </c>
      <c r="G4379" s="136">
        <v>48251275504</v>
      </c>
      <c r="H4379" s="136" t="s">
        <v>283</v>
      </c>
      <c r="I4379" s="136" t="s">
        <v>284</v>
      </c>
      <c r="J4379" s="136" t="s">
        <v>17705</v>
      </c>
      <c r="L4379" s="136"/>
      <c r="M4379" s="136"/>
      <c r="N4379" s="136"/>
    </row>
    <row r="4380" spans="6:14">
      <c r="F4380" s="136" t="s">
        <v>17706</v>
      </c>
      <c r="G4380" s="136">
        <v>40834759861</v>
      </c>
      <c r="H4380" s="136" t="s">
        <v>1098</v>
      </c>
      <c r="I4380" s="136" t="s">
        <v>1099</v>
      </c>
      <c r="J4380" s="136" t="s">
        <v>17707</v>
      </c>
      <c r="L4380" s="136"/>
      <c r="M4380" s="136"/>
      <c r="N4380" s="136"/>
    </row>
    <row r="4381" spans="6:14">
      <c r="F4381" s="136" t="s">
        <v>17708</v>
      </c>
      <c r="G4381" s="136">
        <v>38504549836</v>
      </c>
      <c r="H4381" s="136" t="s">
        <v>5073</v>
      </c>
      <c r="I4381" s="136" t="s">
        <v>5074</v>
      </c>
      <c r="J4381" s="136" t="s">
        <v>17709</v>
      </c>
      <c r="L4381" s="136"/>
      <c r="M4381" s="136"/>
      <c r="N4381" s="136"/>
    </row>
    <row r="4382" spans="6:14">
      <c r="F4382" s="136" t="s">
        <v>17710</v>
      </c>
      <c r="G4382" s="136">
        <v>2226398902</v>
      </c>
      <c r="H4382" s="136" t="s">
        <v>5966</v>
      </c>
      <c r="I4382" s="136" t="s">
        <v>5967</v>
      </c>
      <c r="J4382" s="136" t="s">
        <v>17711</v>
      </c>
      <c r="L4382" s="136"/>
      <c r="M4382" s="136"/>
      <c r="N4382" s="136"/>
    </row>
    <row r="4383" spans="6:14">
      <c r="F4383" s="136" t="s">
        <v>17712</v>
      </c>
      <c r="G4383" s="136">
        <v>4380</v>
      </c>
      <c r="H4383" s="136" t="s">
        <v>1726</v>
      </c>
      <c r="I4383" s="136" t="s">
        <v>1727</v>
      </c>
      <c r="J4383" s="136" t="s">
        <v>17713</v>
      </c>
      <c r="L4383" s="136"/>
      <c r="M4383" s="136"/>
      <c r="N4383" s="136"/>
    </row>
    <row r="4384" spans="6:14">
      <c r="F4384" s="136" t="s">
        <v>17714</v>
      </c>
      <c r="G4384" s="136">
        <v>83820094687</v>
      </c>
      <c r="H4384" s="136" t="s">
        <v>3917</v>
      </c>
      <c r="I4384" s="136" t="s">
        <v>3917</v>
      </c>
      <c r="J4384" s="136" t="s">
        <v>17715</v>
      </c>
      <c r="L4384" s="136"/>
      <c r="M4384" s="136"/>
      <c r="N4384" s="136"/>
    </row>
    <row r="4385" spans="6:14">
      <c r="F4385" s="136" t="s">
        <v>17716</v>
      </c>
      <c r="G4385" s="136">
        <v>3586850875</v>
      </c>
      <c r="H4385" s="136" t="s">
        <v>1762</v>
      </c>
      <c r="I4385" s="136" t="s">
        <v>1763</v>
      </c>
      <c r="J4385" s="136" t="s">
        <v>17717</v>
      </c>
      <c r="L4385" s="136"/>
      <c r="M4385" s="136"/>
      <c r="N4385" s="136"/>
    </row>
    <row r="4386" spans="6:14">
      <c r="F4386" s="136" t="s">
        <v>17718</v>
      </c>
      <c r="G4386" s="136">
        <v>17374682719</v>
      </c>
      <c r="H4386" s="136" t="s">
        <v>4636</v>
      </c>
      <c r="I4386" s="136" t="s">
        <v>4636</v>
      </c>
      <c r="J4386" s="136" t="s">
        <v>17719</v>
      </c>
      <c r="L4386" s="136"/>
      <c r="M4386" s="136"/>
      <c r="N4386" s="136"/>
    </row>
    <row r="4387" spans="6:14">
      <c r="F4387" s="136" t="s">
        <v>17720</v>
      </c>
      <c r="G4387" s="136">
        <v>4384</v>
      </c>
      <c r="H4387" s="136" t="s">
        <v>17721</v>
      </c>
      <c r="I4387" s="136" t="s">
        <v>17722</v>
      </c>
      <c r="J4387" s="136" t="s">
        <v>17723</v>
      </c>
      <c r="L4387" s="136"/>
      <c r="M4387" s="136"/>
      <c r="N4387" s="136"/>
    </row>
    <row r="4388" spans="6:14">
      <c r="F4388" s="136" t="s">
        <v>17724</v>
      </c>
      <c r="G4388" s="136">
        <v>4385</v>
      </c>
      <c r="H4388" s="136" t="s">
        <v>6127</v>
      </c>
      <c r="I4388" s="136" t="s">
        <v>6127</v>
      </c>
      <c r="J4388" s="136" t="s">
        <v>17725</v>
      </c>
      <c r="L4388" s="136"/>
      <c r="M4388" s="136"/>
      <c r="N4388" s="136"/>
    </row>
    <row r="4389" spans="6:14">
      <c r="F4389" s="136" t="s">
        <v>17726</v>
      </c>
      <c r="G4389" s="136">
        <v>4386</v>
      </c>
      <c r="H4389" s="136" t="s">
        <v>91</v>
      </c>
      <c r="I4389" s="136" t="s">
        <v>92</v>
      </c>
      <c r="J4389" s="136" t="s">
        <v>17727</v>
      </c>
      <c r="L4389" s="136"/>
      <c r="M4389" s="136"/>
      <c r="N4389" s="136"/>
    </row>
    <row r="4390" spans="6:14">
      <c r="F4390" s="136" t="s">
        <v>17728</v>
      </c>
      <c r="G4390" s="136">
        <v>4387</v>
      </c>
      <c r="H4390" s="136" t="s">
        <v>6004</v>
      </c>
      <c r="I4390" s="136" t="s">
        <v>6005</v>
      </c>
      <c r="J4390" s="136" t="s">
        <v>17729</v>
      </c>
      <c r="L4390" s="136"/>
      <c r="M4390" s="136"/>
      <c r="N4390" s="136"/>
    </row>
    <row r="4391" spans="6:14">
      <c r="F4391" s="136" t="s">
        <v>17730</v>
      </c>
      <c r="G4391" s="136">
        <v>28619041860</v>
      </c>
      <c r="H4391" s="136" t="s">
        <v>4058</v>
      </c>
      <c r="I4391" s="136" t="s">
        <v>4058</v>
      </c>
      <c r="J4391" s="136" t="s">
        <v>17731</v>
      </c>
      <c r="L4391" s="136"/>
      <c r="M4391" s="136"/>
      <c r="N4391" s="136"/>
    </row>
    <row r="4392" spans="6:14">
      <c r="F4392" s="136" t="s">
        <v>17732</v>
      </c>
      <c r="G4392" s="136">
        <v>4389</v>
      </c>
      <c r="H4392" s="136" t="s">
        <v>17733</v>
      </c>
      <c r="I4392" s="136" t="s">
        <v>17734</v>
      </c>
      <c r="J4392" s="136" t="s">
        <v>17735</v>
      </c>
      <c r="L4392" s="136"/>
      <c r="M4392" s="136"/>
      <c r="N4392" s="136"/>
    </row>
    <row r="4393" spans="6:14">
      <c r="F4393" s="136" t="s">
        <v>17736</v>
      </c>
      <c r="G4393" s="136">
        <v>4390</v>
      </c>
      <c r="H4393" s="136" t="s">
        <v>1563</v>
      </c>
      <c r="I4393" s="136" t="s">
        <v>1563</v>
      </c>
      <c r="J4393" s="136" t="s">
        <v>17737</v>
      </c>
      <c r="L4393" s="136"/>
      <c r="M4393" s="136"/>
      <c r="N4393" s="136"/>
    </row>
    <row r="4394" spans="6:14">
      <c r="F4394" s="136" t="s">
        <v>17738</v>
      </c>
      <c r="G4394" s="136">
        <v>4391</v>
      </c>
      <c r="H4394" s="136" t="s">
        <v>3672</v>
      </c>
      <c r="I4394" s="136" t="s">
        <v>3672</v>
      </c>
      <c r="J4394" s="136" t="s">
        <v>17739</v>
      </c>
      <c r="L4394" s="136"/>
      <c r="M4394" s="136"/>
      <c r="N4394" s="136"/>
    </row>
    <row r="4395" spans="6:14">
      <c r="F4395" s="136" t="s">
        <v>17740</v>
      </c>
      <c r="G4395" s="136">
        <v>89384768391</v>
      </c>
      <c r="H4395" s="136" t="s">
        <v>5051</v>
      </c>
      <c r="I4395" s="136" t="s">
        <v>5051</v>
      </c>
      <c r="J4395" s="136" t="s">
        <v>17741</v>
      </c>
      <c r="L4395" s="136"/>
      <c r="M4395" s="136"/>
      <c r="N4395" s="136"/>
    </row>
    <row r="4396" spans="6:14">
      <c r="F4396" s="136" t="s">
        <v>17742</v>
      </c>
      <c r="G4396" s="136">
        <v>4393</v>
      </c>
      <c r="H4396" s="136" t="s">
        <v>3591</v>
      </c>
      <c r="I4396" s="136" t="s">
        <v>3591</v>
      </c>
      <c r="J4396" s="136" t="s">
        <v>17743</v>
      </c>
      <c r="L4396" s="136"/>
      <c r="M4396" s="136"/>
      <c r="N4396" s="136"/>
    </row>
    <row r="4397" spans="6:14">
      <c r="F4397" s="136" t="s">
        <v>17744</v>
      </c>
      <c r="G4397" s="136">
        <v>4394</v>
      </c>
      <c r="H4397" s="136" t="s">
        <v>2313</v>
      </c>
      <c r="I4397" s="136" t="s">
        <v>2313</v>
      </c>
      <c r="J4397" s="136" t="s">
        <v>17745</v>
      </c>
      <c r="L4397" s="136"/>
      <c r="M4397" s="136"/>
      <c r="N4397" s="136"/>
    </row>
    <row r="4398" spans="6:14">
      <c r="F4398" s="136" t="s">
        <v>17746</v>
      </c>
      <c r="G4398" s="136">
        <v>4395</v>
      </c>
      <c r="H4398" s="136" t="s">
        <v>4198</v>
      </c>
      <c r="I4398" s="136" t="s">
        <v>4199</v>
      </c>
      <c r="J4398" s="136" t="s">
        <v>17747</v>
      </c>
      <c r="L4398" s="136"/>
      <c r="M4398" s="136"/>
      <c r="N4398" s="136"/>
    </row>
    <row r="4399" spans="6:14">
      <c r="F4399" s="136" t="s">
        <v>17748</v>
      </c>
      <c r="G4399" s="136">
        <v>4396</v>
      </c>
      <c r="H4399" s="136" t="s">
        <v>4606</v>
      </c>
      <c r="I4399" s="136" t="s">
        <v>4607</v>
      </c>
      <c r="J4399" s="136" t="s">
        <v>17749</v>
      </c>
      <c r="L4399" s="136"/>
      <c r="M4399" s="136"/>
      <c r="N4399" s="136"/>
    </row>
    <row r="4400" spans="6:14">
      <c r="F4400" s="136" t="s">
        <v>17750</v>
      </c>
      <c r="G4400" s="136">
        <v>4397</v>
      </c>
      <c r="H4400" s="136" t="s">
        <v>3894</v>
      </c>
      <c r="I4400" s="136" t="s">
        <v>3895</v>
      </c>
      <c r="J4400" s="136" t="s">
        <v>17751</v>
      </c>
      <c r="L4400" s="136"/>
      <c r="M4400" s="136"/>
      <c r="N4400" s="136"/>
    </row>
    <row r="4401" spans="6:14">
      <c r="F4401" s="136" t="s">
        <v>17752</v>
      </c>
      <c r="G4401" s="136">
        <v>4398</v>
      </c>
      <c r="H4401" s="136" t="s">
        <v>5401</v>
      </c>
      <c r="I4401" s="136" t="s">
        <v>5402</v>
      </c>
      <c r="J4401" s="136" t="s">
        <v>17753</v>
      </c>
      <c r="L4401" s="136"/>
      <c r="M4401" s="136"/>
      <c r="N4401" s="136"/>
    </row>
    <row r="4402" spans="6:14">
      <c r="F4402" s="136" t="s">
        <v>17754</v>
      </c>
      <c r="G4402" s="136">
        <v>4399</v>
      </c>
      <c r="H4402" s="136" t="s">
        <v>4187</v>
      </c>
      <c r="I4402" s="136" t="s">
        <v>4187</v>
      </c>
      <c r="J4402" s="136" t="s">
        <v>17755</v>
      </c>
      <c r="L4402" s="136"/>
      <c r="M4402" s="136"/>
      <c r="N4402" s="136"/>
    </row>
    <row r="4403" spans="6:14">
      <c r="F4403" s="136" t="s">
        <v>17756</v>
      </c>
      <c r="G4403" s="136">
        <v>4400</v>
      </c>
      <c r="H4403" s="136" t="s">
        <v>4626</v>
      </c>
      <c r="I4403" s="136" t="s">
        <v>4627</v>
      </c>
      <c r="J4403" s="136" t="s">
        <v>17757</v>
      </c>
      <c r="L4403" s="136"/>
      <c r="M4403" s="136"/>
      <c r="N4403" s="136"/>
    </row>
    <row r="4404" spans="6:14">
      <c r="F4404" s="136" t="s">
        <v>17758</v>
      </c>
      <c r="G4404" s="136">
        <v>4401</v>
      </c>
      <c r="H4404" s="136" t="s">
        <v>17759</v>
      </c>
      <c r="I4404" s="136" t="s">
        <v>17760</v>
      </c>
      <c r="J4404" s="136" t="s">
        <v>17761</v>
      </c>
      <c r="L4404" s="136"/>
      <c r="M4404" s="136"/>
      <c r="N4404" s="136"/>
    </row>
    <row r="4405" spans="6:14">
      <c r="F4405" s="136" t="s">
        <v>17762</v>
      </c>
      <c r="G4405" s="136">
        <v>4402</v>
      </c>
      <c r="H4405" s="136" t="s">
        <v>3914</v>
      </c>
      <c r="I4405" s="136" t="s">
        <v>3915</v>
      </c>
      <c r="J4405" s="136" t="s">
        <v>17763</v>
      </c>
      <c r="L4405" s="136"/>
      <c r="M4405" s="136"/>
      <c r="N4405" s="136"/>
    </row>
    <row r="4406" spans="6:14">
      <c r="F4406" s="136" t="s">
        <v>17764</v>
      </c>
      <c r="G4406" s="136">
        <v>6826606399</v>
      </c>
      <c r="H4406" s="136" t="s">
        <v>5433</v>
      </c>
      <c r="I4406" s="136" t="s">
        <v>5433</v>
      </c>
      <c r="J4406" s="136" t="s">
        <v>17765</v>
      </c>
      <c r="L4406" s="136"/>
      <c r="M4406" s="136"/>
      <c r="N4406" s="136"/>
    </row>
    <row r="4407" spans="6:14">
      <c r="F4407" s="136" t="s">
        <v>17766</v>
      </c>
      <c r="G4407" s="136">
        <v>99376806972</v>
      </c>
      <c r="H4407" s="136" t="s">
        <v>159</v>
      </c>
      <c r="I4407" s="136" t="s">
        <v>160</v>
      </c>
      <c r="J4407" s="136" t="s">
        <v>17767</v>
      </c>
      <c r="L4407" s="136"/>
      <c r="M4407" s="136"/>
      <c r="N4407" s="136"/>
    </row>
    <row r="4408" spans="6:14">
      <c r="F4408" s="136" t="s">
        <v>17768</v>
      </c>
      <c r="G4408" s="136">
        <v>32655041828</v>
      </c>
      <c r="H4408" s="136" t="s">
        <v>1026</v>
      </c>
      <c r="I4408" s="136" t="s">
        <v>1026</v>
      </c>
      <c r="J4408" s="136" t="s">
        <v>17769</v>
      </c>
      <c r="L4408" s="136"/>
      <c r="M4408" s="136"/>
      <c r="N4408" s="136"/>
    </row>
    <row r="4409" spans="6:14">
      <c r="F4409" s="136" t="s">
        <v>17770</v>
      </c>
      <c r="G4409" s="136">
        <v>4406</v>
      </c>
      <c r="H4409" s="136" t="s">
        <v>4145</v>
      </c>
      <c r="I4409" s="136" t="s">
        <v>4146</v>
      </c>
      <c r="J4409" s="136" t="s">
        <v>17771</v>
      </c>
      <c r="L4409" s="136"/>
      <c r="M4409" s="136"/>
      <c r="N4409" s="136"/>
    </row>
    <row r="4410" spans="6:14">
      <c r="F4410" s="136" t="s">
        <v>17772</v>
      </c>
      <c r="G4410" s="136">
        <v>4407</v>
      </c>
      <c r="H4410" s="136" t="s">
        <v>2620</v>
      </c>
      <c r="I4410" s="136" t="s">
        <v>2621</v>
      </c>
      <c r="J4410" s="136" t="s">
        <v>17773</v>
      </c>
      <c r="L4410" s="136"/>
      <c r="M4410" s="136"/>
      <c r="N4410" s="136"/>
    </row>
    <row r="4411" spans="6:14">
      <c r="F4411" s="136" t="s">
        <v>17774</v>
      </c>
      <c r="G4411" s="136">
        <v>4408</v>
      </c>
      <c r="H4411" s="136" t="s">
        <v>5115</v>
      </c>
      <c r="I4411" s="136" t="s">
        <v>5117</v>
      </c>
      <c r="J4411" s="136" t="s">
        <v>17775</v>
      </c>
      <c r="L4411" s="136"/>
      <c r="M4411" s="136"/>
      <c r="N4411" s="136"/>
    </row>
    <row r="4412" spans="6:14">
      <c r="F4412" s="136" t="s">
        <v>17776</v>
      </c>
      <c r="G4412" s="136">
        <v>4409</v>
      </c>
      <c r="H4412" s="136" t="s">
        <v>17777</v>
      </c>
      <c r="I4412" s="136" t="s">
        <v>17778</v>
      </c>
      <c r="J4412" s="136" t="s">
        <v>17779</v>
      </c>
      <c r="L4412" s="136"/>
      <c r="M4412" s="136"/>
      <c r="N4412" s="136"/>
    </row>
    <row r="4413" spans="6:14">
      <c r="F4413" s="136" t="s">
        <v>17780</v>
      </c>
      <c r="G4413" s="136">
        <v>4410</v>
      </c>
      <c r="H4413" s="136" t="s">
        <v>2602</v>
      </c>
      <c r="I4413" s="136" t="s">
        <v>2605</v>
      </c>
      <c r="J4413" s="136" t="s">
        <v>17781</v>
      </c>
      <c r="L4413" s="136"/>
      <c r="M4413" s="136"/>
      <c r="N4413" s="136"/>
    </row>
    <row r="4414" spans="6:14">
      <c r="F4414" s="136" t="s">
        <v>17782</v>
      </c>
      <c r="G4414" s="136">
        <v>4411</v>
      </c>
      <c r="H4414" s="136" t="s">
        <v>2607</v>
      </c>
      <c r="I4414" s="136" t="s">
        <v>2608</v>
      </c>
      <c r="J4414" s="136" t="s">
        <v>17783</v>
      </c>
      <c r="L4414" s="136"/>
      <c r="M4414" s="136"/>
      <c r="N4414" s="136"/>
    </row>
    <row r="4415" spans="6:14">
      <c r="F4415" s="136" t="s">
        <v>17784</v>
      </c>
      <c r="G4415" s="136">
        <v>4412</v>
      </c>
      <c r="H4415" s="136" t="s">
        <v>2602</v>
      </c>
      <c r="I4415" s="136" t="s">
        <v>2606</v>
      </c>
      <c r="J4415" s="136" t="s">
        <v>17785</v>
      </c>
      <c r="L4415" s="136"/>
      <c r="M4415" s="136"/>
      <c r="N4415" s="136"/>
    </row>
    <row r="4416" spans="6:14">
      <c r="F4416" s="136" t="s">
        <v>17786</v>
      </c>
      <c r="G4416" s="136">
        <v>4413</v>
      </c>
      <c r="H4416" s="136" t="s">
        <v>3978</v>
      </c>
      <c r="I4416" s="136" t="s">
        <v>3979</v>
      </c>
      <c r="J4416" s="136" t="s">
        <v>17787</v>
      </c>
      <c r="L4416" s="136"/>
      <c r="M4416" s="136"/>
      <c r="N4416" s="136"/>
    </row>
    <row r="4417" spans="6:14">
      <c r="F4417" s="136" t="s">
        <v>17788</v>
      </c>
      <c r="G4417" s="136">
        <v>4414</v>
      </c>
      <c r="H4417" s="136" t="s">
        <v>17789</v>
      </c>
      <c r="I4417" s="136" t="s">
        <v>17790</v>
      </c>
      <c r="J4417" s="136" t="s">
        <v>17791</v>
      </c>
      <c r="L4417" s="136"/>
      <c r="M4417" s="136"/>
      <c r="N4417" s="136"/>
    </row>
    <row r="4418" spans="6:14">
      <c r="F4418" s="136" t="s">
        <v>17792</v>
      </c>
      <c r="G4418" s="136">
        <v>4415</v>
      </c>
      <c r="H4418" s="136" t="s">
        <v>5120</v>
      </c>
      <c r="I4418" s="136" t="s">
        <v>5121</v>
      </c>
      <c r="J4418" s="136" t="s">
        <v>17793</v>
      </c>
      <c r="L4418" s="136"/>
      <c r="M4418" s="136"/>
      <c r="N4418" s="136"/>
    </row>
    <row r="4419" spans="6:14">
      <c r="F4419" s="136" t="s">
        <v>17794</v>
      </c>
      <c r="G4419" s="136">
        <v>4416</v>
      </c>
      <c r="H4419" s="136" t="s">
        <v>5115</v>
      </c>
      <c r="I4419" s="136" t="s">
        <v>5118</v>
      </c>
      <c r="J4419" s="136" t="s">
        <v>17795</v>
      </c>
      <c r="L4419" s="136"/>
      <c r="M4419" s="136"/>
      <c r="N4419" s="136"/>
    </row>
    <row r="4420" spans="6:14">
      <c r="F4420" s="136" t="s">
        <v>17796</v>
      </c>
      <c r="G4420" s="136">
        <v>4417</v>
      </c>
      <c r="H4420" s="136" t="s">
        <v>3945</v>
      </c>
      <c r="I4420" s="136" t="s">
        <v>3946</v>
      </c>
      <c r="J4420" s="136" t="s">
        <v>17797</v>
      </c>
      <c r="L4420" s="136"/>
      <c r="M4420" s="136"/>
      <c r="N4420" s="136"/>
    </row>
    <row r="4421" spans="6:14">
      <c r="F4421" s="136" t="s">
        <v>17798</v>
      </c>
      <c r="G4421" s="136">
        <v>4418</v>
      </c>
      <c r="H4421" s="136" t="s">
        <v>334</v>
      </c>
      <c r="I4421" s="136" t="s">
        <v>335</v>
      </c>
      <c r="J4421" s="136" t="s">
        <v>17799</v>
      </c>
      <c r="L4421" s="136"/>
      <c r="M4421" s="136"/>
      <c r="N4421" s="136"/>
    </row>
    <row r="4422" spans="6:14">
      <c r="F4422" s="136" t="s">
        <v>17800</v>
      </c>
      <c r="G4422" s="136">
        <v>4419</v>
      </c>
      <c r="H4422" s="136" t="s">
        <v>3118</v>
      </c>
      <c r="I4422" s="136" t="s">
        <v>3119</v>
      </c>
      <c r="J4422" s="136" t="s">
        <v>17801</v>
      </c>
      <c r="L4422" s="136"/>
      <c r="M4422" s="136"/>
      <c r="N4422" s="136"/>
    </row>
    <row r="4423" spans="6:14">
      <c r="F4423" s="136" t="s">
        <v>17802</v>
      </c>
      <c r="G4423" s="136">
        <v>4420</v>
      </c>
      <c r="H4423" s="136" t="s">
        <v>389</v>
      </c>
      <c r="I4423" s="136" t="s">
        <v>390</v>
      </c>
      <c r="J4423" s="136" t="s">
        <v>17803</v>
      </c>
      <c r="L4423" s="136"/>
      <c r="M4423" s="136"/>
      <c r="N4423" s="136"/>
    </row>
    <row r="4424" spans="6:14">
      <c r="F4424" s="136" t="s">
        <v>17804</v>
      </c>
      <c r="G4424" s="136">
        <v>4421</v>
      </c>
      <c r="H4424" s="136" t="s">
        <v>3936</v>
      </c>
      <c r="I4424" s="136" t="s">
        <v>3937</v>
      </c>
      <c r="J4424" s="136" t="s">
        <v>17805</v>
      </c>
      <c r="L4424" s="136"/>
      <c r="M4424" s="136"/>
      <c r="N4424" s="136"/>
    </row>
    <row r="4425" spans="6:14">
      <c r="F4425" s="136" t="s">
        <v>17806</v>
      </c>
      <c r="G4425" s="136">
        <v>4422</v>
      </c>
      <c r="H4425" s="136" t="s">
        <v>6139</v>
      </c>
      <c r="I4425" s="136" t="s">
        <v>24595</v>
      </c>
      <c r="J4425" s="136" t="s">
        <v>17807</v>
      </c>
      <c r="L4425" s="136"/>
      <c r="M4425" s="136"/>
      <c r="N4425" s="136"/>
    </row>
    <row r="4426" spans="6:14">
      <c r="F4426" s="136" t="s">
        <v>17808</v>
      </c>
      <c r="G4426" s="136">
        <v>4423</v>
      </c>
      <c r="H4426" s="136" t="s">
        <v>674</v>
      </c>
      <c r="I4426" s="136" t="s">
        <v>674</v>
      </c>
      <c r="J4426" s="136" t="s">
        <v>17809</v>
      </c>
      <c r="L4426" s="136"/>
      <c r="M4426" s="136"/>
      <c r="N4426" s="136"/>
    </row>
    <row r="4427" spans="6:14">
      <c r="F4427" s="136" t="s">
        <v>17810</v>
      </c>
      <c r="G4427" s="136">
        <v>4424</v>
      </c>
      <c r="H4427" s="136" t="s">
        <v>6000</v>
      </c>
      <c r="I4427" s="136" t="s">
        <v>6001</v>
      </c>
      <c r="J4427" s="136" t="s">
        <v>17811</v>
      </c>
      <c r="L4427" s="136"/>
      <c r="M4427" s="136"/>
      <c r="N4427" s="136"/>
    </row>
    <row r="4428" spans="6:14">
      <c r="F4428" s="136" t="s">
        <v>17812</v>
      </c>
      <c r="G4428" s="136">
        <v>4425</v>
      </c>
      <c r="H4428" s="136" t="s">
        <v>374</v>
      </c>
      <c r="I4428" s="136" t="s">
        <v>375</v>
      </c>
      <c r="J4428" s="136" t="s">
        <v>17813</v>
      </c>
      <c r="L4428" s="136"/>
      <c r="M4428" s="136"/>
      <c r="N4428" s="136"/>
    </row>
    <row r="4429" spans="6:14">
      <c r="F4429" s="136" t="s">
        <v>17814</v>
      </c>
      <c r="G4429" s="136">
        <v>16617987802</v>
      </c>
      <c r="H4429" s="136" t="s">
        <v>3856</v>
      </c>
      <c r="I4429" s="136" t="s">
        <v>3856</v>
      </c>
      <c r="J4429" s="136" t="s">
        <v>17815</v>
      </c>
      <c r="L4429" s="136"/>
      <c r="M4429" s="136"/>
      <c r="N4429" s="136"/>
    </row>
    <row r="4430" spans="6:14">
      <c r="F4430" s="136" t="s">
        <v>17816</v>
      </c>
      <c r="G4430" s="136">
        <v>9987254713</v>
      </c>
      <c r="H4430" s="136" t="s">
        <v>176</v>
      </c>
      <c r="I4430" s="136" t="s">
        <v>176</v>
      </c>
      <c r="J4430" s="136" t="s">
        <v>17817</v>
      </c>
      <c r="L4430" s="136"/>
      <c r="M4430" s="136"/>
      <c r="N4430" s="136"/>
    </row>
    <row r="4431" spans="6:14">
      <c r="F4431" s="136" t="s">
        <v>17818</v>
      </c>
      <c r="G4431" s="136">
        <v>10821971654</v>
      </c>
      <c r="H4431" s="136" t="s">
        <v>1999</v>
      </c>
      <c r="I4431" s="136" t="s">
        <v>1999</v>
      </c>
      <c r="J4431" s="136" t="s">
        <v>17819</v>
      </c>
      <c r="L4431" s="136"/>
      <c r="M4431" s="136"/>
      <c r="N4431" s="136"/>
    </row>
    <row r="4432" spans="6:14">
      <c r="F4432" s="136" t="s">
        <v>17820</v>
      </c>
      <c r="G4432" s="136">
        <v>4429</v>
      </c>
      <c r="H4432" s="136" t="s">
        <v>1866</v>
      </c>
      <c r="I4432" s="136" t="s">
        <v>1867</v>
      </c>
      <c r="J4432" s="136" t="s">
        <v>17821</v>
      </c>
      <c r="L4432" s="136"/>
      <c r="M4432" s="136"/>
      <c r="N4432" s="136"/>
    </row>
    <row r="4433" spans="6:14">
      <c r="F4433" s="136" t="s">
        <v>17822</v>
      </c>
      <c r="G4433" s="136">
        <v>4430</v>
      </c>
      <c r="H4433" s="136" t="s">
        <v>1066</v>
      </c>
      <c r="I4433" s="136" t="s">
        <v>1067</v>
      </c>
      <c r="J4433" s="136" t="s">
        <v>17823</v>
      </c>
      <c r="L4433" s="136"/>
      <c r="M4433" s="136"/>
      <c r="N4433" s="136"/>
    </row>
    <row r="4434" spans="6:14">
      <c r="F4434" s="136" t="s">
        <v>17824</v>
      </c>
      <c r="G4434" s="136">
        <v>4431</v>
      </c>
      <c r="H4434" s="136" t="s">
        <v>2149</v>
      </c>
      <c r="I4434" s="136" t="s">
        <v>2152</v>
      </c>
      <c r="J4434" s="136" t="s">
        <v>17825</v>
      </c>
      <c r="L4434" s="136"/>
      <c r="M4434" s="136"/>
      <c r="N4434" s="136"/>
    </row>
    <row r="4435" spans="6:14">
      <c r="F4435" s="136" t="s">
        <v>17826</v>
      </c>
      <c r="G4435" s="136">
        <v>4432</v>
      </c>
      <c r="H4435" s="136" t="s">
        <v>5854</v>
      </c>
      <c r="I4435" s="136" t="s">
        <v>5855</v>
      </c>
      <c r="J4435" s="136" t="s">
        <v>17827</v>
      </c>
      <c r="L4435" s="136"/>
      <c r="M4435" s="136"/>
      <c r="N4435" s="136"/>
    </row>
    <row r="4436" spans="6:14">
      <c r="F4436" s="136" t="s">
        <v>17828</v>
      </c>
      <c r="G4436" s="136">
        <v>4433</v>
      </c>
      <c r="H4436" s="136" t="s">
        <v>3863</v>
      </c>
      <c r="I4436" s="136" t="s">
        <v>3864</v>
      </c>
      <c r="J4436" s="136" t="s">
        <v>17829</v>
      </c>
      <c r="L4436" s="136"/>
      <c r="M4436" s="136"/>
      <c r="N4436" s="136"/>
    </row>
    <row r="4437" spans="6:14">
      <c r="F4437" s="136" t="s">
        <v>17830</v>
      </c>
      <c r="G4437" s="136">
        <v>4434</v>
      </c>
      <c r="H4437" s="136" t="s">
        <v>1966</v>
      </c>
      <c r="I4437" s="136" t="s">
        <v>1967</v>
      </c>
      <c r="J4437" s="136" t="s">
        <v>17831</v>
      </c>
      <c r="L4437" s="136"/>
      <c r="M4437" s="136"/>
      <c r="N4437" s="136"/>
    </row>
    <row r="4438" spans="6:14">
      <c r="F4438" s="136" t="s">
        <v>17832</v>
      </c>
      <c r="G4438" s="136">
        <v>9148764736</v>
      </c>
      <c r="H4438" s="136" t="s">
        <v>4172</v>
      </c>
      <c r="I4438" s="136" t="s">
        <v>4172</v>
      </c>
      <c r="J4438" s="136" t="s">
        <v>17833</v>
      </c>
      <c r="L4438" s="136"/>
      <c r="M4438" s="136"/>
      <c r="N4438" s="136"/>
    </row>
    <row r="4439" spans="6:14">
      <c r="F4439" s="136" t="s">
        <v>17834</v>
      </c>
      <c r="G4439" s="136">
        <v>4436</v>
      </c>
      <c r="H4439" s="136" t="s">
        <v>625</v>
      </c>
      <c r="I4439" s="136" t="s">
        <v>626</v>
      </c>
      <c r="J4439" s="136" t="s">
        <v>17835</v>
      </c>
      <c r="L4439" s="136"/>
      <c r="M4439" s="136"/>
      <c r="N4439" s="136"/>
    </row>
    <row r="4440" spans="6:14">
      <c r="F4440" s="136" t="s">
        <v>17836</v>
      </c>
      <c r="G4440" s="136">
        <v>4437</v>
      </c>
      <c r="H4440" s="136" t="s">
        <v>5925</v>
      </c>
      <c r="I4440" s="136" t="s">
        <v>5926</v>
      </c>
      <c r="J4440" s="136" t="s">
        <v>17837</v>
      </c>
      <c r="L4440" s="136"/>
      <c r="M4440" s="136"/>
      <c r="N4440" s="136"/>
    </row>
    <row r="4441" spans="6:14">
      <c r="F4441" s="136" t="s">
        <v>17838</v>
      </c>
      <c r="G4441" s="136">
        <v>60880675357</v>
      </c>
      <c r="H4441" s="136" t="s">
        <v>6212</v>
      </c>
      <c r="I4441" s="136" t="s">
        <v>6213</v>
      </c>
      <c r="J4441" s="136" t="s">
        <v>17839</v>
      </c>
      <c r="L4441" s="136"/>
      <c r="M4441" s="136"/>
      <c r="N4441" s="136"/>
    </row>
    <row r="4442" spans="6:14">
      <c r="F4442" s="136" t="s">
        <v>17840</v>
      </c>
      <c r="G4442" s="136">
        <v>4439</v>
      </c>
      <c r="H4442" s="136" t="s">
        <v>17841</v>
      </c>
      <c r="I4442" s="136" t="s">
        <v>17842</v>
      </c>
      <c r="J4442" s="136" t="s">
        <v>17843</v>
      </c>
      <c r="L4442" s="136"/>
      <c r="M4442" s="136"/>
      <c r="N4442" s="136"/>
    </row>
    <row r="4443" spans="6:14">
      <c r="F4443" s="136" t="s">
        <v>17844</v>
      </c>
      <c r="G4443" s="136">
        <v>4440</v>
      </c>
      <c r="H4443" s="136" t="s">
        <v>422</v>
      </c>
      <c r="I4443" s="136" t="s">
        <v>422</v>
      </c>
      <c r="J4443" s="136" t="s">
        <v>17845</v>
      </c>
      <c r="L4443" s="136"/>
      <c r="M4443" s="136"/>
      <c r="N4443" s="136"/>
    </row>
    <row r="4444" spans="6:14">
      <c r="F4444" s="136" t="s">
        <v>17846</v>
      </c>
      <c r="G4444" s="136">
        <v>4441</v>
      </c>
      <c r="H4444" s="136" t="s">
        <v>3625</v>
      </c>
      <c r="I4444" s="136" t="s">
        <v>3626</v>
      </c>
      <c r="J4444" s="136" t="s">
        <v>17847</v>
      </c>
      <c r="L4444" s="136"/>
      <c r="M4444" s="136"/>
      <c r="N4444" s="136"/>
    </row>
    <row r="4445" spans="6:14">
      <c r="F4445" s="136" t="s">
        <v>17848</v>
      </c>
      <c r="G4445" s="136">
        <v>4442</v>
      </c>
      <c r="H4445" s="136" t="s">
        <v>3293</v>
      </c>
      <c r="I4445" s="136" t="s">
        <v>3293</v>
      </c>
      <c r="J4445" s="136" t="s">
        <v>17849</v>
      </c>
      <c r="L4445" s="136"/>
      <c r="M4445" s="136"/>
      <c r="N4445" s="136"/>
    </row>
    <row r="4446" spans="6:14">
      <c r="F4446" s="136" t="s">
        <v>17850</v>
      </c>
      <c r="G4446" s="136">
        <v>2544176121</v>
      </c>
      <c r="H4446" s="136" t="s">
        <v>5974</v>
      </c>
      <c r="I4446" s="136" t="s">
        <v>5975</v>
      </c>
      <c r="J4446" s="136" t="s">
        <v>17851</v>
      </c>
      <c r="L4446" s="136"/>
      <c r="M4446" s="136"/>
      <c r="N4446" s="136"/>
    </row>
    <row r="4447" spans="6:14">
      <c r="F4447" s="136" t="s">
        <v>17852</v>
      </c>
      <c r="G4447" s="136">
        <v>4444</v>
      </c>
      <c r="H4447" s="136" t="s">
        <v>7606</v>
      </c>
      <c r="I4447" s="136" t="s">
        <v>7607</v>
      </c>
      <c r="J4447" s="136" t="s">
        <v>17853</v>
      </c>
      <c r="L4447" s="136"/>
      <c r="M4447" s="136"/>
      <c r="N4447" s="136"/>
    </row>
    <row r="4448" spans="6:14">
      <c r="F4448" s="136" t="s">
        <v>17854</v>
      </c>
      <c r="G4448" s="136">
        <v>4445</v>
      </c>
      <c r="H4448" s="136" t="s">
        <v>17855</v>
      </c>
      <c r="I4448" s="136" t="s">
        <v>14461</v>
      </c>
      <c r="J4448" s="136" t="s">
        <v>17856</v>
      </c>
      <c r="L4448" s="136"/>
      <c r="M4448" s="136"/>
      <c r="N4448" s="136"/>
    </row>
    <row r="4449" spans="6:14">
      <c r="F4449" s="136" t="s">
        <v>17857</v>
      </c>
      <c r="G4449" s="136">
        <v>4446</v>
      </c>
      <c r="H4449" s="136" t="s">
        <v>1820</v>
      </c>
      <c r="I4449" s="136" t="s">
        <v>1821</v>
      </c>
      <c r="J4449" s="136" t="s">
        <v>17858</v>
      </c>
      <c r="L4449" s="136"/>
      <c r="M4449" s="136"/>
      <c r="N4449" s="136"/>
    </row>
    <row r="4450" spans="6:14">
      <c r="F4450" s="136" t="s">
        <v>17859</v>
      </c>
      <c r="G4450" s="136">
        <v>4447</v>
      </c>
      <c r="H4450" s="136" t="s">
        <v>623</v>
      </c>
      <c r="I4450" s="136" t="s">
        <v>624</v>
      </c>
      <c r="J4450" s="136" t="s">
        <v>17860</v>
      </c>
      <c r="L4450" s="136"/>
      <c r="M4450" s="136"/>
      <c r="N4450" s="136"/>
    </row>
    <row r="4451" spans="6:14">
      <c r="F4451" s="136" t="s">
        <v>17861</v>
      </c>
      <c r="G4451" s="136">
        <v>2209360803</v>
      </c>
      <c r="H4451" s="136" t="s">
        <v>1665</v>
      </c>
      <c r="I4451" s="136" t="s">
        <v>1666</v>
      </c>
      <c r="J4451" s="136" t="s">
        <v>17862</v>
      </c>
      <c r="L4451" s="136"/>
      <c r="M4451" s="136"/>
      <c r="N4451" s="136"/>
    </row>
    <row r="4452" spans="6:14">
      <c r="F4452" s="136" t="s">
        <v>17863</v>
      </c>
      <c r="G4452" s="136">
        <v>28520138861</v>
      </c>
      <c r="H4452" s="136" t="s">
        <v>102</v>
      </c>
      <c r="I4452" s="136" t="s">
        <v>103</v>
      </c>
      <c r="J4452" s="136" t="s">
        <v>17864</v>
      </c>
      <c r="L4452" s="136"/>
      <c r="M4452" s="136"/>
      <c r="N4452" s="136"/>
    </row>
    <row r="4453" spans="6:14">
      <c r="F4453" s="136" t="s">
        <v>17865</v>
      </c>
      <c r="G4453" s="136">
        <v>4450</v>
      </c>
      <c r="H4453" s="136" t="s">
        <v>2814</v>
      </c>
      <c r="I4453" s="136" t="s">
        <v>2815</v>
      </c>
      <c r="J4453" s="136" t="s">
        <v>17866</v>
      </c>
      <c r="L4453" s="136"/>
      <c r="M4453" s="136"/>
      <c r="N4453" s="136"/>
    </row>
    <row r="4454" spans="6:14">
      <c r="F4454" s="136" t="s">
        <v>17867</v>
      </c>
      <c r="G4454" s="136">
        <v>4451</v>
      </c>
      <c r="H4454" s="136" t="s">
        <v>502</v>
      </c>
      <c r="I4454" s="136" t="s">
        <v>503</v>
      </c>
      <c r="J4454" s="136" t="s">
        <v>17868</v>
      </c>
      <c r="L4454" s="136"/>
      <c r="M4454" s="136"/>
      <c r="N4454" s="136"/>
    </row>
    <row r="4455" spans="6:14">
      <c r="F4455" s="136" t="s">
        <v>17869</v>
      </c>
      <c r="G4455" s="136">
        <v>4452</v>
      </c>
      <c r="H4455" s="136" t="s">
        <v>425</v>
      </c>
      <c r="I4455" s="136" t="s">
        <v>426</v>
      </c>
      <c r="J4455" s="136" t="s">
        <v>17870</v>
      </c>
      <c r="L4455" s="136"/>
      <c r="M4455" s="136"/>
      <c r="N4455" s="136"/>
    </row>
    <row r="4456" spans="6:14">
      <c r="F4456" s="136" t="s">
        <v>17871</v>
      </c>
      <c r="G4456" s="136">
        <v>4453</v>
      </c>
      <c r="H4456" s="136" t="s">
        <v>5005</v>
      </c>
      <c r="I4456" s="136" t="s">
        <v>5006</v>
      </c>
      <c r="J4456" s="136" t="s">
        <v>17872</v>
      </c>
      <c r="L4456" s="136"/>
      <c r="M4456" s="136"/>
      <c r="N4456" s="136"/>
    </row>
    <row r="4457" spans="6:14">
      <c r="F4457" s="136" t="s">
        <v>17873</v>
      </c>
      <c r="G4457" s="136">
        <v>7659486640</v>
      </c>
      <c r="H4457" s="136" t="s">
        <v>6113</v>
      </c>
      <c r="I4457" s="136" t="s">
        <v>6113</v>
      </c>
      <c r="J4457" s="136" t="s">
        <v>17874</v>
      </c>
      <c r="L4457" s="136"/>
      <c r="M4457" s="136"/>
      <c r="N4457" s="136"/>
    </row>
    <row r="4458" spans="6:14">
      <c r="F4458" s="136" t="s">
        <v>17875</v>
      </c>
      <c r="G4458" s="136">
        <v>4455</v>
      </c>
      <c r="H4458" s="136" t="s">
        <v>3587</v>
      </c>
      <c r="I4458" s="136" t="s">
        <v>3588</v>
      </c>
      <c r="J4458" s="136" t="s">
        <v>17876</v>
      </c>
      <c r="L4458" s="136"/>
      <c r="M4458" s="136"/>
      <c r="N4458" s="136"/>
    </row>
    <row r="4459" spans="6:14">
      <c r="F4459" s="136" t="s">
        <v>17877</v>
      </c>
      <c r="G4459" s="136">
        <v>44220628835</v>
      </c>
      <c r="H4459" s="136" t="s">
        <v>2465</v>
      </c>
      <c r="I4459" s="136" t="s">
        <v>2466</v>
      </c>
      <c r="J4459" s="136" t="s">
        <v>17878</v>
      </c>
      <c r="L4459" s="136"/>
      <c r="M4459" s="136"/>
      <c r="N4459" s="136"/>
    </row>
    <row r="4460" spans="6:14">
      <c r="F4460" s="136" t="s">
        <v>17879</v>
      </c>
      <c r="G4460" s="136">
        <v>7330589497</v>
      </c>
      <c r="H4460" s="136" t="s">
        <v>5973</v>
      </c>
      <c r="I4460" s="136" t="s">
        <v>5973</v>
      </c>
      <c r="J4460" s="136" t="s">
        <v>17880</v>
      </c>
      <c r="L4460" s="136"/>
      <c r="M4460" s="136"/>
      <c r="N4460" s="136"/>
    </row>
    <row r="4461" spans="6:14">
      <c r="F4461" s="136" t="s">
        <v>17881</v>
      </c>
      <c r="G4461" s="136">
        <v>4458</v>
      </c>
      <c r="H4461" s="136" t="s">
        <v>644</v>
      </c>
      <c r="I4461" s="136" t="s">
        <v>645</v>
      </c>
      <c r="J4461" s="136" t="s">
        <v>17882</v>
      </c>
      <c r="L4461" s="136"/>
      <c r="M4461" s="136"/>
      <c r="N4461" s="136"/>
    </row>
    <row r="4462" spans="6:14">
      <c r="F4462" s="136" t="s">
        <v>17883</v>
      </c>
      <c r="G4462" s="136">
        <v>5587353559</v>
      </c>
      <c r="H4462" s="136" t="s">
        <v>2876</v>
      </c>
      <c r="I4462" s="136" t="s">
        <v>2877</v>
      </c>
      <c r="J4462" s="136" t="s">
        <v>17884</v>
      </c>
      <c r="L4462" s="136"/>
      <c r="M4462" s="136"/>
      <c r="N4462" s="136"/>
    </row>
    <row r="4463" spans="6:14">
      <c r="F4463" s="136" t="s">
        <v>17885</v>
      </c>
      <c r="G4463" s="136">
        <v>4460</v>
      </c>
      <c r="H4463" s="136" t="s">
        <v>3837</v>
      </c>
      <c r="I4463" s="136" t="s">
        <v>3837</v>
      </c>
      <c r="J4463" s="136" t="s">
        <v>17886</v>
      </c>
      <c r="L4463" s="136"/>
      <c r="M4463" s="136"/>
      <c r="N4463" s="136"/>
    </row>
    <row r="4464" spans="6:14">
      <c r="F4464" s="136" t="s">
        <v>17887</v>
      </c>
      <c r="G4464" s="136">
        <v>4461</v>
      </c>
      <c r="H4464" s="136" t="s">
        <v>17888</v>
      </c>
      <c r="I4464" s="136" t="s">
        <v>17889</v>
      </c>
      <c r="J4464" s="136" t="s">
        <v>17890</v>
      </c>
      <c r="L4464" s="136"/>
      <c r="M4464" s="136"/>
      <c r="N4464" s="136"/>
    </row>
    <row r="4465" spans="6:14">
      <c r="F4465" s="136" t="s">
        <v>17891</v>
      </c>
      <c r="G4465" s="136">
        <v>55896820020</v>
      </c>
      <c r="H4465" s="136" t="s">
        <v>3258</v>
      </c>
      <c r="I4465" s="136" t="s">
        <v>3258</v>
      </c>
      <c r="J4465" s="136" t="s">
        <v>17892</v>
      </c>
      <c r="L4465" s="136"/>
      <c r="M4465" s="136"/>
      <c r="N4465" s="136"/>
    </row>
    <row r="4466" spans="6:14">
      <c r="F4466" s="136" t="s">
        <v>17893</v>
      </c>
      <c r="G4466" s="136">
        <v>4463</v>
      </c>
      <c r="H4466" s="136" t="s">
        <v>17894</v>
      </c>
      <c r="I4466" s="136" t="s">
        <v>17895</v>
      </c>
      <c r="J4466" s="136" t="s">
        <v>17896</v>
      </c>
      <c r="L4466" s="136"/>
      <c r="M4466" s="136"/>
      <c r="N4466" s="136"/>
    </row>
    <row r="4467" spans="6:14">
      <c r="F4467" s="136" t="s">
        <v>17897</v>
      </c>
      <c r="G4467" s="136">
        <v>4464</v>
      </c>
      <c r="H4467" s="136" t="s">
        <v>1061</v>
      </c>
      <c r="I4467" s="136" t="s">
        <v>1062</v>
      </c>
      <c r="J4467" s="136" t="s">
        <v>17898</v>
      </c>
      <c r="L4467" s="136"/>
      <c r="M4467" s="136"/>
      <c r="N4467" s="136"/>
    </row>
    <row r="4468" spans="6:14">
      <c r="F4468" s="136" t="s">
        <v>17899</v>
      </c>
      <c r="G4468" s="136">
        <v>37396098858</v>
      </c>
      <c r="H4468" s="136" t="s">
        <v>1551</v>
      </c>
      <c r="I4468" s="136" t="s">
        <v>1552</v>
      </c>
      <c r="J4468" s="136" t="s">
        <v>17900</v>
      </c>
      <c r="L4468" s="136"/>
      <c r="M4468" s="136"/>
      <c r="N4468" s="136"/>
    </row>
    <row r="4469" spans="6:14">
      <c r="F4469" s="136" t="s">
        <v>17901</v>
      </c>
      <c r="G4469" s="136">
        <v>4466</v>
      </c>
      <c r="H4469" s="136" t="s">
        <v>84</v>
      </c>
      <c r="I4469" s="136" t="s">
        <v>84</v>
      </c>
      <c r="J4469" s="136" t="s">
        <v>17902</v>
      </c>
      <c r="L4469" s="136"/>
      <c r="M4469" s="136"/>
      <c r="N4469" s="136"/>
    </row>
    <row r="4470" spans="6:14">
      <c r="F4470" s="136" t="s">
        <v>17903</v>
      </c>
      <c r="G4470" s="136">
        <v>4467</v>
      </c>
      <c r="H4470" s="136" t="s">
        <v>17904</v>
      </c>
      <c r="I4470" s="136" t="s">
        <v>17905</v>
      </c>
      <c r="J4470" s="136" t="s">
        <v>17906</v>
      </c>
      <c r="L4470" s="136"/>
      <c r="M4470" s="136"/>
      <c r="N4470" s="136"/>
    </row>
    <row r="4471" spans="6:14">
      <c r="F4471" s="136" t="s">
        <v>17907</v>
      </c>
      <c r="G4471" s="136">
        <v>4468</v>
      </c>
      <c r="H4471" s="136" t="s">
        <v>3815</v>
      </c>
      <c r="I4471" s="136" t="s">
        <v>3816</v>
      </c>
      <c r="J4471" s="136" t="s">
        <v>17908</v>
      </c>
      <c r="L4471" s="136"/>
      <c r="M4471" s="136"/>
      <c r="N4471" s="136"/>
    </row>
    <row r="4472" spans="6:14">
      <c r="F4472" s="136" t="s">
        <v>17909</v>
      </c>
      <c r="G4472" s="136">
        <v>4469</v>
      </c>
      <c r="H4472" s="136" t="s">
        <v>1051</v>
      </c>
      <c r="I4472" s="136" t="s">
        <v>1052</v>
      </c>
      <c r="J4472" s="136" t="s">
        <v>17910</v>
      </c>
      <c r="L4472" s="136"/>
      <c r="M4472" s="136"/>
      <c r="N4472" s="136"/>
    </row>
    <row r="4473" spans="6:14">
      <c r="F4473" s="136" t="s">
        <v>17911</v>
      </c>
      <c r="G4473" s="136">
        <v>43267038812</v>
      </c>
      <c r="H4473" s="136" t="s">
        <v>4356</v>
      </c>
      <c r="I4473" s="136" t="s">
        <v>4356</v>
      </c>
      <c r="J4473" s="136" t="s">
        <v>17912</v>
      </c>
      <c r="L4473" s="136"/>
      <c r="M4473" s="136"/>
      <c r="N4473" s="136"/>
    </row>
    <row r="4474" spans="6:14">
      <c r="F4474" s="136" t="s">
        <v>17913</v>
      </c>
      <c r="G4474" s="136">
        <v>7497073729</v>
      </c>
      <c r="H4474" s="136" t="s">
        <v>1785</v>
      </c>
      <c r="I4474" s="136" t="s">
        <v>1785</v>
      </c>
      <c r="J4474" s="136" t="s">
        <v>17914</v>
      </c>
      <c r="L4474" s="136"/>
      <c r="M4474" s="136"/>
      <c r="N4474" s="136"/>
    </row>
    <row r="4475" spans="6:14">
      <c r="F4475" s="136" t="s">
        <v>17915</v>
      </c>
      <c r="G4475" s="136">
        <v>4472</v>
      </c>
      <c r="H4475" s="136" t="s">
        <v>1777</v>
      </c>
      <c r="I4475" s="136" t="s">
        <v>1777</v>
      </c>
      <c r="J4475" s="136" t="s">
        <v>17916</v>
      </c>
      <c r="L4475" s="136"/>
      <c r="M4475" s="136"/>
      <c r="N4475" s="136"/>
    </row>
    <row r="4476" spans="6:14">
      <c r="F4476" s="136" t="s">
        <v>17917</v>
      </c>
      <c r="G4476" s="136">
        <v>4473</v>
      </c>
      <c r="H4476" s="136" t="s">
        <v>898</v>
      </c>
      <c r="I4476" s="136" t="s">
        <v>899</v>
      </c>
      <c r="J4476" s="136" t="s">
        <v>17918</v>
      </c>
      <c r="L4476" s="136"/>
      <c r="M4476" s="136"/>
      <c r="N4476" s="136"/>
    </row>
    <row r="4477" spans="6:14">
      <c r="F4477" s="136" t="s">
        <v>17919</v>
      </c>
      <c r="G4477" s="136">
        <v>68821310744</v>
      </c>
      <c r="H4477" s="136" t="s">
        <v>4422</v>
      </c>
      <c r="I4477" s="136" t="s">
        <v>4422</v>
      </c>
      <c r="J4477" s="136" t="s">
        <v>17920</v>
      </c>
      <c r="L4477" s="136"/>
      <c r="M4477" s="136"/>
      <c r="N4477" s="136"/>
    </row>
    <row r="4478" spans="6:14">
      <c r="F4478" s="136" t="s">
        <v>17921</v>
      </c>
      <c r="G4478" s="136">
        <v>4475</v>
      </c>
      <c r="H4478" s="136" t="s">
        <v>1363</v>
      </c>
      <c r="I4478" s="136" t="s">
        <v>1364</v>
      </c>
      <c r="J4478" s="136" t="s">
        <v>17922</v>
      </c>
      <c r="L4478" s="136"/>
      <c r="M4478" s="136"/>
      <c r="N4478" s="136"/>
    </row>
    <row r="4479" spans="6:14">
      <c r="F4479" s="136" t="s">
        <v>17923</v>
      </c>
      <c r="G4479" s="136">
        <v>4476</v>
      </c>
      <c r="H4479" s="136" t="s">
        <v>23585</v>
      </c>
      <c r="I4479" s="136" t="s">
        <v>17924</v>
      </c>
      <c r="J4479" s="136" t="s">
        <v>17925</v>
      </c>
      <c r="L4479" s="136"/>
      <c r="M4479" s="136"/>
      <c r="N4479" s="136"/>
    </row>
    <row r="4480" spans="6:14">
      <c r="F4480" s="136" t="s">
        <v>17926</v>
      </c>
      <c r="G4480" s="136">
        <v>4477</v>
      </c>
      <c r="H4480" s="136" t="s">
        <v>2878</v>
      </c>
      <c r="I4480" s="136" t="s">
        <v>2878</v>
      </c>
      <c r="J4480" s="136" t="s">
        <v>17927</v>
      </c>
      <c r="L4480" s="136"/>
      <c r="M4480" s="136"/>
      <c r="N4480" s="136"/>
    </row>
    <row r="4481" spans="6:14">
      <c r="F4481" s="136" t="s">
        <v>17928</v>
      </c>
      <c r="G4481" s="136">
        <v>26792669865</v>
      </c>
      <c r="H4481" s="136" t="s">
        <v>2353</v>
      </c>
      <c r="I4481" s="136" t="s">
        <v>2353</v>
      </c>
      <c r="J4481" s="136" t="s">
        <v>17929</v>
      </c>
      <c r="L4481" s="136"/>
      <c r="M4481" s="136"/>
      <c r="N4481" s="136"/>
    </row>
    <row r="4482" spans="6:14">
      <c r="F4482" s="136" t="s">
        <v>17930</v>
      </c>
      <c r="G4482" s="136">
        <v>1889144126</v>
      </c>
      <c r="H4482" s="136" t="s">
        <v>611</v>
      </c>
      <c r="I4482" s="136" t="s">
        <v>612</v>
      </c>
      <c r="J4482" s="136" t="s">
        <v>17931</v>
      </c>
      <c r="L4482" s="136"/>
      <c r="M4482" s="136"/>
      <c r="N4482" s="136"/>
    </row>
    <row r="4483" spans="6:14">
      <c r="F4483" s="136" t="s">
        <v>17932</v>
      </c>
      <c r="G4483" s="136">
        <v>4480</v>
      </c>
      <c r="H4483" s="136" t="s">
        <v>1571</v>
      </c>
      <c r="I4483" s="136" t="s">
        <v>1572</v>
      </c>
      <c r="J4483" s="136" t="s">
        <v>17933</v>
      </c>
      <c r="L4483" s="136"/>
      <c r="M4483" s="136"/>
      <c r="N4483" s="136"/>
    </row>
    <row r="4484" spans="6:14">
      <c r="F4484" s="136" t="s">
        <v>17934</v>
      </c>
      <c r="G4484" s="136">
        <v>4481</v>
      </c>
      <c r="H4484" s="136" t="s">
        <v>17935</v>
      </c>
      <c r="I4484" s="136" t="s">
        <v>17936</v>
      </c>
      <c r="J4484" s="136" t="s">
        <v>17937</v>
      </c>
      <c r="L4484" s="136"/>
      <c r="M4484" s="136"/>
      <c r="N4484" s="136"/>
    </row>
    <row r="4485" spans="6:14">
      <c r="F4485" s="136" t="s">
        <v>17938</v>
      </c>
      <c r="G4485" s="136">
        <v>12030330604</v>
      </c>
      <c r="H4485" s="136" t="s">
        <v>458</v>
      </c>
      <c r="I4485" s="136" t="s">
        <v>459</v>
      </c>
      <c r="J4485" s="136" t="s">
        <v>17939</v>
      </c>
      <c r="L4485" s="136"/>
      <c r="M4485" s="136"/>
      <c r="N4485" s="136"/>
    </row>
    <row r="4486" spans="6:14">
      <c r="F4486" s="136" t="s">
        <v>17940</v>
      </c>
      <c r="G4486" s="136">
        <v>69517320604</v>
      </c>
      <c r="H4486" s="136" t="s">
        <v>5982</v>
      </c>
      <c r="I4486" s="136" t="s">
        <v>5983</v>
      </c>
      <c r="J4486" s="136" t="s">
        <v>17941</v>
      </c>
      <c r="L4486" s="136"/>
      <c r="M4486" s="136"/>
      <c r="N4486" s="136"/>
    </row>
    <row r="4487" spans="6:14">
      <c r="F4487" s="136" t="s">
        <v>17942</v>
      </c>
      <c r="G4487" s="136">
        <v>4484</v>
      </c>
      <c r="H4487" s="136" t="s">
        <v>318</v>
      </c>
      <c r="I4487" s="136" t="s">
        <v>318</v>
      </c>
      <c r="J4487" s="136" t="s">
        <v>17943</v>
      </c>
      <c r="L4487" s="136"/>
      <c r="M4487" s="136"/>
      <c r="N4487" s="136"/>
    </row>
    <row r="4488" spans="6:14">
      <c r="F4488" s="136" t="s">
        <v>17944</v>
      </c>
      <c r="G4488" s="136">
        <v>4485</v>
      </c>
      <c r="H4488" s="136" t="s">
        <v>3097</v>
      </c>
      <c r="I4488" s="136" t="s">
        <v>3097</v>
      </c>
      <c r="J4488" s="136" t="s">
        <v>17945</v>
      </c>
      <c r="L4488" s="136"/>
      <c r="M4488" s="136"/>
      <c r="N4488" s="136"/>
    </row>
    <row r="4489" spans="6:14">
      <c r="F4489" s="136" t="s">
        <v>17946</v>
      </c>
      <c r="G4489" s="136">
        <v>4486</v>
      </c>
      <c r="H4489" s="136" t="s">
        <v>5387</v>
      </c>
      <c r="I4489" s="136" t="s">
        <v>5388</v>
      </c>
      <c r="J4489" s="136" t="s">
        <v>17947</v>
      </c>
      <c r="L4489" s="136"/>
      <c r="M4489" s="136"/>
      <c r="N4489" s="136"/>
    </row>
    <row r="4490" spans="6:14">
      <c r="F4490" s="136" t="s">
        <v>17948</v>
      </c>
      <c r="G4490" s="136">
        <v>4487</v>
      </c>
      <c r="H4490" s="136" t="s">
        <v>2277</v>
      </c>
      <c r="I4490" s="136" t="s">
        <v>2278</v>
      </c>
      <c r="J4490" s="136" t="s">
        <v>17949</v>
      </c>
      <c r="L4490" s="136"/>
      <c r="M4490" s="136"/>
      <c r="N4490" s="136"/>
    </row>
    <row r="4491" spans="6:14">
      <c r="F4491" s="136" t="s">
        <v>17950</v>
      </c>
      <c r="G4491" s="136">
        <v>4488</v>
      </c>
      <c r="H4491" s="136" t="s">
        <v>1268</v>
      </c>
      <c r="I4491" s="136" t="s">
        <v>1268</v>
      </c>
      <c r="J4491" s="136" t="s">
        <v>17951</v>
      </c>
      <c r="L4491" s="136"/>
      <c r="M4491" s="136"/>
      <c r="N4491" s="136"/>
    </row>
    <row r="4492" spans="6:14">
      <c r="F4492" s="136" t="s">
        <v>17952</v>
      </c>
      <c r="G4492" s="136">
        <v>4489</v>
      </c>
      <c r="H4492" s="136" t="s">
        <v>6138</v>
      </c>
      <c r="I4492" s="136" t="s">
        <v>6138</v>
      </c>
      <c r="J4492" s="136" t="s">
        <v>17953</v>
      </c>
      <c r="L4492" s="136"/>
      <c r="M4492" s="136"/>
      <c r="N4492" s="136"/>
    </row>
    <row r="4493" spans="6:14">
      <c r="F4493" s="136" t="s">
        <v>17954</v>
      </c>
      <c r="G4493" s="136">
        <v>4490</v>
      </c>
      <c r="H4493" s="136" t="s">
        <v>17955</v>
      </c>
      <c r="I4493" s="136" t="s">
        <v>17956</v>
      </c>
      <c r="J4493" s="136" t="s">
        <v>17957</v>
      </c>
      <c r="L4493" s="136"/>
      <c r="M4493" s="136"/>
      <c r="N4493" s="136"/>
    </row>
    <row r="4494" spans="6:14">
      <c r="F4494" s="136" t="s">
        <v>17958</v>
      </c>
      <c r="G4494" s="136">
        <v>4491</v>
      </c>
      <c r="H4494" s="136" t="s">
        <v>2536</v>
      </c>
      <c r="I4494" s="136" t="s">
        <v>2536</v>
      </c>
      <c r="J4494" s="136" t="s">
        <v>17959</v>
      </c>
      <c r="L4494" s="136"/>
      <c r="M4494" s="136"/>
      <c r="N4494" s="136"/>
    </row>
    <row r="4495" spans="6:14">
      <c r="F4495" s="136" t="s">
        <v>17960</v>
      </c>
      <c r="G4495" s="136">
        <v>4492</v>
      </c>
      <c r="H4495" s="136" t="s">
        <v>638</v>
      </c>
      <c r="I4495" s="136" t="s">
        <v>639</v>
      </c>
      <c r="J4495" s="136" t="s">
        <v>17961</v>
      </c>
      <c r="L4495" s="136"/>
      <c r="M4495" s="136"/>
      <c r="N4495" s="136"/>
    </row>
    <row r="4496" spans="6:14">
      <c r="F4496" s="136" t="s">
        <v>17962</v>
      </c>
      <c r="G4496" s="136">
        <v>4493</v>
      </c>
      <c r="H4496" s="136" t="s">
        <v>17963</v>
      </c>
      <c r="I4496" s="136" t="s">
        <v>17964</v>
      </c>
      <c r="J4496" s="136" t="s">
        <v>17965</v>
      </c>
      <c r="L4496" s="136"/>
      <c r="M4496" s="136"/>
      <c r="N4496" s="136"/>
    </row>
    <row r="4497" spans="6:14">
      <c r="F4497" s="136" t="s">
        <v>17966</v>
      </c>
      <c r="G4497" s="136">
        <v>4494</v>
      </c>
      <c r="H4497" s="136" t="s">
        <v>4553</v>
      </c>
      <c r="I4497" s="136" t="s">
        <v>4554</v>
      </c>
      <c r="J4497" s="136" t="s">
        <v>17967</v>
      </c>
      <c r="L4497" s="136"/>
      <c r="M4497" s="136"/>
      <c r="N4497" s="136"/>
    </row>
    <row r="4498" spans="6:14">
      <c r="F4498" s="136" t="s">
        <v>17968</v>
      </c>
      <c r="G4498" s="136">
        <v>4495</v>
      </c>
      <c r="H4498" s="136" t="s">
        <v>954</v>
      </c>
      <c r="I4498" s="136" t="s">
        <v>955</v>
      </c>
      <c r="J4498" s="136" t="s">
        <v>17969</v>
      </c>
      <c r="L4498" s="136"/>
      <c r="M4498" s="136"/>
      <c r="N4498" s="136"/>
    </row>
    <row r="4499" spans="6:14">
      <c r="F4499" s="136" t="s">
        <v>17970</v>
      </c>
      <c r="G4499" s="136">
        <v>26678625897</v>
      </c>
      <c r="H4499" s="136" t="s">
        <v>3287</v>
      </c>
      <c r="I4499" s="136" t="s">
        <v>3287</v>
      </c>
      <c r="J4499" s="136" t="s">
        <v>17971</v>
      </c>
      <c r="L4499" s="136"/>
      <c r="M4499" s="136"/>
      <c r="N4499" s="136"/>
    </row>
    <row r="4500" spans="6:14">
      <c r="F4500" s="136" t="s">
        <v>17972</v>
      </c>
      <c r="G4500" s="136">
        <v>60595345549</v>
      </c>
      <c r="H4500" s="136" t="s">
        <v>4349</v>
      </c>
      <c r="I4500" s="136" t="s">
        <v>4349</v>
      </c>
      <c r="J4500" s="136" t="s">
        <v>17973</v>
      </c>
      <c r="L4500" s="136"/>
      <c r="M4500" s="136"/>
      <c r="N4500" s="136"/>
    </row>
    <row r="4501" spans="6:14">
      <c r="F4501" s="136" t="s">
        <v>17974</v>
      </c>
      <c r="G4501" s="136">
        <v>4498</v>
      </c>
      <c r="H4501" s="136" t="s">
        <v>2010</v>
      </c>
      <c r="I4501" s="136" t="s">
        <v>2011</v>
      </c>
      <c r="J4501" s="136" t="s">
        <v>17975</v>
      </c>
      <c r="L4501" s="136"/>
      <c r="M4501" s="136"/>
      <c r="N4501" s="136"/>
    </row>
    <row r="4502" spans="6:14">
      <c r="F4502" s="136" t="s">
        <v>17976</v>
      </c>
      <c r="G4502" s="136">
        <v>4499</v>
      </c>
      <c r="H4502" s="136" t="s">
        <v>17977</v>
      </c>
      <c r="I4502" s="136" t="s">
        <v>17977</v>
      </c>
      <c r="J4502" s="136" t="s">
        <v>17978</v>
      </c>
      <c r="L4502" s="136"/>
      <c r="M4502" s="136"/>
      <c r="N4502" s="136"/>
    </row>
    <row r="4503" spans="6:14">
      <c r="F4503" s="136" t="s">
        <v>17979</v>
      </c>
      <c r="G4503" s="136">
        <v>4500</v>
      </c>
      <c r="H4503" s="136" t="s">
        <v>17980</v>
      </c>
      <c r="I4503" s="136" t="s">
        <v>17981</v>
      </c>
      <c r="J4503" s="136" t="s">
        <v>17982</v>
      </c>
      <c r="L4503" s="136"/>
      <c r="M4503" s="136"/>
      <c r="N4503" s="136"/>
    </row>
    <row r="4504" spans="6:14">
      <c r="F4504" s="136" t="s">
        <v>17983</v>
      </c>
      <c r="G4504" s="136">
        <v>4501</v>
      </c>
      <c r="H4504" s="136" t="s">
        <v>3779</v>
      </c>
      <c r="I4504" s="136" t="s">
        <v>3780</v>
      </c>
      <c r="J4504" s="136" t="s">
        <v>17984</v>
      </c>
      <c r="L4504" s="136"/>
      <c r="M4504" s="136"/>
      <c r="N4504" s="136"/>
    </row>
    <row r="4505" spans="6:14">
      <c r="F4505" s="136" t="s">
        <v>17985</v>
      </c>
      <c r="G4505" s="136">
        <v>4502</v>
      </c>
      <c r="H4505" s="136" t="s">
        <v>6218</v>
      </c>
      <c r="I4505" s="136" t="s">
        <v>6219</v>
      </c>
      <c r="J4505" s="136" t="s">
        <v>17986</v>
      </c>
      <c r="L4505" s="136"/>
      <c r="M4505" s="136"/>
      <c r="N4505" s="136"/>
    </row>
    <row r="4506" spans="6:14">
      <c r="F4506" s="136" t="s">
        <v>17987</v>
      </c>
      <c r="G4506" s="136">
        <v>4503</v>
      </c>
      <c r="H4506" s="136" t="s">
        <v>1824</v>
      </c>
      <c r="I4506" s="136" t="s">
        <v>1825</v>
      </c>
      <c r="J4506" s="136" t="s">
        <v>17988</v>
      </c>
      <c r="L4506" s="136"/>
      <c r="M4506" s="136"/>
      <c r="N4506" s="136"/>
    </row>
    <row r="4507" spans="6:14">
      <c r="F4507" s="136" t="s">
        <v>17989</v>
      </c>
      <c r="G4507" s="136">
        <v>3945412196</v>
      </c>
      <c r="H4507" s="136" t="s">
        <v>893</v>
      </c>
      <c r="I4507" s="136" t="s">
        <v>894</v>
      </c>
      <c r="J4507" s="136" t="s">
        <v>17990</v>
      </c>
      <c r="L4507" s="136"/>
      <c r="M4507" s="136"/>
      <c r="N4507" s="136"/>
    </row>
    <row r="4508" spans="6:14">
      <c r="F4508" s="136" t="s">
        <v>17991</v>
      </c>
      <c r="G4508" s="136">
        <v>4755512492</v>
      </c>
      <c r="H4508" s="136" t="s">
        <v>5263</v>
      </c>
      <c r="I4508" s="136" t="s">
        <v>5264</v>
      </c>
      <c r="J4508" s="136" t="s">
        <v>17992</v>
      </c>
      <c r="L4508" s="136"/>
      <c r="M4508" s="136"/>
      <c r="N4508" s="136"/>
    </row>
    <row r="4509" spans="6:14">
      <c r="F4509" s="136" t="s">
        <v>17993</v>
      </c>
      <c r="G4509" s="136">
        <v>2457787300</v>
      </c>
      <c r="H4509" s="136" t="s">
        <v>1892</v>
      </c>
      <c r="I4509" s="136" t="s">
        <v>1892</v>
      </c>
      <c r="J4509" s="136" t="s">
        <v>17994</v>
      </c>
      <c r="L4509" s="136"/>
      <c r="M4509" s="136"/>
      <c r="N4509" s="136"/>
    </row>
    <row r="4510" spans="6:14">
      <c r="F4510" s="136" t="s">
        <v>17995</v>
      </c>
      <c r="G4510" s="136">
        <v>4507</v>
      </c>
      <c r="H4510" s="136" t="s">
        <v>3877</v>
      </c>
      <c r="I4510" s="136" t="s">
        <v>3878</v>
      </c>
      <c r="J4510" s="136" t="s">
        <v>17996</v>
      </c>
      <c r="L4510" s="136"/>
      <c r="M4510" s="136"/>
      <c r="N4510" s="136"/>
    </row>
    <row r="4511" spans="6:14">
      <c r="F4511" s="136" t="s">
        <v>17997</v>
      </c>
      <c r="G4511" s="136">
        <v>1042058490</v>
      </c>
      <c r="H4511" s="136" t="s">
        <v>5171</v>
      </c>
      <c r="I4511" s="136" t="s">
        <v>5172</v>
      </c>
      <c r="J4511" s="136" t="s">
        <v>17998</v>
      </c>
      <c r="L4511" s="136"/>
      <c r="M4511" s="136"/>
      <c r="N4511" s="136"/>
    </row>
    <row r="4512" spans="6:14">
      <c r="F4512" s="136" t="s">
        <v>17999</v>
      </c>
      <c r="G4512" s="136">
        <v>9286661665</v>
      </c>
      <c r="H4512" s="136" t="s">
        <v>5990</v>
      </c>
      <c r="I4512" s="136" t="s">
        <v>5991</v>
      </c>
      <c r="J4512" s="136" t="s">
        <v>18000</v>
      </c>
      <c r="L4512" s="136"/>
      <c r="M4512" s="136"/>
      <c r="N4512" s="136"/>
    </row>
    <row r="4513" spans="6:14">
      <c r="F4513" s="136" t="s">
        <v>18001</v>
      </c>
      <c r="G4513" s="136">
        <v>4510</v>
      </c>
      <c r="H4513" s="136" t="s">
        <v>1800</v>
      </c>
      <c r="I4513" s="136" t="s">
        <v>1801</v>
      </c>
      <c r="J4513" s="136" t="s">
        <v>18002</v>
      </c>
      <c r="L4513" s="136"/>
      <c r="M4513" s="136"/>
      <c r="N4513" s="136"/>
    </row>
    <row r="4514" spans="6:14">
      <c r="F4514" s="136" t="s">
        <v>18003</v>
      </c>
      <c r="G4514" s="136">
        <v>4511</v>
      </c>
      <c r="H4514" s="136" t="s">
        <v>4682</v>
      </c>
      <c r="I4514" s="136" t="s">
        <v>4683</v>
      </c>
      <c r="J4514" s="136" t="s">
        <v>18004</v>
      </c>
      <c r="L4514" s="136"/>
      <c r="M4514" s="136"/>
      <c r="N4514" s="136"/>
    </row>
    <row r="4515" spans="6:14">
      <c r="F4515" s="136" t="s">
        <v>18005</v>
      </c>
      <c r="G4515" s="136">
        <v>4512</v>
      </c>
      <c r="H4515" s="136" t="s">
        <v>3995</v>
      </c>
      <c r="I4515" s="136" t="s">
        <v>3996</v>
      </c>
      <c r="J4515" s="136" t="s">
        <v>18006</v>
      </c>
      <c r="L4515" s="136"/>
      <c r="M4515" s="136"/>
      <c r="N4515" s="136"/>
    </row>
    <row r="4516" spans="6:14">
      <c r="F4516" s="136" t="s">
        <v>18007</v>
      </c>
      <c r="G4516" s="136">
        <v>4513</v>
      </c>
      <c r="H4516" s="136" t="s">
        <v>5459</v>
      </c>
      <c r="I4516" s="136" t="s">
        <v>5460</v>
      </c>
      <c r="J4516" s="136" t="s">
        <v>18008</v>
      </c>
      <c r="L4516" s="136"/>
      <c r="M4516" s="136"/>
      <c r="N4516" s="136"/>
    </row>
    <row r="4517" spans="6:14">
      <c r="F4517" s="136" t="s">
        <v>18009</v>
      </c>
      <c r="G4517" s="136">
        <v>19227577807</v>
      </c>
      <c r="H4517" s="136" t="s">
        <v>3014</v>
      </c>
      <c r="I4517" s="136" t="s">
        <v>3015</v>
      </c>
      <c r="J4517" s="136" t="s">
        <v>18010</v>
      </c>
      <c r="L4517" s="136"/>
      <c r="M4517" s="136"/>
      <c r="N4517" s="136"/>
    </row>
    <row r="4518" spans="6:14">
      <c r="F4518" s="136" t="s">
        <v>18011</v>
      </c>
      <c r="G4518" s="136">
        <v>4515</v>
      </c>
      <c r="H4518" s="136" t="s">
        <v>18012</v>
      </c>
      <c r="I4518" s="136" t="s">
        <v>18013</v>
      </c>
      <c r="J4518" s="136" t="s">
        <v>18014</v>
      </c>
      <c r="L4518" s="136"/>
      <c r="M4518" s="136"/>
      <c r="N4518" s="136"/>
    </row>
    <row r="4519" spans="6:14">
      <c r="F4519" s="136" t="s">
        <v>18015</v>
      </c>
      <c r="G4519" s="136">
        <v>4516</v>
      </c>
      <c r="H4519" s="136" t="s">
        <v>4496</v>
      </c>
      <c r="I4519" s="136" t="s">
        <v>4496</v>
      </c>
      <c r="J4519" s="136" t="s">
        <v>18016</v>
      </c>
      <c r="L4519" s="136"/>
      <c r="M4519" s="136"/>
      <c r="N4519" s="136"/>
    </row>
    <row r="4520" spans="6:14">
      <c r="F4520" s="136" t="s">
        <v>18017</v>
      </c>
      <c r="G4520" s="136">
        <v>4517</v>
      </c>
      <c r="H4520" s="136" t="s">
        <v>95</v>
      </c>
      <c r="I4520" s="136" t="s">
        <v>96</v>
      </c>
      <c r="J4520" s="136" t="s">
        <v>18018</v>
      </c>
      <c r="L4520" s="136"/>
      <c r="M4520" s="136"/>
      <c r="N4520" s="136"/>
    </row>
    <row r="4521" spans="6:14">
      <c r="F4521" s="136" t="s">
        <v>18019</v>
      </c>
      <c r="G4521" s="136">
        <v>4518</v>
      </c>
      <c r="H4521" s="136" t="s">
        <v>18020</v>
      </c>
      <c r="I4521" s="136" t="s">
        <v>18021</v>
      </c>
      <c r="J4521" s="136" t="s">
        <v>18022</v>
      </c>
      <c r="L4521" s="136"/>
      <c r="M4521" s="136"/>
      <c r="N4521" s="136"/>
    </row>
    <row r="4522" spans="6:14">
      <c r="F4522" s="136" t="s">
        <v>18023</v>
      </c>
      <c r="G4522" s="136">
        <v>14521071732</v>
      </c>
      <c r="H4522" s="136" t="s">
        <v>415</v>
      </c>
      <c r="I4522" s="136" t="s">
        <v>415</v>
      </c>
      <c r="J4522" s="136" t="s">
        <v>18024</v>
      </c>
      <c r="L4522" s="136"/>
      <c r="M4522" s="136"/>
      <c r="N4522" s="136"/>
    </row>
    <row r="4523" spans="6:14">
      <c r="F4523" s="136" t="s">
        <v>18025</v>
      </c>
      <c r="G4523" s="136">
        <v>5492943413</v>
      </c>
      <c r="H4523" s="136" t="s">
        <v>2396</v>
      </c>
      <c r="I4523" s="136" t="s">
        <v>2397</v>
      </c>
      <c r="J4523" s="136" t="s">
        <v>18026</v>
      </c>
      <c r="L4523" s="136"/>
      <c r="M4523" s="136"/>
      <c r="N4523" s="136"/>
    </row>
    <row r="4524" spans="6:14">
      <c r="F4524" s="136" t="s">
        <v>18027</v>
      </c>
      <c r="G4524" s="136">
        <v>4521</v>
      </c>
      <c r="H4524" s="136" t="s">
        <v>6055</v>
      </c>
      <c r="I4524" s="136" t="s">
        <v>6056</v>
      </c>
      <c r="J4524" s="136" t="s">
        <v>18028</v>
      </c>
      <c r="L4524" s="136"/>
      <c r="M4524" s="136"/>
      <c r="N4524" s="136"/>
    </row>
    <row r="4525" spans="6:14">
      <c r="F4525" s="136" t="s">
        <v>18029</v>
      </c>
      <c r="G4525" s="136">
        <v>4522</v>
      </c>
      <c r="H4525" s="136" t="s">
        <v>18030</v>
      </c>
      <c r="I4525" s="136" t="s">
        <v>18031</v>
      </c>
      <c r="J4525" s="136" t="s">
        <v>18032</v>
      </c>
      <c r="L4525" s="136"/>
      <c r="M4525" s="136"/>
      <c r="N4525" s="136"/>
    </row>
    <row r="4526" spans="6:14">
      <c r="F4526" s="136" t="s">
        <v>18033</v>
      </c>
      <c r="G4526" s="136">
        <v>4523</v>
      </c>
      <c r="H4526" s="136" t="s">
        <v>4674</v>
      </c>
      <c r="I4526" s="136" t="s">
        <v>4675</v>
      </c>
      <c r="J4526" s="136" t="s">
        <v>18034</v>
      </c>
      <c r="L4526" s="136"/>
      <c r="M4526" s="136"/>
      <c r="N4526" s="136"/>
    </row>
    <row r="4527" spans="6:14">
      <c r="F4527" s="136" t="s">
        <v>18035</v>
      </c>
      <c r="G4527" s="136">
        <v>4524</v>
      </c>
      <c r="H4527" s="136" t="s">
        <v>18036</v>
      </c>
      <c r="I4527" s="136" t="s">
        <v>18037</v>
      </c>
      <c r="J4527" s="136" t="s">
        <v>18038</v>
      </c>
      <c r="L4527" s="136"/>
      <c r="M4527" s="136"/>
      <c r="N4527" s="136"/>
    </row>
    <row r="4528" spans="6:14">
      <c r="F4528" s="136" t="s">
        <v>18039</v>
      </c>
      <c r="G4528" s="136">
        <v>4525</v>
      </c>
      <c r="H4528" s="136" t="s">
        <v>18040</v>
      </c>
      <c r="I4528" s="136" t="s">
        <v>18041</v>
      </c>
      <c r="J4528" s="136" t="s">
        <v>18042</v>
      </c>
      <c r="L4528" s="136"/>
      <c r="M4528" s="136"/>
      <c r="N4528" s="136"/>
    </row>
    <row r="4529" spans="6:14">
      <c r="F4529" s="136" t="s">
        <v>18043</v>
      </c>
      <c r="G4529" s="136">
        <v>4526</v>
      </c>
      <c r="H4529" s="136" t="s">
        <v>2232</v>
      </c>
      <c r="I4529" s="136" t="s">
        <v>2232</v>
      </c>
      <c r="J4529" s="136" t="s">
        <v>18044</v>
      </c>
      <c r="L4529" s="136"/>
      <c r="M4529" s="136"/>
      <c r="N4529" s="136"/>
    </row>
    <row r="4530" spans="6:14">
      <c r="F4530" s="136" t="s">
        <v>18045</v>
      </c>
      <c r="G4530" s="136">
        <v>4527</v>
      </c>
      <c r="H4530" s="136" t="s">
        <v>5759</v>
      </c>
      <c r="I4530" s="136" t="s">
        <v>5760</v>
      </c>
      <c r="J4530" s="136" t="s">
        <v>18046</v>
      </c>
      <c r="L4530" s="136"/>
      <c r="M4530" s="136"/>
      <c r="N4530" s="136"/>
    </row>
    <row r="4531" spans="6:14">
      <c r="F4531" s="136" t="s">
        <v>18047</v>
      </c>
      <c r="G4531" s="136">
        <v>4528</v>
      </c>
      <c r="H4531" s="136" t="s">
        <v>3075</v>
      </c>
      <c r="I4531" s="136" t="s">
        <v>3075</v>
      </c>
      <c r="J4531" s="136" t="s">
        <v>18048</v>
      </c>
      <c r="L4531" s="136"/>
      <c r="M4531" s="136"/>
      <c r="N4531" s="136"/>
    </row>
    <row r="4532" spans="6:14">
      <c r="F4532" s="136" t="s">
        <v>18049</v>
      </c>
      <c r="G4532" s="136">
        <v>4529</v>
      </c>
      <c r="H4532" s="136" t="s">
        <v>1555</v>
      </c>
      <c r="I4532" s="136" t="s">
        <v>1556</v>
      </c>
      <c r="J4532" s="136" t="s">
        <v>18050</v>
      </c>
      <c r="L4532" s="136"/>
      <c r="M4532" s="136"/>
      <c r="N4532" s="136"/>
    </row>
    <row r="4533" spans="6:14">
      <c r="F4533" s="136" t="s">
        <v>18051</v>
      </c>
      <c r="G4533" s="136">
        <v>4530</v>
      </c>
      <c r="H4533" s="136" t="s">
        <v>1140</v>
      </c>
      <c r="I4533" s="136" t="s">
        <v>1141</v>
      </c>
      <c r="J4533" s="136" t="s">
        <v>18052</v>
      </c>
      <c r="L4533" s="136"/>
      <c r="M4533" s="136"/>
      <c r="N4533" s="136"/>
    </row>
    <row r="4534" spans="6:14">
      <c r="F4534" s="136" t="s">
        <v>18053</v>
      </c>
      <c r="G4534" s="136">
        <v>4531</v>
      </c>
      <c r="H4534" s="136" t="s">
        <v>230</v>
      </c>
      <c r="I4534" s="136" t="s">
        <v>230</v>
      </c>
      <c r="J4534" s="136" t="s">
        <v>18054</v>
      </c>
      <c r="L4534" s="136"/>
      <c r="M4534" s="136"/>
      <c r="N4534" s="136"/>
    </row>
    <row r="4535" spans="6:14">
      <c r="F4535" s="136" t="s">
        <v>18055</v>
      </c>
      <c r="G4535" s="136">
        <v>4532</v>
      </c>
      <c r="H4535" s="136" t="s">
        <v>1636</v>
      </c>
      <c r="I4535" s="136" t="s">
        <v>1645</v>
      </c>
      <c r="J4535" s="136" t="s">
        <v>18056</v>
      </c>
      <c r="L4535" s="136"/>
      <c r="M4535" s="136"/>
      <c r="N4535" s="136"/>
    </row>
    <row r="4536" spans="6:14">
      <c r="F4536" s="136" t="s">
        <v>18057</v>
      </c>
      <c r="G4536" s="136">
        <v>25684329500</v>
      </c>
      <c r="H4536" s="136" t="s">
        <v>1780</v>
      </c>
      <c r="I4536" s="136" t="s">
        <v>1780</v>
      </c>
      <c r="J4536" s="136" t="s">
        <v>18058</v>
      </c>
      <c r="L4536" s="136"/>
      <c r="M4536" s="136"/>
      <c r="N4536" s="136"/>
    </row>
    <row r="4537" spans="6:14">
      <c r="F4537" s="136" t="s">
        <v>18059</v>
      </c>
      <c r="G4537" s="136">
        <v>4534</v>
      </c>
      <c r="H4537" s="136" t="s">
        <v>4308</v>
      </c>
      <c r="I4537" s="136" t="s">
        <v>4309</v>
      </c>
      <c r="J4537" s="136" t="s">
        <v>18060</v>
      </c>
      <c r="L4537" s="136"/>
      <c r="M4537" s="136"/>
      <c r="N4537" s="136"/>
    </row>
    <row r="4538" spans="6:14">
      <c r="F4538" s="136" t="s">
        <v>18061</v>
      </c>
      <c r="G4538" s="136">
        <v>4535</v>
      </c>
      <c r="H4538" s="136" t="s">
        <v>5740</v>
      </c>
      <c r="I4538" s="136" t="s">
        <v>5741</v>
      </c>
      <c r="J4538" s="136" t="s">
        <v>18062</v>
      </c>
      <c r="L4538" s="136"/>
      <c r="M4538" s="136"/>
      <c r="N4538" s="136"/>
    </row>
    <row r="4539" spans="6:14">
      <c r="F4539" s="136" t="s">
        <v>18063</v>
      </c>
      <c r="G4539" s="136">
        <v>4536</v>
      </c>
      <c r="H4539" s="136" t="s">
        <v>18064</v>
      </c>
      <c r="I4539" s="136" t="s">
        <v>18065</v>
      </c>
      <c r="J4539" s="136" t="s">
        <v>18066</v>
      </c>
      <c r="L4539" s="136"/>
      <c r="M4539" s="136"/>
      <c r="N4539" s="136"/>
    </row>
    <row r="4540" spans="6:14">
      <c r="F4540" s="136" t="s">
        <v>18067</v>
      </c>
      <c r="G4540" s="136">
        <v>54860830172</v>
      </c>
      <c r="H4540" s="136" t="s">
        <v>5959</v>
      </c>
      <c r="I4540" s="136" t="s">
        <v>5960</v>
      </c>
      <c r="J4540" s="136" t="s">
        <v>18068</v>
      </c>
      <c r="L4540" s="136"/>
      <c r="M4540" s="136"/>
      <c r="N4540" s="136"/>
    </row>
    <row r="4541" spans="6:14">
      <c r="F4541" s="136" t="s">
        <v>18069</v>
      </c>
      <c r="G4541" s="136">
        <v>4538</v>
      </c>
      <c r="H4541" s="136" t="s">
        <v>18070</v>
      </c>
      <c r="I4541" s="136" t="s">
        <v>18071</v>
      </c>
      <c r="J4541" s="136" t="s">
        <v>18072</v>
      </c>
      <c r="L4541" s="136"/>
      <c r="M4541" s="136"/>
      <c r="N4541" s="136"/>
    </row>
    <row r="4542" spans="6:14">
      <c r="F4542" s="136" t="s">
        <v>18073</v>
      </c>
      <c r="G4542" s="136">
        <v>4539</v>
      </c>
      <c r="H4542" s="136" t="s">
        <v>5530</v>
      </c>
      <c r="I4542" s="136" t="s">
        <v>5531</v>
      </c>
      <c r="J4542" s="136" t="s">
        <v>18074</v>
      </c>
      <c r="L4542" s="136"/>
      <c r="M4542" s="136"/>
      <c r="N4542" s="136"/>
    </row>
    <row r="4543" spans="6:14">
      <c r="F4543" s="136" t="s">
        <v>18075</v>
      </c>
      <c r="G4543" s="136">
        <v>5659834310</v>
      </c>
      <c r="H4543" s="136" t="s">
        <v>5796</v>
      </c>
      <c r="I4543" s="136" t="s">
        <v>5796</v>
      </c>
      <c r="J4543" s="136" t="s">
        <v>18076</v>
      </c>
      <c r="L4543" s="136"/>
      <c r="M4543" s="136"/>
      <c r="N4543" s="136"/>
    </row>
    <row r="4544" spans="6:14">
      <c r="F4544" s="136" t="s">
        <v>18077</v>
      </c>
      <c r="G4544" s="136">
        <v>4541</v>
      </c>
      <c r="H4544" s="136" t="s">
        <v>18078</v>
      </c>
      <c r="I4544" s="136" t="s">
        <v>18079</v>
      </c>
      <c r="J4544" s="136" t="s">
        <v>18080</v>
      </c>
      <c r="L4544" s="136"/>
      <c r="M4544" s="136"/>
      <c r="N4544" s="136"/>
    </row>
    <row r="4545" spans="6:14">
      <c r="F4545" s="136" t="s">
        <v>18081</v>
      </c>
      <c r="G4545" s="136">
        <v>4542</v>
      </c>
      <c r="H4545" s="136" t="s">
        <v>18082</v>
      </c>
      <c r="I4545" s="136" t="s">
        <v>18083</v>
      </c>
      <c r="J4545" s="136" t="s">
        <v>18084</v>
      </c>
      <c r="L4545" s="136"/>
      <c r="M4545" s="136"/>
      <c r="N4545" s="136"/>
    </row>
    <row r="4546" spans="6:14">
      <c r="F4546" s="136" t="s">
        <v>18085</v>
      </c>
      <c r="G4546" s="136">
        <v>19032532847</v>
      </c>
      <c r="H4546" s="136" t="s">
        <v>1227</v>
      </c>
      <c r="I4546" s="136" t="s">
        <v>1228</v>
      </c>
      <c r="J4546" s="136" t="s">
        <v>18086</v>
      </c>
      <c r="L4546" s="136"/>
      <c r="M4546" s="136"/>
      <c r="N4546" s="136"/>
    </row>
    <row r="4547" spans="6:14">
      <c r="F4547" s="136" t="s">
        <v>18087</v>
      </c>
      <c r="G4547" s="136">
        <v>4544</v>
      </c>
      <c r="H4547" s="136" t="s">
        <v>18088</v>
      </c>
      <c r="I4547" s="136" t="s">
        <v>18089</v>
      </c>
      <c r="J4547" s="136" t="s">
        <v>18090</v>
      </c>
      <c r="L4547" s="136"/>
      <c r="M4547" s="136"/>
      <c r="N4547" s="136"/>
    </row>
    <row r="4548" spans="6:14">
      <c r="F4548" s="136" t="s">
        <v>18091</v>
      </c>
      <c r="G4548" s="136">
        <v>92609287704</v>
      </c>
      <c r="H4548" s="136" t="s">
        <v>408</v>
      </c>
      <c r="I4548" s="136" t="s">
        <v>408</v>
      </c>
      <c r="J4548" s="136" t="s">
        <v>18092</v>
      </c>
      <c r="L4548" s="136"/>
      <c r="M4548" s="136"/>
      <c r="N4548" s="136"/>
    </row>
    <row r="4549" spans="6:14">
      <c r="F4549" s="136" t="s">
        <v>18093</v>
      </c>
      <c r="G4549" s="136">
        <v>343711176</v>
      </c>
      <c r="H4549" s="136" t="s">
        <v>4459</v>
      </c>
      <c r="I4549" s="136" t="s">
        <v>4459</v>
      </c>
      <c r="J4549" s="136" t="s">
        <v>18094</v>
      </c>
      <c r="L4549" s="136"/>
      <c r="M4549" s="136"/>
      <c r="N4549" s="136"/>
    </row>
    <row r="4550" spans="6:14">
      <c r="F4550" s="136" t="s">
        <v>18095</v>
      </c>
      <c r="G4550" s="136">
        <v>4547</v>
      </c>
      <c r="H4550" s="136" t="s">
        <v>5805</v>
      </c>
      <c r="I4550" s="136" t="s">
        <v>5805</v>
      </c>
      <c r="J4550" s="136" t="s">
        <v>18096</v>
      </c>
      <c r="L4550" s="136"/>
      <c r="M4550" s="136"/>
      <c r="N4550" s="136"/>
    </row>
    <row r="4551" spans="6:14">
      <c r="F4551" s="136" t="s">
        <v>18097</v>
      </c>
      <c r="G4551" s="136">
        <v>4548</v>
      </c>
      <c r="H4551" s="136" t="s">
        <v>5579</v>
      </c>
      <c r="I4551" s="136" t="s">
        <v>5580</v>
      </c>
      <c r="J4551" s="136" t="s">
        <v>18098</v>
      </c>
      <c r="L4551" s="136"/>
      <c r="M4551" s="136"/>
      <c r="N4551" s="136"/>
    </row>
    <row r="4552" spans="6:14">
      <c r="F4552" s="136" t="s">
        <v>18099</v>
      </c>
      <c r="G4552" s="136">
        <v>13907106709</v>
      </c>
      <c r="H4552" s="136" t="s">
        <v>5992</v>
      </c>
      <c r="I4552" s="136" t="s">
        <v>5993</v>
      </c>
      <c r="J4552" s="136" t="s">
        <v>18100</v>
      </c>
      <c r="L4552" s="136"/>
      <c r="M4552" s="136"/>
      <c r="N4552" s="136"/>
    </row>
    <row r="4553" spans="6:14">
      <c r="F4553" s="136" t="s">
        <v>18101</v>
      </c>
      <c r="G4553" s="136">
        <v>4983280669</v>
      </c>
      <c r="H4553" s="136" t="s">
        <v>2128</v>
      </c>
      <c r="I4553" s="136" t="s">
        <v>2129</v>
      </c>
      <c r="J4553" s="136" t="s">
        <v>18102</v>
      </c>
      <c r="L4553" s="136"/>
      <c r="M4553" s="136"/>
      <c r="N4553" s="136"/>
    </row>
    <row r="4554" spans="6:14">
      <c r="F4554" s="136" t="s">
        <v>18103</v>
      </c>
      <c r="G4554" s="136">
        <v>7984505683</v>
      </c>
      <c r="H4554" s="136" t="s">
        <v>5838</v>
      </c>
      <c r="I4554" s="136" t="s">
        <v>5839</v>
      </c>
      <c r="J4554" s="136" t="s">
        <v>18104</v>
      </c>
      <c r="L4554" s="136"/>
      <c r="M4554" s="136"/>
      <c r="N4554" s="136"/>
    </row>
    <row r="4555" spans="6:14">
      <c r="F4555" s="136" t="s">
        <v>18105</v>
      </c>
      <c r="G4555" s="136">
        <v>61263683398</v>
      </c>
      <c r="H4555" s="136" t="s">
        <v>6064</v>
      </c>
      <c r="I4555" s="136" t="s">
        <v>6064</v>
      </c>
      <c r="J4555" s="136" t="s">
        <v>18106</v>
      </c>
      <c r="L4555" s="136"/>
      <c r="M4555" s="136"/>
      <c r="N4555" s="136"/>
    </row>
    <row r="4556" spans="6:14">
      <c r="F4556" s="136" t="s">
        <v>18107</v>
      </c>
      <c r="G4556" s="136">
        <v>4553</v>
      </c>
      <c r="H4556" s="136" t="s">
        <v>4966</v>
      </c>
      <c r="I4556" s="136" t="s">
        <v>4966</v>
      </c>
      <c r="J4556" s="136" t="s">
        <v>18108</v>
      </c>
      <c r="L4556" s="136"/>
      <c r="M4556" s="136"/>
      <c r="N4556" s="136"/>
    </row>
    <row r="4557" spans="6:14">
      <c r="F4557" s="136" t="s">
        <v>18109</v>
      </c>
      <c r="G4557" s="136">
        <v>4554</v>
      </c>
      <c r="H4557" s="136" t="s">
        <v>4235</v>
      </c>
      <c r="I4557" s="136" t="s">
        <v>4236</v>
      </c>
      <c r="J4557" s="136" t="s">
        <v>18110</v>
      </c>
      <c r="L4557" s="136"/>
      <c r="M4557" s="136"/>
      <c r="N4557" s="136"/>
    </row>
    <row r="4558" spans="6:14">
      <c r="F4558" s="136" t="s">
        <v>18111</v>
      </c>
      <c r="G4558" s="136">
        <v>83864768004</v>
      </c>
      <c r="H4558" s="136" t="s">
        <v>3247</v>
      </c>
      <c r="I4558" s="136" t="s">
        <v>3247</v>
      </c>
      <c r="J4558" s="136" t="s">
        <v>18112</v>
      </c>
      <c r="L4558" s="136"/>
      <c r="M4558" s="136"/>
      <c r="N4558" s="136"/>
    </row>
    <row r="4559" spans="6:14">
      <c r="F4559" s="136" t="s">
        <v>18113</v>
      </c>
      <c r="G4559" s="136">
        <v>4547386765</v>
      </c>
      <c r="H4559" s="136" t="s">
        <v>5160</v>
      </c>
      <c r="I4559" s="136" t="s">
        <v>5161</v>
      </c>
      <c r="J4559" s="136" t="s">
        <v>18114</v>
      </c>
      <c r="L4559" s="136"/>
      <c r="M4559" s="136"/>
      <c r="N4559" s="136"/>
    </row>
    <row r="4560" spans="6:14">
      <c r="F4560" s="136" t="s">
        <v>18115</v>
      </c>
      <c r="G4560" s="136">
        <v>89596102168</v>
      </c>
      <c r="H4560" s="136" t="s">
        <v>3666</v>
      </c>
      <c r="I4560" s="136" t="s">
        <v>3666</v>
      </c>
      <c r="J4560" s="136" t="s">
        <v>18116</v>
      </c>
      <c r="L4560" s="136"/>
      <c r="M4560" s="136"/>
      <c r="N4560" s="136"/>
    </row>
    <row r="4561" spans="6:14">
      <c r="F4561" s="136" t="s">
        <v>18117</v>
      </c>
      <c r="G4561" s="136">
        <v>85552593120</v>
      </c>
      <c r="H4561" s="136" t="s">
        <v>4601</v>
      </c>
      <c r="I4561" s="136" t="s">
        <v>4601</v>
      </c>
      <c r="J4561" s="136" t="s">
        <v>18118</v>
      </c>
      <c r="L4561" s="136"/>
      <c r="M4561" s="136"/>
      <c r="N4561" s="136"/>
    </row>
    <row r="4562" spans="6:14">
      <c r="F4562" s="136" t="s">
        <v>18119</v>
      </c>
      <c r="G4562" s="136">
        <v>63153491372</v>
      </c>
      <c r="H4562" s="136" t="s">
        <v>1835</v>
      </c>
      <c r="I4562" s="136" t="s">
        <v>1835</v>
      </c>
      <c r="J4562" s="136" t="s">
        <v>18120</v>
      </c>
      <c r="L4562" s="136"/>
      <c r="M4562" s="136"/>
      <c r="N4562" s="136"/>
    </row>
    <row r="4563" spans="6:14">
      <c r="F4563" s="136" t="s">
        <v>18121</v>
      </c>
      <c r="G4563" s="136">
        <v>31585172804</v>
      </c>
      <c r="H4563" s="136" t="s">
        <v>2064</v>
      </c>
      <c r="I4563" s="136" t="s">
        <v>2064</v>
      </c>
      <c r="J4563" s="136" t="s">
        <v>18122</v>
      </c>
      <c r="L4563" s="136"/>
      <c r="M4563" s="136"/>
      <c r="N4563" s="136"/>
    </row>
    <row r="4564" spans="6:14">
      <c r="F4564" s="136" t="s">
        <v>18123</v>
      </c>
      <c r="G4564" s="136">
        <v>4561</v>
      </c>
      <c r="H4564" s="136" t="s">
        <v>18124</v>
      </c>
      <c r="I4564" s="136" t="s">
        <v>18125</v>
      </c>
      <c r="J4564" s="136" t="s">
        <v>18126</v>
      </c>
      <c r="L4564" s="136"/>
      <c r="M4564" s="136"/>
      <c r="N4564" s="136"/>
    </row>
    <row r="4565" spans="6:14">
      <c r="F4565" s="136" t="s">
        <v>18127</v>
      </c>
      <c r="G4565" s="136">
        <v>4562</v>
      </c>
      <c r="H4565" s="136" t="s">
        <v>18128</v>
      </c>
      <c r="I4565" s="136" t="s">
        <v>18129</v>
      </c>
      <c r="J4565" s="136" t="s">
        <v>18130</v>
      </c>
      <c r="L4565" s="136"/>
      <c r="M4565" s="136"/>
      <c r="N4565" s="136"/>
    </row>
    <row r="4566" spans="6:14">
      <c r="F4566" s="136" t="s">
        <v>18131</v>
      </c>
      <c r="G4566" s="136">
        <v>4563</v>
      </c>
      <c r="H4566" s="136" t="s">
        <v>18132</v>
      </c>
      <c r="I4566" s="136" t="s">
        <v>18133</v>
      </c>
      <c r="J4566" s="136" t="s">
        <v>18134</v>
      </c>
      <c r="L4566" s="136"/>
      <c r="M4566" s="136"/>
      <c r="N4566" s="136"/>
    </row>
    <row r="4567" spans="6:14">
      <c r="F4567" s="136" t="s">
        <v>18135</v>
      </c>
      <c r="G4567" s="136">
        <v>16956831708</v>
      </c>
      <c r="H4567" s="136" t="s">
        <v>1587</v>
      </c>
      <c r="I4567" s="136" t="s">
        <v>1588</v>
      </c>
      <c r="J4567" s="136" t="s">
        <v>18136</v>
      </c>
      <c r="L4567" s="136"/>
      <c r="M4567" s="136"/>
      <c r="N4567" s="136"/>
    </row>
    <row r="4568" spans="6:14">
      <c r="F4568" s="136" t="s">
        <v>18137</v>
      </c>
      <c r="G4568" s="136">
        <v>33735580858</v>
      </c>
      <c r="H4568" s="136" t="s">
        <v>5996</v>
      </c>
      <c r="I4568" s="136" t="s">
        <v>5996</v>
      </c>
      <c r="J4568" s="136" t="s">
        <v>18138</v>
      </c>
      <c r="L4568" s="136"/>
      <c r="M4568" s="136"/>
      <c r="N4568" s="136"/>
    </row>
    <row r="4569" spans="6:14">
      <c r="F4569" s="136" t="s">
        <v>18139</v>
      </c>
      <c r="G4569" s="136">
        <v>4566</v>
      </c>
      <c r="H4569" s="136" t="s">
        <v>18140</v>
      </c>
      <c r="I4569" s="136" t="s">
        <v>17322</v>
      </c>
      <c r="J4569" s="136" t="s">
        <v>18141</v>
      </c>
      <c r="L4569" s="136"/>
      <c r="M4569" s="136"/>
      <c r="N4569" s="136"/>
    </row>
    <row r="4570" spans="6:14">
      <c r="F4570" s="136" t="s">
        <v>18142</v>
      </c>
      <c r="G4570" s="136">
        <v>11794219730</v>
      </c>
      <c r="H4570" s="136" t="s">
        <v>3595</v>
      </c>
      <c r="I4570" s="136" t="s">
        <v>3595</v>
      </c>
      <c r="J4570" s="136" t="s">
        <v>18143</v>
      </c>
      <c r="L4570" s="136"/>
      <c r="M4570" s="136"/>
      <c r="N4570" s="136"/>
    </row>
    <row r="4571" spans="6:14">
      <c r="F4571" s="136" t="s">
        <v>18144</v>
      </c>
      <c r="G4571" s="136">
        <v>4568</v>
      </c>
      <c r="H4571" s="136" t="s">
        <v>2997</v>
      </c>
      <c r="I4571" s="136" t="s">
        <v>2998</v>
      </c>
      <c r="J4571" s="136" t="s">
        <v>18145</v>
      </c>
      <c r="L4571" s="136"/>
      <c r="M4571" s="136"/>
      <c r="N4571" s="136"/>
    </row>
    <row r="4572" spans="6:14">
      <c r="F4572" s="136" t="s">
        <v>18146</v>
      </c>
      <c r="G4572" s="136">
        <v>4569</v>
      </c>
      <c r="H4572" s="136" t="s">
        <v>2003</v>
      </c>
      <c r="I4572" s="136" t="s">
        <v>2004</v>
      </c>
      <c r="J4572" s="136" t="s">
        <v>18147</v>
      </c>
      <c r="L4572" s="136"/>
      <c r="M4572" s="136"/>
      <c r="N4572" s="136"/>
    </row>
    <row r="4573" spans="6:14">
      <c r="F4573" s="136" t="s">
        <v>18148</v>
      </c>
      <c r="G4573" s="136">
        <v>4570</v>
      </c>
      <c r="H4573" s="136" t="s">
        <v>3180</v>
      </c>
      <c r="I4573" s="136" t="s">
        <v>3180</v>
      </c>
      <c r="J4573" s="136" t="s">
        <v>18149</v>
      </c>
      <c r="L4573" s="136"/>
      <c r="M4573" s="136"/>
      <c r="N4573" s="136"/>
    </row>
    <row r="4574" spans="6:14">
      <c r="F4574" s="136" t="s">
        <v>18150</v>
      </c>
      <c r="G4574" s="136">
        <v>6723750365</v>
      </c>
      <c r="H4574" s="136" t="s">
        <v>3199</v>
      </c>
      <c r="I4574" s="136" t="s">
        <v>3199</v>
      </c>
      <c r="J4574" s="136" t="s">
        <v>18151</v>
      </c>
      <c r="L4574" s="136"/>
      <c r="M4574" s="136"/>
      <c r="N4574" s="136"/>
    </row>
    <row r="4575" spans="6:14">
      <c r="F4575" s="136" t="s">
        <v>18152</v>
      </c>
      <c r="G4575" s="136">
        <v>4572</v>
      </c>
      <c r="H4575" s="136" t="s">
        <v>18153</v>
      </c>
      <c r="I4575" s="136" t="s">
        <v>18154</v>
      </c>
      <c r="J4575" s="136" t="s">
        <v>18155</v>
      </c>
      <c r="L4575" s="136"/>
      <c r="M4575" s="136"/>
      <c r="N4575" s="136"/>
    </row>
    <row r="4576" spans="6:14">
      <c r="F4576" s="136" t="s">
        <v>18156</v>
      </c>
      <c r="G4576" s="136">
        <v>4573</v>
      </c>
      <c r="H4576" s="136" t="s">
        <v>5423</v>
      </c>
      <c r="I4576" s="136" t="s">
        <v>5424</v>
      </c>
      <c r="J4576" s="136" t="s">
        <v>18157</v>
      </c>
      <c r="L4576" s="136"/>
      <c r="M4576" s="136"/>
      <c r="N4576" s="136"/>
    </row>
    <row r="4577" spans="6:14">
      <c r="F4577" s="136" t="s">
        <v>18158</v>
      </c>
      <c r="G4577" s="136">
        <v>4574</v>
      </c>
      <c r="H4577" s="136" t="s">
        <v>1350</v>
      </c>
      <c r="I4577" s="136" t="s">
        <v>1351</v>
      </c>
      <c r="J4577" s="136" t="s">
        <v>18159</v>
      </c>
      <c r="L4577" s="136"/>
      <c r="M4577" s="136"/>
      <c r="N4577" s="136"/>
    </row>
    <row r="4578" spans="6:14">
      <c r="F4578" s="136" t="s">
        <v>18160</v>
      </c>
      <c r="G4578" s="136">
        <v>34226260856</v>
      </c>
      <c r="H4578" s="136" t="s">
        <v>1887</v>
      </c>
      <c r="I4578" s="136" t="s">
        <v>1887</v>
      </c>
      <c r="J4578" s="136" t="s">
        <v>18161</v>
      </c>
      <c r="L4578" s="136"/>
      <c r="M4578" s="136"/>
      <c r="N4578" s="136"/>
    </row>
    <row r="4579" spans="6:14">
      <c r="F4579" s="136" t="s">
        <v>18162</v>
      </c>
      <c r="G4579" s="136">
        <v>34923181850</v>
      </c>
      <c r="H4579" s="136" t="s">
        <v>2369</v>
      </c>
      <c r="I4579" s="136" t="s">
        <v>2370</v>
      </c>
      <c r="J4579" s="136" t="s">
        <v>18163</v>
      </c>
      <c r="L4579" s="136"/>
      <c r="M4579" s="136"/>
      <c r="N4579" s="136"/>
    </row>
    <row r="4580" spans="6:14">
      <c r="F4580" s="136" t="s">
        <v>18164</v>
      </c>
      <c r="G4580" s="136">
        <v>4369794382</v>
      </c>
      <c r="H4580" s="136" t="s">
        <v>3446</v>
      </c>
      <c r="I4580" s="136" t="s">
        <v>3446</v>
      </c>
      <c r="J4580" s="136" t="s">
        <v>18165</v>
      </c>
      <c r="L4580" s="136"/>
      <c r="M4580" s="136"/>
      <c r="N4580" s="136"/>
    </row>
    <row r="4581" spans="6:14">
      <c r="F4581" s="136" t="s">
        <v>18166</v>
      </c>
      <c r="G4581" s="136">
        <v>8205501670</v>
      </c>
      <c r="H4581" s="136" t="s">
        <v>5071</v>
      </c>
      <c r="I4581" s="136" t="s">
        <v>5072</v>
      </c>
      <c r="J4581" s="136" t="s">
        <v>18167</v>
      </c>
      <c r="L4581" s="136"/>
      <c r="M4581" s="136"/>
      <c r="N4581" s="136"/>
    </row>
    <row r="4582" spans="6:14">
      <c r="F4582" s="136" t="s">
        <v>18168</v>
      </c>
      <c r="G4582" s="136">
        <v>4579</v>
      </c>
      <c r="H4582" s="136" t="s">
        <v>302</v>
      </c>
      <c r="I4582" s="136" t="s">
        <v>303</v>
      </c>
      <c r="J4582" s="136" t="s">
        <v>18169</v>
      </c>
      <c r="L4582" s="136"/>
      <c r="M4582" s="136"/>
      <c r="N4582" s="136"/>
    </row>
    <row r="4583" spans="6:14">
      <c r="F4583" s="136" t="s">
        <v>18170</v>
      </c>
      <c r="G4583" s="136">
        <v>4580</v>
      </c>
      <c r="H4583" s="136" t="s">
        <v>18171</v>
      </c>
      <c r="I4583" s="136" t="s">
        <v>18172</v>
      </c>
      <c r="J4583" s="136" t="s">
        <v>18173</v>
      </c>
      <c r="L4583" s="136"/>
      <c r="M4583" s="136"/>
      <c r="N4583" s="136"/>
    </row>
    <row r="4584" spans="6:14">
      <c r="F4584" s="136" t="s">
        <v>18174</v>
      </c>
      <c r="G4584" s="136">
        <v>4581</v>
      </c>
      <c r="H4584" s="136" t="s">
        <v>1836</v>
      </c>
      <c r="I4584" s="136" t="s">
        <v>1836</v>
      </c>
      <c r="J4584" s="136" t="s">
        <v>18175</v>
      </c>
      <c r="L4584" s="136"/>
      <c r="M4584" s="136"/>
      <c r="N4584" s="136"/>
    </row>
    <row r="4585" spans="6:14">
      <c r="F4585" s="136" t="s">
        <v>18176</v>
      </c>
      <c r="G4585" s="136">
        <v>4582</v>
      </c>
      <c r="H4585" s="136" t="s">
        <v>313</v>
      </c>
      <c r="I4585" s="136" t="s">
        <v>313</v>
      </c>
      <c r="J4585" s="136" t="s">
        <v>18177</v>
      </c>
      <c r="L4585" s="136"/>
      <c r="M4585" s="136"/>
      <c r="N4585" s="136"/>
    </row>
    <row r="4586" spans="6:14">
      <c r="F4586" s="136" t="s">
        <v>18178</v>
      </c>
      <c r="G4586" s="136">
        <v>26366582890</v>
      </c>
      <c r="H4586" s="136" t="s">
        <v>5511</v>
      </c>
      <c r="I4586" s="136" t="s">
        <v>5511</v>
      </c>
      <c r="J4586" s="136" t="s">
        <v>18179</v>
      </c>
      <c r="L4586" s="136"/>
      <c r="M4586" s="136"/>
      <c r="N4586" s="136"/>
    </row>
    <row r="4587" spans="6:14">
      <c r="F4587" s="136" t="s">
        <v>18180</v>
      </c>
      <c r="G4587" s="136">
        <v>13481359640</v>
      </c>
      <c r="H4587" s="136" t="s">
        <v>1214</v>
      </c>
      <c r="I4587" s="136" t="s">
        <v>1215</v>
      </c>
      <c r="J4587" s="136" t="s">
        <v>18181</v>
      </c>
      <c r="L4587" s="136"/>
      <c r="M4587" s="136"/>
      <c r="N4587" s="136"/>
    </row>
    <row r="4588" spans="6:14">
      <c r="F4588" s="136" t="s">
        <v>18182</v>
      </c>
      <c r="G4588" s="136">
        <v>4585</v>
      </c>
      <c r="H4588" s="136" t="s">
        <v>9046</v>
      </c>
      <c r="I4588" s="136" t="s">
        <v>9046</v>
      </c>
      <c r="J4588" s="136" t="s">
        <v>18183</v>
      </c>
      <c r="L4588" s="136"/>
      <c r="M4588" s="136"/>
      <c r="N4588" s="136"/>
    </row>
    <row r="4589" spans="6:14">
      <c r="F4589" s="136" t="s">
        <v>18184</v>
      </c>
      <c r="G4589" s="136">
        <v>4586</v>
      </c>
      <c r="H4589" s="136" t="s">
        <v>5809</v>
      </c>
      <c r="I4589" s="136" t="s">
        <v>5809</v>
      </c>
      <c r="J4589" s="136" t="s">
        <v>18185</v>
      </c>
      <c r="L4589" s="136"/>
      <c r="M4589" s="136"/>
      <c r="N4589" s="136"/>
    </row>
    <row r="4590" spans="6:14">
      <c r="F4590" s="136" t="s">
        <v>18186</v>
      </c>
      <c r="G4590" s="136">
        <v>4587</v>
      </c>
      <c r="H4590" s="136" t="s">
        <v>18187</v>
      </c>
      <c r="I4590" s="136" t="s">
        <v>18188</v>
      </c>
      <c r="J4590" s="136" t="s">
        <v>18189</v>
      </c>
      <c r="L4590" s="136"/>
      <c r="M4590" s="136"/>
      <c r="N4590" s="136"/>
    </row>
    <row r="4591" spans="6:14">
      <c r="F4591" s="136" t="s">
        <v>18190</v>
      </c>
      <c r="G4591" s="136">
        <v>4588</v>
      </c>
      <c r="H4591" s="136" t="s">
        <v>18191</v>
      </c>
      <c r="I4591" s="136" t="s">
        <v>18192</v>
      </c>
      <c r="J4591" s="136" t="s">
        <v>18193</v>
      </c>
      <c r="L4591" s="136"/>
      <c r="M4591" s="136"/>
      <c r="N4591" s="136"/>
    </row>
    <row r="4592" spans="6:14">
      <c r="F4592" s="136" t="s">
        <v>18194</v>
      </c>
      <c r="G4592" s="136">
        <v>4589</v>
      </c>
      <c r="H4592" s="136" t="s">
        <v>3802</v>
      </c>
      <c r="I4592" s="136" t="s">
        <v>3802</v>
      </c>
      <c r="J4592" s="136" t="s">
        <v>18195</v>
      </c>
      <c r="L4592" s="136"/>
      <c r="M4592" s="136"/>
      <c r="N4592" s="136"/>
    </row>
    <row r="4593" spans="6:14">
      <c r="F4593" s="136" t="s">
        <v>18196</v>
      </c>
      <c r="G4593" s="136">
        <v>1306752108</v>
      </c>
      <c r="H4593" s="136" t="s">
        <v>5438</v>
      </c>
      <c r="I4593" s="136" t="s">
        <v>5438</v>
      </c>
      <c r="J4593" s="136" t="s">
        <v>18197</v>
      </c>
      <c r="L4593" s="136"/>
      <c r="M4593" s="136"/>
      <c r="N4593" s="136"/>
    </row>
    <row r="4594" spans="6:14">
      <c r="F4594" s="136" t="s">
        <v>18198</v>
      </c>
      <c r="G4594" s="136">
        <v>13365790721</v>
      </c>
      <c r="H4594" s="136" t="s">
        <v>4608</v>
      </c>
      <c r="I4594" s="136" t="s">
        <v>4609</v>
      </c>
      <c r="J4594" s="136" t="s">
        <v>18199</v>
      </c>
      <c r="L4594" s="136"/>
      <c r="M4594" s="136"/>
      <c r="N4594" s="136"/>
    </row>
    <row r="4595" spans="6:14">
      <c r="F4595" s="136" t="s">
        <v>18200</v>
      </c>
      <c r="G4595" s="136">
        <v>4592</v>
      </c>
      <c r="H4595" s="136" t="s">
        <v>18201</v>
      </c>
      <c r="I4595" s="136" t="s">
        <v>18202</v>
      </c>
      <c r="J4595" s="136" t="s">
        <v>18203</v>
      </c>
      <c r="L4595" s="136"/>
      <c r="M4595" s="136"/>
      <c r="N4595" s="136"/>
    </row>
    <row r="4596" spans="6:14">
      <c r="F4596" s="136" t="s">
        <v>18204</v>
      </c>
      <c r="G4596" s="136">
        <v>4593</v>
      </c>
      <c r="H4596" s="136" t="s">
        <v>18205</v>
      </c>
      <c r="I4596" s="136" t="s">
        <v>18206</v>
      </c>
      <c r="J4596" s="136" t="s">
        <v>18207</v>
      </c>
      <c r="L4596" s="136"/>
      <c r="M4596" s="136"/>
      <c r="N4596" s="136"/>
    </row>
    <row r="4597" spans="6:14">
      <c r="F4597" s="136" t="s">
        <v>18208</v>
      </c>
      <c r="G4597" s="136">
        <v>4594</v>
      </c>
      <c r="H4597" s="136" t="s">
        <v>18209</v>
      </c>
      <c r="I4597" s="136" t="s">
        <v>18210</v>
      </c>
      <c r="J4597" s="136" t="s">
        <v>18211</v>
      </c>
      <c r="L4597" s="136"/>
      <c r="M4597" s="136"/>
      <c r="N4597" s="136"/>
    </row>
    <row r="4598" spans="6:14">
      <c r="F4598" s="136" t="s">
        <v>18212</v>
      </c>
      <c r="G4598" s="136">
        <v>4595</v>
      </c>
      <c r="H4598" s="136" t="s">
        <v>18213</v>
      </c>
      <c r="I4598" s="136" t="s">
        <v>18214</v>
      </c>
      <c r="J4598" s="136" t="s">
        <v>18215</v>
      </c>
      <c r="L4598" s="136"/>
      <c r="M4598" s="136"/>
      <c r="N4598" s="136"/>
    </row>
    <row r="4599" spans="6:14">
      <c r="F4599" s="136" t="s">
        <v>18216</v>
      </c>
      <c r="G4599" s="136">
        <v>4596</v>
      </c>
      <c r="H4599" s="136" t="s">
        <v>18217</v>
      </c>
      <c r="I4599" s="136" t="s">
        <v>18217</v>
      </c>
      <c r="J4599" s="136" t="s">
        <v>18218</v>
      </c>
      <c r="L4599" s="136"/>
      <c r="M4599" s="136"/>
      <c r="N4599" s="136"/>
    </row>
    <row r="4600" spans="6:14">
      <c r="F4600" s="136" t="s">
        <v>18219</v>
      </c>
      <c r="G4600" s="136">
        <v>58863834172</v>
      </c>
      <c r="H4600" s="136" t="s">
        <v>423</v>
      </c>
      <c r="I4600" s="136" t="s">
        <v>424</v>
      </c>
      <c r="J4600" s="136" t="s">
        <v>18220</v>
      </c>
      <c r="L4600" s="136"/>
      <c r="M4600" s="136"/>
      <c r="N4600" s="136"/>
    </row>
    <row r="4601" spans="6:14">
      <c r="F4601" s="136" t="s">
        <v>18221</v>
      </c>
      <c r="G4601" s="136">
        <v>4598</v>
      </c>
      <c r="H4601" s="136" t="s">
        <v>1177</v>
      </c>
      <c r="I4601" s="136" t="s">
        <v>1178</v>
      </c>
      <c r="J4601" s="136" t="s">
        <v>18222</v>
      </c>
      <c r="L4601" s="136"/>
      <c r="M4601" s="136"/>
      <c r="N4601" s="136"/>
    </row>
    <row r="4602" spans="6:14">
      <c r="F4602" s="136" t="s">
        <v>18223</v>
      </c>
      <c r="G4602" s="136">
        <v>4599</v>
      </c>
      <c r="H4602" s="136" t="s">
        <v>18224</v>
      </c>
      <c r="I4602" s="136" t="s">
        <v>18225</v>
      </c>
      <c r="J4602" s="136" t="s">
        <v>18226</v>
      </c>
      <c r="L4602" s="136"/>
      <c r="M4602" s="136"/>
      <c r="N4602" s="136"/>
    </row>
    <row r="4603" spans="6:14">
      <c r="F4603" s="136" t="s">
        <v>18227</v>
      </c>
      <c r="G4603" s="136">
        <v>4600</v>
      </c>
      <c r="H4603" s="136" t="s">
        <v>2426</v>
      </c>
      <c r="I4603" s="136" t="s">
        <v>2427</v>
      </c>
      <c r="J4603" s="136" t="s">
        <v>18228</v>
      </c>
      <c r="L4603" s="136"/>
      <c r="M4603" s="136"/>
      <c r="N4603" s="136"/>
    </row>
    <row r="4604" spans="6:14">
      <c r="F4604" s="136" t="s">
        <v>18229</v>
      </c>
      <c r="G4604" s="136">
        <v>4601</v>
      </c>
      <c r="H4604" s="136" t="s">
        <v>18230</v>
      </c>
      <c r="I4604" s="136" t="s">
        <v>18231</v>
      </c>
      <c r="J4604" s="136" t="s">
        <v>18232</v>
      </c>
      <c r="L4604" s="136"/>
      <c r="M4604" s="136"/>
      <c r="N4604" s="136"/>
    </row>
    <row r="4605" spans="6:14">
      <c r="F4605" s="136" t="s">
        <v>18233</v>
      </c>
      <c r="G4605" s="136">
        <v>4602</v>
      </c>
      <c r="H4605" s="136" t="s">
        <v>4551</v>
      </c>
      <c r="I4605" s="136" t="s">
        <v>4552</v>
      </c>
      <c r="J4605" s="136" t="s">
        <v>18234</v>
      </c>
      <c r="L4605" s="136"/>
      <c r="M4605" s="136"/>
      <c r="N4605" s="136"/>
    </row>
    <row r="4606" spans="6:14">
      <c r="F4606" s="136" t="s">
        <v>18235</v>
      </c>
      <c r="G4606" s="136">
        <v>4603</v>
      </c>
      <c r="H4606" s="136" t="s">
        <v>380</v>
      </c>
      <c r="I4606" s="136" t="s">
        <v>381</v>
      </c>
      <c r="J4606" s="136" t="s">
        <v>18236</v>
      </c>
      <c r="L4606" s="136"/>
      <c r="M4606" s="136"/>
      <c r="N4606" s="136"/>
    </row>
    <row r="4607" spans="6:14">
      <c r="F4607" s="136" t="s">
        <v>18237</v>
      </c>
      <c r="G4607" s="136">
        <v>4604</v>
      </c>
      <c r="H4607" s="136" t="s">
        <v>5186</v>
      </c>
      <c r="I4607" s="136" t="s">
        <v>5187</v>
      </c>
      <c r="J4607" s="136" t="s">
        <v>18238</v>
      </c>
      <c r="L4607" s="136"/>
      <c r="M4607" s="136"/>
      <c r="N4607" s="136"/>
    </row>
    <row r="4608" spans="6:14">
      <c r="F4608" s="136" t="s">
        <v>18239</v>
      </c>
      <c r="G4608" s="136">
        <v>2942944145</v>
      </c>
      <c r="H4608" s="136" t="s">
        <v>3583</v>
      </c>
      <c r="I4608" s="136" t="s">
        <v>3584</v>
      </c>
      <c r="J4608" s="136" t="s">
        <v>18240</v>
      </c>
      <c r="L4608" s="136"/>
      <c r="M4608" s="136"/>
      <c r="N4608" s="136"/>
    </row>
    <row r="4609" spans="6:14">
      <c r="F4609" s="136" t="s">
        <v>18241</v>
      </c>
      <c r="G4609" s="136">
        <v>4606</v>
      </c>
      <c r="H4609" s="136" t="s">
        <v>18242</v>
      </c>
      <c r="I4609" s="136" t="s">
        <v>18243</v>
      </c>
      <c r="J4609" s="136" t="s">
        <v>18244</v>
      </c>
      <c r="L4609" s="136"/>
      <c r="M4609" s="136"/>
      <c r="N4609" s="136"/>
    </row>
    <row r="4610" spans="6:14">
      <c r="F4610" s="136" t="s">
        <v>18245</v>
      </c>
      <c r="G4610" s="136">
        <v>4607</v>
      </c>
      <c r="H4610" s="136" t="s">
        <v>18246</v>
      </c>
      <c r="I4610" s="136" t="s">
        <v>18247</v>
      </c>
      <c r="J4610" s="136" t="s">
        <v>18248</v>
      </c>
      <c r="L4610" s="136"/>
      <c r="M4610" s="136"/>
      <c r="N4610" s="136"/>
    </row>
    <row r="4611" spans="6:14">
      <c r="F4611" s="136" t="s">
        <v>18249</v>
      </c>
      <c r="G4611" s="136">
        <v>4608</v>
      </c>
      <c r="H4611" s="136" t="s">
        <v>1344</v>
      </c>
      <c r="I4611" s="136" t="s">
        <v>1345</v>
      </c>
      <c r="J4611" s="136" t="s">
        <v>18250</v>
      </c>
      <c r="L4611" s="136"/>
      <c r="M4611" s="136"/>
      <c r="N4611" s="136"/>
    </row>
    <row r="4612" spans="6:14">
      <c r="F4612" s="136" t="s">
        <v>18251</v>
      </c>
      <c r="G4612" s="136">
        <v>4609</v>
      </c>
      <c r="H4612" s="136" t="s">
        <v>18252</v>
      </c>
      <c r="I4612" s="136" t="s">
        <v>18253</v>
      </c>
      <c r="J4612" s="136" t="s">
        <v>18254</v>
      </c>
      <c r="L4612" s="136"/>
      <c r="M4612" s="136"/>
      <c r="N4612" s="136"/>
    </row>
    <row r="4613" spans="6:14">
      <c r="F4613" s="136" t="s">
        <v>18255</v>
      </c>
      <c r="G4613" s="136">
        <v>1629072222</v>
      </c>
      <c r="H4613" s="136" t="s">
        <v>3356</v>
      </c>
      <c r="I4613" s="136" t="s">
        <v>3357</v>
      </c>
      <c r="J4613" s="136" t="s">
        <v>18256</v>
      </c>
      <c r="L4613" s="136"/>
      <c r="M4613" s="136"/>
      <c r="N4613" s="136"/>
    </row>
    <row r="4614" spans="6:14">
      <c r="F4614" s="136" t="s">
        <v>18257</v>
      </c>
      <c r="G4614" s="136">
        <v>4611</v>
      </c>
      <c r="H4614" s="136" t="s">
        <v>2356</v>
      </c>
      <c r="I4614" s="136" t="s">
        <v>2357</v>
      </c>
      <c r="J4614" s="136" t="s">
        <v>18258</v>
      </c>
      <c r="L4614" s="136"/>
      <c r="M4614" s="136"/>
      <c r="N4614" s="136"/>
    </row>
    <row r="4615" spans="6:14">
      <c r="F4615" s="136" t="s">
        <v>18259</v>
      </c>
      <c r="G4615" s="136">
        <v>1593059000</v>
      </c>
      <c r="H4615" s="136" t="s">
        <v>4100</v>
      </c>
      <c r="I4615" s="136" t="s">
        <v>4100</v>
      </c>
      <c r="J4615" s="136" t="s">
        <v>18260</v>
      </c>
      <c r="L4615" s="136"/>
      <c r="M4615" s="136"/>
      <c r="N4615" s="136"/>
    </row>
    <row r="4616" spans="6:14">
      <c r="F4616" s="136" t="s">
        <v>18261</v>
      </c>
      <c r="G4616" s="136">
        <v>70943559553</v>
      </c>
      <c r="H4616" s="136" t="s">
        <v>4254</v>
      </c>
      <c r="I4616" s="136" t="s">
        <v>4254</v>
      </c>
      <c r="J4616" s="136" t="s">
        <v>18262</v>
      </c>
      <c r="L4616" s="136"/>
      <c r="M4616" s="136"/>
      <c r="N4616" s="136"/>
    </row>
    <row r="4617" spans="6:14">
      <c r="F4617" s="136" t="s">
        <v>18263</v>
      </c>
      <c r="G4617" s="136">
        <v>11867659760</v>
      </c>
      <c r="H4617" s="136" t="s">
        <v>2279</v>
      </c>
      <c r="I4617" s="136" t="s">
        <v>2279</v>
      </c>
      <c r="J4617" s="136" t="s">
        <v>18264</v>
      </c>
      <c r="L4617" s="136"/>
      <c r="M4617" s="136"/>
      <c r="N4617" s="136"/>
    </row>
    <row r="4618" spans="6:14">
      <c r="F4618" s="136" t="s">
        <v>18265</v>
      </c>
      <c r="G4618" s="136">
        <v>4580454111</v>
      </c>
      <c r="H4618" s="136" t="s">
        <v>3100</v>
      </c>
      <c r="I4618" s="136" t="s">
        <v>3101</v>
      </c>
      <c r="J4618" s="136" t="s">
        <v>18266</v>
      </c>
      <c r="L4618" s="136"/>
      <c r="M4618" s="136"/>
      <c r="N4618" s="136"/>
    </row>
    <row r="4619" spans="6:14">
      <c r="F4619" s="136" t="s">
        <v>18267</v>
      </c>
      <c r="G4619" s="136">
        <v>11530811643</v>
      </c>
      <c r="H4619" s="136" t="s">
        <v>3020</v>
      </c>
      <c r="I4619" s="136" t="s">
        <v>3021</v>
      </c>
      <c r="J4619" s="136" t="s">
        <v>18268</v>
      </c>
      <c r="L4619" s="136"/>
      <c r="M4619" s="136"/>
      <c r="N4619" s="136"/>
    </row>
    <row r="4620" spans="6:14">
      <c r="F4620" s="136" t="s">
        <v>18269</v>
      </c>
      <c r="G4620" s="136">
        <v>27348367852</v>
      </c>
      <c r="H4620" s="136" t="s">
        <v>5270</v>
      </c>
      <c r="I4620" s="136" t="s">
        <v>5270</v>
      </c>
      <c r="J4620" s="136" t="s">
        <v>18270</v>
      </c>
      <c r="L4620" s="136"/>
      <c r="M4620" s="136"/>
      <c r="N4620" s="136"/>
    </row>
    <row r="4621" spans="6:14">
      <c r="F4621" s="136" t="s">
        <v>18271</v>
      </c>
      <c r="G4621" s="136">
        <v>4618</v>
      </c>
      <c r="H4621" s="136" t="s">
        <v>18272</v>
      </c>
      <c r="I4621" s="136" t="s">
        <v>18273</v>
      </c>
      <c r="J4621" s="136" t="s">
        <v>18274</v>
      </c>
      <c r="L4621" s="136"/>
      <c r="M4621" s="136"/>
      <c r="N4621" s="136"/>
    </row>
    <row r="4622" spans="6:14">
      <c r="F4622" s="136" t="s">
        <v>18275</v>
      </c>
      <c r="G4622" s="136">
        <v>4619</v>
      </c>
      <c r="H4622" s="136" t="s">
        <v>18276</v>
      </c>
      <c r="I4622" s="136" t="s">
        <v>18277</v>
      </c>
      <c r="J4622" s="136" t="s">
        <v>18278</v>
      </c>
      <c r="L4622" s="136"/>
      <c r="M4622" s="136"/>
      <c r="N4622" s="136"/>
    </row>
    <row r="4623" spans="6:14">
      <c r="F4623" s="136" t="s">
        <v>18279</v>
      </c>
      <c r="G4623" s="136">
        <v>4620</v>
      </c>
      <c r="H4623" s="136" t="s">
        <v>13267</v>
      </c>
      <c r="I4623" s="136" t="s">
        <v>13267</v>
      </c>
      <c r="J4623" s="136" t="s">
        <v>18280</v>
      </c>
      <c r="L4623" s="136"/>
      <c r="M4623" s="136"/>
      <c r="N4623" s="136"/>
    </row>
    <row r="4624" spans="6:14">
      <c r="F4624" s="136" t="s">
        <v>18281</v>
      </c>
      <c r="G4624" s="136">
        <v>4621</v>
      </c>
      <c r="H4624" s="136" t="s">
        <v>18282</v>
      </c>
      <c r="I4624" s="136" t="s">
        <v>18283</v>
      </c>
      <c r="J4624" s="136" t="s">
        <v>18284</v>
      </c>
      <c r="L4624" s="136"/>
      <c r="M4624" s="136"/>
      <c r="N4624" s="136"/>
    </row>
    <row r="4625" spans="6:14">
      <c r="F4625" s="136" t="s">
        <v>18285</v>
      </c>
      <c r="G4625" s="136">
        <v>4622</v>
      </c>
      <c r="H4625" s="136" t="s">
        <v>13267</v>
      </c>
      <c r="I4625" s="136" t="s">
        <v>13267</v>
      </c>
      <c r="J4625" s="136" t="s">
        <v>18286</v>
      </c>
      <c r="L4625" s="136"/>
      <c r="M4625" s="136"/>
      <c r="N4625" s="136"/>
    </row>
    <row r="4626" spans="6:14">
      <c r="F4626" s="136" t="s">
        <v>18287</v>
      </c>
      <c r="G4626" s="136">
        <v>4623</v>
      </c>
      <c r="H4626" s="136" t="s">
        <v>2315</v>
      </c>
      <c r="I4626" s="136" t="s">
        <v>2315</v>
      </c>
      <c r="J4626" s="136" t="s">
        <v>18288</v>
      </c>
      <c r="L4626" s="136"/>
      <c r="M4626" s="136"/>
      <c r="N4626" s="136"/>
    </row>
    <row r="4627" spans="6:14">
      <c r="F4627" s="136" t="s">
        <v>18289</v>
      </c>
      <c r="G4627" s="136">
        <v>4624</v>
      </c>
      <c r="H4627" s="136" t="s">
        <v>181</v>
      </c>
      <c r="I4627" s="136" t="s">
        <v>182</v>
      </c>
      <c r="J4627" s="136" t="s">
        <v>18290</v>
      </c>
      <c r="L4627" s="136"/>
      <c r="M4627" s="136"/>
      <c r="N4627" s="136"/>
    </row>
    <row r="4628" spans="6:14">
      <c r="F4628" s="136" t="s">
        <v>18291</v>
      </c>
      <c r="G4628" s="136">
        <v>4625</v>
      </c>
      <c r="H4628" s="136" t="s">
        <v>4414</v>
      </c>
      <c r="I4628" s="136" t="s">
        <v>4415</v>
      </c>
      <c r="J4628" s="136" t="s">
        <v>18292</v>
      </c>
      <c r="L4628" s="136"/>
      <c r="M4628" s="136"/>
      <c r="N4628" s="136"/>
    </row>
    <row r="4629" spans="6:14">
      <c r="F4629" s="136" t="s">
        <v>18293</v>
      </c>
      <c r="G4629" s="136">
        <v>4626</v>
      </c>
      <c r="H4629" s="136" t="s">
        <v>215</v>
      </c>
      <c r="I4629" s="136" t="s">
        <v>216</v>
      </c>
      <c r="J4629" s="136" t="s">
        <v>18294</v>
      </c>
      <c r="L4629" s="136"/>
      <c r="M4629" s="136"/>
      <c r="N4629" s="136"/>
    </row>
    <row r="4630" spans="6:14">
      <c r="F4630" s="136" t="s">
        <v>18295</v>
      </c>
      <c r="G4630" s="136">
        <v>4627</v>
      </c>
      <c r="H4630" s="136" t="s">
        <v>208</v>
      </c>
      <c r="I4630" s="136" t="s">
        <v>208</v>
      </c>
      <c r="J4630" s="136" t="s">
        <v>18296</v>
      </c>
      <c r="L4630" s="136"/>
      <c r="M4630" s="136"/>
      <c r="N4630" s="136"/>
    </row>
    <row r="4631" spans="6:14">
      <c r="F4631" s="136" t="s">
        <v>18297</v>
      </c>
      <c r="G4631" s="136">
        <v>4628</v>
      </c>
      <c r="H4631" s="136" t="s">
        <v>18298</v>
      </c>
      <c r="I4631" s="136" t="s">
        <v>18299</v>
      </c>
      <c r="J4631" s="136" t="s">
        <v>18300</v>
      </c>
      <c r="L4631" s="136"/>
      <c r="M4631" s="136"/>
      <c r="N4631" s="136"/>
    </row>
    <row r="4632" spans="6:14">
      <c r="F4632" s="136" t="s">
        <v>18301</v>
      </c>
      <c r="G4632" s="136">
        <v>4629</v>
      </c>
      <c r="H4632" s="136" t="s">
        <v>18302</v>
      </c>
      <c r="I4632" s="136" t="s">
        <v>18303</v>
      </c>
      <c r="J4632" s="136" t="s">
        <v>18304</v>
      </c>
      <c r="L4632" s="136"/>
      <c r="M4632" s="136"/>
      <c r="N4632" s="136"/>
    </row>
    <row r="4633" spans="6:14">
      <c r="F4633" s="136" t="s">
        <v>18305</v>
      </c>
      <c r="G4633" s="136">
        <v>4630</v>
      </c>
      <c r="H4633" s="136" t="s">
        <v>18306</v>
      </c>
      <c r="I4633" s="136" t="s">
        <v>18307</v>
      </c>
      <c r="J4633" s="136" t="s">
        <v>18308</v>
      </c>
      <c r="L4633" s="136"/>
      <c r="M4633" s="136"/>
      <c r="N4633" s="136"/>
    </row>
    <row r="4634" spans="6:14">
      <c r="F4634" s="136" t="s">
        <v>18309</v>
      </c>
      <c r="G4634" s="136">
        <v>4631</v>
      </c>
      <c r="H4634" s="136" t="s">
        <v>2710</v>
      </c>
      <c r="I4634" s="136" t="s">
        <v>2711</v>
      </c>
      <c r="J4634" s="136" t="s">
        <v>18310</v>
      </c>
      <c r="L4634" s="136"/>
      <c r="M4634" s="136"/>
      <c r="N4634" s="136"/>
    </row>
    <row r="4635" spans="6:14">
      <c r="F4635" s="136" t="s">
        <v>18311</v>
      </c>
      <c r="G4635" s="136">
        <v>4632</v>
      </c>
      <c r="H4635" s="136" t="s">
        <v>4143</v>
      </c>
      <c r="I4635" s="136" t="s">
        <v>4144</v>
      </c>
      <c r="J4635" s="136" t="s">
        <v>18312</v>
      </c>
      <c r="L4635" s="136"/>
      <c r="M4635" s="136"/>
      <c r="N4635" s="136"/>
    </row>
    <row r="4636" spans="6:14">
      <c r="F4636" s="136" t="s">
        <v>18313</v>
      </c>
      <c r="G4636" s="136">
        <v>4633</v>
      </c>
      <c r="H4636" s="136" t="s">
        <v>4345</v>
      </c>
      <c r="I4636" s="136" t="s">
        <v>4346</v>
      </c>
      <c r="J4636" s="136" t="s">
        <v>18314</v>
      </c>
      <c r="L4636" s="136"/>
      <c r="M4636" s="136"/>
      <c r="N4636" s="136"/>
    </row>
    <row r="4637" spans="6:14">
      <c r="F4637" s="136" t="s">
        <v>18315</v>
      </c>
      <c r="G4637" s="136">
        <v>13682414762</v>
      </c>
      <c r="H4637" s="136" t="s">
        <v>6057</v>
      </c>
      <c r="I4637" s="136" t="s">
        <v>6057</v>
      </c>
      <c r="J4637" s="136" t="s">
        <v>18316</v>
      </c>
      <c r="L4637" s="136"/>
      <c r="M4637" s="136"/>
      <c r="N4637" s="136"/>
    </row>
    <row r="4638" spans="6:14">
      <c r="F4638" s="136" t="s">
        <v>18317</v>
      </c>
      <c r="G4638" s="136">
        <v>4635</v>
      </c>
      <c r="H4638" s="136" t="s">
        <v>3973</v>
      </c>
      <c r="I4638" s="136" t="s">
        <v>3973</v>
      </c>
      <c r="J4638" s="136" t="s">
        <v>18318</v>
      </c>
      <c r="L4638" s="136"/>
      <c r="M4638" s="136"/>
      <c r="N4638" s="136"/>
    </row>
    <row r="4639" spans="6:14">
      <c r="F4639" s="136" t="s">
        <v>18319</v>
      </c>
      <c r="G4639" s="136">
        <v>4636</v>
      </c>
      <c r="H4639" s="136" t="s">
        <v>18320</v>
      </c>
      <c r="I4639" s="136" t="s">
        <v>18321</v>
      </c>
      <c r="J4639" s="136" t="s">
        <v>18322</v>
      </c>
      <c r="L4639" s="136"/>
      <c r="M4639" s="136"/>
      <c r="N4639" s="136"/>
    </row>
    <row r="4640" spans="6:14">
      <c r="F4640" s="136" t="s">
        <v>18323</v>
      </c>
      <c r="G4640" s="136">
        <v>4637</v>
      </c>
      <c r="H4640" s="136" t="s">
        <v>2618</v>
      </c>
      <c r="I4640" s="136" t="s">
        <v>2619</v>
      </c>
      <c r="J4640" s="136" t="s">
        <v>18324</v>
      </c>
      <c r="L4640" s="136"/>
      <c r="M4640" s="136"/>
      <c r="N4640" s="136"/>
    </row>
    <row r="4641" spans="6:14">
      <c r="F4641" s="136" t="s">
        <v>18325</v>
      </c>
      <c r="G4641" s="136">
        <v>4638</v>
      </c>
      <c r="H4641" s="136" t="s">
        <v>4105</v>
      </c>
      <c r="I4641" s="136" t="s">
        <v>4105</v>
      </c>
      <c r="J4641" s="136" t="s">
        <v>18326</v>
      </c>
      <c r="L4641" s="136"/>
      <c r="M4641" s="136"/>
      <c r="N4641" s="136"/>
    </row>
    <row r="4642" spans="6:14">
      <c r="F4642" s="136" t="s">
        <v>18327</v>
      </c>
      <c r="G4642" s="136">
        <v>17574264775</v>
      </c>
      <c r="H4642" s="136" t="s">
        <v>1657</v>
      </c>
      <c r="I4642" s="136" t="s">
        <v>1658</v>
      </c>
      <c r="J4642" s="136" t="s">
        <v>18328</v>
      </c>
      <c r="L4642" s="136"/>
      <c r="M4642" s="136"/>
      <c r="N4642" s="136"/>
    </row>
    <row r="4643" spans="6:14">
      <c r="F4643" s="136" t="s">
        <v>18329</v>
      </c>
      <c r="G4643" s="136">
        <v>48140184870</v>
      </c>
      <c r="H4643" s="136" t="s">
        <v>3455</v>
      </c>
      <c r="I4643" s="136" t="s">
        <v>3455</v>
      </c>
      <c r="J4643" s="136" t="s">
        <v>18330</v>
      </c>
      <c r="L4643" s="136"/>
      <c r="M4643" s="136"/>
      <c r="N4643" s="136"/>
    </row>
    <row r="4644" spans="6:14">
      <c r="F4644" s="136" t="s">
        <v>18331</v>
      </c>
      <c r="G4644" s="136">
        <v>4641</v>
      </c>
      <c r="H4644" s="136" t="s">
        <v>18332</v>
      </c>
      <c r="I4644" s="136" t="s">
        <v>18333</v>
      </c>
      <c r="J4644" s="136" t="s">
        <v>18334</v>
      </c>
      <c r="L4644" s="136"/>
      <c r="M4644" s="136"/>
      <c r="N4644" s="136"/>
    </row>
    <row r="4645" spans="6:14">
      <c r="F4645" s="136" t="s">
        <v>18335</v>
      </c>
      <c r="G4645" s="136">
        <v>37732034899</v>
      </c>
      <c r="H4645" s="136" t="s">
        <v>2096</v>
      </c>
      <c r="I4645" s="136" t="s">
        <v>2097</v>
      </c>
      <c r="J4645" s="136" t="s">
        <v>18336</v>
      </c>
      <c r="L4645" s="136"/>
      <c r="M4645" s="136"/>
      <c r="N4645" s="136"/>
    </row>
    <row r="4646" spans="6:14">
      <c r="F4646" s="136" t="s">
        <v>18337</v>
      </c>
      <c r="G4646" s="136">
        <v>92236790287</v>
      </c>
      <c r="H4646" s="136" t="s">
        <v>4573</v>
      </c>
      <c r="I4646" s="136" t="s">
        <v>4573</v>
      </c>
      <c r="J4646" s="136" t="s">
        <v>18338</v>
      </c>
      <c r="L4646" s="136"/>
      <c r="M4646" s="136"/>
      <c r="N4646" s="136"/>
    </row>
    <row r="4647" spans="6:14">
      <c r="F4647" s="136" t="s">
        <v>18339</v>
      </c>
      <c r="G4647" s="136">
        <v>45068758850</v>
      </c>
      <c r="H4647" s="136" t="s">
        <v>694</v>
      </c>
      <c r="I4647" s="136" t="s">
        <v>694</v>
      </c>
      <c r="J4647" s="136" t="s">
        <v>18340</v>
      </c>
      <c r="L4647" s="136"/>
      <c r="M4647" s="136"/>
      <c r="N4647" s="136"/>
    </row>
    <row r="4648" spans="6:14">
      <c r="F4648" s="136" t="s">
        <v>18341</v>
      </c>
      <c r="G4648" s="136">
        <v>4645</v>
      </c>
      <c r="H4648" s="136" t="s">
        <v>18342</v>
      </c>
      <c r="I4648" s="136" t="s">
        <v>18343</v>
      </c>
      <c r="J4648" s="136" t="s">
        <v>18344</v>
      </c>
      <c r="L4648" s="136"/>
      <c r="M4648" s="136"/>
      <c r="N4648" s="136"/>
    </row>
    <row r="4649" spans="6:14">
      <c r="F4649" s="136" t="s">
        <v>18345</v>
      </c>
      <c r="G4649" s="136">
        <v>4646</v>
      </c>
      <c r="H4649" s="136" t="s">
        <v>18346</v>
      </c>
      <c r="I4649" s="136" t="s">
        <v>18346</v>
      </c>
      <c r="J4649" s="136" t="s">
        <v>18347</v>
      </c>
      <c r="L4649" s="136"/>
      <c r="M4649" s="136"/>
      <c r="N4649" s="136"/>
    </row>
    <row r="4650" spans="6:14">
      <c r="F4650" s="136" t="s">
        <v>18348</v>
      </c>
      <c r="G4650" s="136">
        <v>4647</v>
      </c>
      <c r="H4650" s="136" t="s">
        <v>3098</v>
      </c>
      <c r="I4650" s="136" t="s">
        <v>3099</v>
      </c>
      <c r="J4650" s="136" t="s">
        <v>18349</v>
      </c>
      <c r="L4650" s="136"/>
      <c r="M4650" s="136"/>
      <c r="N4650" s="136"/>
    </row>
    <row r="4651" spans="6:14">
      <c r="F4651" s="136" t="s">
        <v>18350</v>
      </c>
      <c r="G4651" s="136">
        <v>4648</v>
      </c>
      <c r="H4651" s="136" t="s">
        <v>5287</v>
      </c>
      <c r="I4651" s="136" t="s">
        <v>5288</v>
      </c>
      <c r="J4651" s="136" t="s">
        <v>18351</v>
      </c>
      <c r="L4651" s="136"/>
      <c r="M4651" s="136"/>
      <c r="N4651" s="136"/>
    </row>
    <row r="4652" spans="6:14">
      <c r="F4652" s="136" t="s">
        <v>18352</v>
      </c>
      <c r="G4652" s="136">
        <v>4649</v>
      </c>
      <c r="H4652" s="136" t="s">
        <v>3482</v>
      </c>
      <c r="I4652" s="136" t="s">
        <v>3486</v>
      </c>
      <c r="J4652" s="136" t="s">
        <v>18353</v>
      </c>
      <c r="L4652" s="136"/>
      <c r="M4652" s="136"/>
      <c r="N4652" s="136"/>
    </row>
    <row r="4653" spans="6:14">
      <c r="F4653" s="136" t="s">
        <v>18354</v>
      </c>
      <c r="G4653" s="136">
        <v>4650</v>
      </c>
      <c r="H4653" s="136" t="s">
        <v>18355</v>
      </c>
      <c r="I4653" s="136" t="s">
        <v>18356</v>
      </c>
      <c r="J4653" s="136" t="s">
        <v>18357</v>
      </c>
      <c r="L4653" s="136"/>
      <c r="M4653" s="136"/>
      <c r="N4653" s="136"/>
    </row>
    <row r="4654" spans="6:14">
      <c r="F4654" s="136" t="s">
        <v>18358</v>
      </c>
      <c r="G4654" s="136">
        <v>4651</v>
      </c>
      <c r="H4654" s="136" t="s">
        <v>18359</v>
      </c>
      <c r="I4654" s="136" t="s">
        <v>18360</v>
      </c>
      <c r="J4654" s="136" t="s">
        <v>18361</v>
      </c>
      <c r="L4654" s="136"/>
      <c r="M4654" s="136"/>
      <c r="N4654" s="136"/>
    </row>
    <row r="4655" spans="6:14">
      <c r="F4655" s="136" t="s">
        <v>18362</v>
      </c>
      <c r="G4655" s="136">
        <v>4652</v>
      </c>
      <c r="H4655" s="136" t="s">
        <v>687</v>
      </c>
      <c r="I4655" s="136" t="s">
        <v>693</v>
      </c>
      <c r="J4655" s="136" t="s">
        <v>18363</v>
      </c>
      <c r="L4655" s="136"/>
      <c r="M4655" s="136"/>
      <c r="N4655" s="136"/>
    </row>
    <row r="4656" spans="6:14">
      <c r="F4656" s="136" t="s">
        <v>18364</v>
      </c>
      <c r="G4656" s="136">
        <v>11311523600</v>
      </c>
      <c r="H4656" s="136" t="s">
        <v>4434</v>
      </c>
      <c r="I4656" s="136" t="s">
        <v>4434</v>
      </c>
      <c r="J4656" s="136" t="s">
        <v>18365</v>
      </c>
      <c r="L4656" s="136"/>
      <c r="M4656" s="136"/>
      <c r="N4656" s="136"/>
    </row>
    <row r="4657" spans="6:14">
      <c r="F4657" s="136" t="s">
        <v>18366</v>
      </c>
      <c r="G4657" s="136">
        <v>6383026682</v>
      </c>
      <c r="H4657" s="136" t="s">
        <v>2416</v>
      </c>
      <c r="I4657" s="136" t="s">
        <v>2417</v>
      </c>
      <c r="J4657" s="136" t="s">
        <v>18367</v>
      </c>
      <c r="L4657" s="136"/>
      <c r="M4657" s="136"/>
      <c r="N4657" s="136"/>
    </row>
    <row r="4658" spans="6:14">
      <c r="F4658" s="136" t="s">
        <v>18368</v>
      </c>
      <c r="G4658" s="136">
        <v>4655</v>
      </c>
      <c r="H4658" s="136" t="s">
        <v>762</v>
      </c>
      <c r="I4658" s="136" t="s">
        <v>762</v>
      </c>
      <c r="J4658" s="136" t="s">
        <v>18369</v>
      </c>
      <c r="L4658" s="136"/>
      <c r="M4658" s="136"/>
      <c r="N4658" s="136"/>
    </row>
    <row r="4659" spans="6:14">
      <c r="F4659" s="136" t="s">
        <v>18370</v>
      </c>
      <c r="G4659" s="136">
        <v>4656</v>
      </c>
      <c r="H4659" s="136" t="s">
        <v>2121</v>
      </c>
      <c r="I4659" s="136" t="s">
        <v>2122</v>
      </c>
      <c r="J4659" s="136" t="s">
        <v>18371</v>
      </c>
      <c r="L4659" s="136"/>
      <c r="M4659" s="136"/>
      <c r="N4659" s="136"/>
    </row>
    <row r="4660" spans="6:14">
      <c r="F4660" s="136" t="s">
        <v>18372</v>
      </c>
      <c r="G4660" s="136">
        <v>4657</v>
      </c>
      <c r="H4660" s="136" t="s">
        <v>2992</v>
      </c>
      <c r="I4660" s="136" t="s">
        <v>2992</v>
      </c>
      <c r="J4660" s="136" t="s">
        <v>18373</v>
      </c>
      <c r="L4660" s="136"/>
      <c r="M4660" s="136"/>
      <c r="N4660" s="136"/>
    </row>
    <row r="4661" spans="6:14">
      <c r="F4661" s="136" t="s">
        <v>18374</v>
      </c>
      <c r="G4661" s="136">
        <v>80101291515</v>
      </c>
      <c r="H4661" s="136" t="s">
        <v>6006</v>
      </c>
      <c r="I4661" s="136" t="s">
        <v>6007</v>
      </c>
      <c r="J4661" s="136" t="s">
        <v>18375</v>
      </c>
      <c r="L4661" s="136"/>
      <c r="M4661" s="136"/>
      <c r="N4661" s="136"/>
    </row>
    <row r="4662" spans="6:14">
      <c r="F4662" s="136" t="s">
        <v>18376</v>
      </c>
      <c r="G4662" s="136">
        <v>47242752191</v>
      </c>
      <c r="H4662" s="136" t="s">
        <v>5528</v>
      </c>
      <c r="I4662" s="136" t="s">
        <v>5528</v>
      </c>
      <c r="J4662" s="136" t="s">
        <v>18377</v>
      </c>
      <c r="L4662" s="136"/>
      <c r="M4662" s="136"/>
      <c r="N4662" s="136"/>
    </row>
    <row r="4663" spans="6:14">
      <c r="F4663" s="136" t="s">
        <v>18378</v>
      </c>
      <c r="G4663" s="136">
        <v>4660</v>
      </c>
      <c r="H4663" s="136" t="s">
        <v>4360</v>
      </c>
      <c r="I4663" s="136" t="s">
        <v>4361</v>
      </c>
      <c r="J4663" s="136" t="s">
        <v>18379</v>
      </c>
      <c r="L4663" s="136"/>
      <c r="M4663" s="136"/>
      <c r="N4663" s="136"/>
    </row>
    <row r="4664" spans="6:14">
      <c r="F4664" s="136" t="s">
        <v>18380</v>
      </c>
      <c r="G4664" s="136">
        <v>4248586304</v>
      </c>
      <c r="H4664" s="136" t="s">
        <v>3359</v>
      </c>
      <c r="I4664" s="136" t="s">
        <v>3360</v>
      </c>
      <c r="J4664" s="136" t="s">
        <v>18381</v>
      </c>
      <c r="L4664" s="136"/>
      <c r="M4664" s="136"/>
      <c r="N4664" s="136"/>
    </row>
    <row r="4665" spans="6:14">
      <c r="F4665" s="136" t="s">
        <v>18382</v>
      </c>
      <c r="G4665" s="136">
        <v>93581289172</v>
      </c>
      <c r="H4665" s="136" t="s">
        <v>5080</v>
      </c>
      <c r="I4665" s="136" t="s">
        <v>5081</v>
      </c>
      <c r="J4665" s="136" t="s">
        <v>18383</v>
      </c>
      <c r="L4665" s="136"/>
      <c r="M4665" s="136"/>
      <c r="N4665" s="136"/>
    </row>
    <row r="4666" spans="6:14">
      <c r="F4666" s="136" t="s">
        <v>18384</v>
      </c>
      <c r="G4666" s="136">
        <v>4663</v>
      </c>
      <c r="H4666" s="136" t="s">
        <v>18385</v>
      </c>
      <c r="I4666" s="136" t="s">
        <v>18386</v>
      </c>
      <c r="J4666" s="136" t="s">
        <v>18387</v>
      </c>
      <c r="L4666" s="136"/>
      <c r="M4666" s="136"/>
      <c r="N4666" s="136"/>
    </row>
    <row r="4667" spans="6:14">
      <c r="F4667" s="136" t="s">
        <v>18388</v>
      </c>
      <c r="G4667" s="136">
        <v>4664</v>
      </c>
      <c r="H4667" s="136" t="s">
        <v>18389</v>
      </c>
      <c r="I4667" s="136" t="s">
        <v>18390</v>
      </c>
      <c r="J4667" s="136" t="s">
        <v>18391</v>
      </c>
      <c r="L4667" s="136"/>
      <c r="M4667" s="136"/>
      <c r="N4667" s="136"/>
    </row>
    <row r="4668" spans="6:14">
      <c r="F4668" s="136" t="s">
        <v>18392</v>
      </c>
      <c r="G4668" s="136">
        <v>30193512866</v>
      </c>
      <c r="H4668" s="136" t="s">
        <v>1739</v>
      </c>
      <c r="I4668" s="136" t="s">
        <v>1739</v>
      </c>
      <c r="J4668" s="136" t="s">
        <v>18393</v>
      </c>
      <c r="L4668" s="136"/>
      <c r="M4668" s="136"/>
      <c r="N4668" s="136"/>
    </row>
    <row r="4669" spans="6:14">
      <c r="F4669" s="136" t="s">
        <v>18394</v>
      </c>
      <c r="G4669" s="136">
        <v>4666</v>
      </c>
      <c r="H4669" s="136" t="s">
        <v>18395</v>
      </c>
      <c r="I4669" s="136" t="s">
        <v>18396</v>
      </c>
      <c r="J4669" s="136" t="s">
        <v>18397</v>
      </c>
      <c r="L4669" s="136"/>
      <c r="M4669" s="136"/>
      <c r="N4669" s="136"/>
    </row>
    <row r="4670" spans="6:14">
      <c r="F4670" s="136" t="s">
        <v>18398</v>
      </c>
      <c r="G4670" s="136">
        <v>4667</v>
      </c>
      <c r="H4670" s="136" t="s">
        <v>3715</v>
      </c>
      <c r="I4670" s="136" t="s">
        <v>3715</v>
      </c>
      <c r="J4670" s="136" t="s">
        <v>18399</v>
      </c>
      <c r="L4670" s="136"/>
      <c r="M4670" s="136"/>
      <c r="N4670" s="136"/>
    </row>
    <row r="4671" spans="6:14">
      <c r="F4671" s="136" t="s">
        <v>18400</v>
      </c>
      <c r="G4671" s="136">
        <v>2649533129</v>
      </c>
      <c r="H4671" s="136" t="s">
        <v>3208</v>
      </c>
      <c r="I4671" s="136" t="s">
        <v>3208</v>
      </c>
      <c r="J4671" s="136" t="s">
        <v>18401</v>
      </c>
      <c r="L4671" s="136"/>
      <c r="M4671" s="136"/>
      <c r="N4671" s="136"/>
    </row>
    <row r="4672" spans="6:14">
      <c r="F4672" s="136" t="s">
        <v>18402</v>
      </c>
      <c r="G4672" s="136">
        <v>40848055802</v>
      </c>
      <c r="H4672" s="136" t="s">
        <v>4018</v>
      </c>
      <c r="I4672" s="136" t="s">
        <v>4018</v>
      </c>
      <c r="J4672" s="136" t="s">
        <v>18403</v>
      </c>
      <c r="L4672" s="136"/>
      <c r="M4672" s="136"/>
      <c r="N4672" s="136"/>
    </row>
    <row r="4673" spans="6:14">
      <c r="F4673" s="136" t="s">
        <v>18404</v>
      </c>
      <c r="G4673" s="136">
        <v>11061781496</v>
      </c>
      <c r="H4673" s="136" t="s">
        <v>2343</v>
      </c>
      <c r="I4673" s="136" t="s">
        <v>2344</v>
      </c>
      <c r="J4673" s="136" t="s">
        <v>18405</v>
      </c>
      <c r="L4673" s="136"/>
      <c r="M4673" s="136"/>
      <c r="N4673" s="136"/>
    </row>
    <row r="4674" spans="6:14">
      <c r="F4674" s="136" t="s">
        <v>18406</v>
      </c>
      <c r="G4674" s="136">
        <v>40334000874</v>
      </c>
      <c r="H4674" s="136" t="s">
        <v>1893</v>
      </c>
      <c r="I4674" s="136" t="s">
        <v>1893</v>
      </c>
      <c r="J4674" s="136" t="s">
        <v>18407</v>
      </c>
      <c r="L4674" s="136"/>
      <c r="M4674" s="136"/>
      <c r="N4674" s="136"/>
    </row>
    <row r="4675" spans="6:14">
      <c r="F4675" s="136" t="s">
        <v>18408</v>
      </c>
      <c r="G4675" s="136">
        <v>4672</v>
      </c>
      <c r="H4675" s="136" t="s">
        <v>18409</v>
      </c>
      <c r="I4675" s="136" t="s">
        <v>18409</v>
      </c>
      <c r="J4675" s="136" t="s">
        <v>18410</v>
      </c>
      <c r="L4675" s="136"/>
      <c r="M4675" s="136"/>
      <c r="N4675" s="136"/>
    </row>
    <row r="4676" spans="6:14">
      <c r="F4676" s="136" t="s">
        <v>18411</v>
      </c>
      <c r="G4676" s="136">
        <v>4673</v>
      </c>
      <c r="H4676" s="136" t="s">
        <v>1172</v>
      </c>
      <c r="I4676" s="136" t="s">
        <v>1173</v>
      </c>
      <c r="J4676" s="136" t="s">
        <v>18412</v>
      </c>
      <c r="L4676" s="136"/>
      <c r="M4676" s="136"/>
      <c r="N4676" s="136"/>
    </row>
    <row r="4677" spans="6:14">
      <c r="F4677" s="136" t="s">
        <v>18413</v>
      </c>
      <c r="G4677" s="136">
        <v>24112997884</v>
      </c>
      <c r="H4677" s="136" t="s">
        <v>4405</v>
      </c>
      <c r="I4677" s="136" t="s">
        <v>4405</v>
      </c>
      <c r="J4677" s="136" t="s">
        <v>18414</v>
      </c>
      <c r="L4677" s="136"/>
      <c r="M4677" s="136"/>
      <c r="N4677" s="136"/>
    </row>
    <row r="4678" spans="6:14">
      <c r="F4678" s="136" t="s">
        <v>18415</v>
      </c>
      <c r="G4678" s="136">
        <v>34119720845</v>
      </c>
      <c r="H4678" s="136" t="s">
        <v>3690</v>
      </c>
      <c r="I4678" s="136" t="s">
        <v>3690</v>
      </c>
      <c r="J4678" s="136" t="s">
        <v>18416</v>
      </c>
      <c r="L4678" s="136"/>
      <c r="M4678" s="136"/>
      <c r="N4678" s="136"/>
    </row>
    <row r="4679" spans="6:14">
      <c r="F4679" s="136" t="s">
        <v>18417</v>
      </c>
      <c r="G4679" s="136">
        <v>4676</v>
      </c>
      <c r="H4679" s="136" t="s">
        <v>5486</v>
      </c>
      <c r="I4679" s="136" t="s">
        <v>5487</v>
      </c>
      <c r="J4679" s="136" t="s">
        <v>18418</v>
      </c>
      <c r="L4679" s="136"/>
      <c r="M4679" s="136"/>
      <c r="N4679" s="136"/>
    </row>
    <row r="4680" spans="6:14">
      <c r="F4680" s="136" t="s">
        <v>18419</v>
      </c>
      <c r="G4680" s="136">
        <v>29725594878</v>
      </c>
      <c r="H4680" s="136" t="s">
        <v>1096</v>
      </c>
      <c r="I4680" s="136" t="s">
        <v>1097</v>
      </c>
      <c r="J4680" s="136" t="s">
        <v>18420</v>
      </c>
      <c r="L4680" s="136"/>
      <c r="M4680" s="136"/>
      <c r="N4680" s="136"/>
    </row>
    <row r="4681" spans="6:14">
      <c r="F4681" s="136" t="s">
        <v>18421</v>
      </c>
      <c r="G4681" s="136">
        <v>1449634699</v>
      </c>
      <c r="H4681" s="136" t="s">
        <v>3947</v>
      </c>
      <c r="I4681" s="136" t="s">
        <v>3948</v>
      </c>
      <c r="J4681" s="136" t="s">
        <v>18422</v>
      </c>
      <c r="L4681" s="136"/>
      <c r="M4681" s="136"/>
      <c r="N4681" s="136"/>
    </row>
    <row r="4682" spans="6:14">
      <c r="F4682" s="136" t="s">
        <v>18423</v>
      </c>
      <c r="G4682" s="136">
        <v>65879210197</v>
      </c>
      <c r="H4682" s="136" t="s">
        <v>4629</v>
      </c>
      <c r="I4682" s="136" t="s">
        <v>4629</v>
      </c>
      <c r="J4682" s="136" t="s">
        <v>18424</v>
      </c>
      <c r="L4682" s="136"/>
      <c r="M4682" s="136"/>
      <c r="N4682" s="136"/>
    </row>
    <row r="4683" spans="6:14">
      <c r="F4683" s="136" t="s">
        <v>18425</v>
      </c>
      <c r="G4683" s="136">
        <v>62333712368</v>
      </c>
      <c r="H4683" s="136" t="s">
        <v>2195</v>
      </c>
      <c r="I4683" s="136" t="s">
        <v>2196</v>
      </c>
      <c r="J4683" s="136" t="s">
        <v>18426</v>
      </c>
      <c r="L4683" s="136"/>
      <c r="M4683" s="136"/>
      <c r="N4683" s="136"/>
    </row>
    <row r="4684" spans="6:14">
      <c r="F4684" s="136" t="s">
        <v>18427</v>
      </c>
      <c r="G4684" s="136">
        <v>271405635</v>
      </c>
      <c r="H4684" s="136" t="s">
        <v>5038</v>
      </c>
      <c r="I4684" s="136" t="s">
        <v>5039</v>
      </c>
      <c r="J4684" s="136" t="s">
        <v>18428</v>
      </c>
      <c r="L4684" s="136"/>
      <c r="M4684" s="136"/>
      <c r="N4684" s="136"/>
    </row>
    <row r="4685" spans="6:14">
      <c r="F4685" s="136" t="s">
        <v>18429</v>
      </c>
      <c r="G4685" s="136">
        <v>27947112886</v>
      </c>
      <c r="H4685" s="136" t="s">
        <v>714</v>
      </c>
      <c r="I4685" s="136" t="s">
        <v>715</v>
      </c>
      <c r="J4685" s="136" t="s">
        <v>18430</v>
      </c>
      <c r="L4685" s="136"/>
      <c r="M4685" s="136"/>
      <c r="N4685" s="136"/>
    </row>
    <row r="4686" spans="6:14">
      <c r="F4686" s="136" t="s">
        <v>18431</v>
      </c>
      <c r="G4686" s="136">
        <v>28567033802</v>
      </c>
      <c r="H4686" s="136" t="s">
        <v>3872</v>
      </c>
      <c r="I4686" s="136" t="s">
        <v>3873</v>
      </c>
      <c r="J4686" s="136" t="s">
        <v>18432</v>
      </c>
      <c r="L4686" s="136"/>
      <c r="M4686" s="136"/>
      <c r="N4686" s="136"/>
    </row>
    <row r="4687" spans="6:14">
      <c r="F4687" s="136" t="s">
        <v>18433</v>
      </c>
      <c r="G4687" s="136">
        <v>4684</v>
      </c>
      <c r="H4687" s="136" t="s">
        <v>18434</v>
      </c>
      <c r="I4687" s="136" t="s">
        <v>13229</v>
      </c>
      <c r="J4687" s="136" t="s">
        <v>18435</v>
      </c>
      <c r="L4687" s="136"/>
      <c r="M4687" s="136"/>
      <c r="N4687" s="136"/>
    </row>
    <row r="4688" spans="6:14">
      <c r="F4688" s="136" t="s">
        <v>18436</v>
      </c>
      <c r="G4688" s="136">
        <v>4685</v>
      </c>
      <c r="H4688" s="136" t="s">
        <v>2885</v>
      </c>
      <c r="I4688" s="136" t="s">
        <v>2889</v>
      </c>
      <c r="J4688" s="136" t="s">
        <v>18437</v>
      </c>
      <c r="L4688" s="136"/>
      <c r="M4688" s="136"/>
      <c r="N4688" s="136"/>
    </row>
    <row r="4689" spans="6:14">
      <c r="F4689" s="136" t="s">
        <v>18438</v>
      </c>
      <c r="G4689" s="136">
        <v>4686</v>
      </c>
      <c r="H4689" s="136" t="s">
        <v>3722</v>
      </c>
      <c r="I4689" s="136" t="s">
        <v>3722</v>
      </c>
      <c r="J4689" s="136" t="s">
        <v>18439</v>
      </c>
      <c r="L4689" s="136"/>
      <c r="M4689" s="136"/>
      <c r="N4689" s="136"/>
    </row>
    <row r="4690" spans="6:14">
      <c r="F4690" s="136" t="s">
        <v>18440</v>
      </c>
      <c r="G4690" s="136">
        <v>4687</v>
      </c>
      <c r="H4690" s="136" t="s">
        <v>4350</v>
      </c>
      <c r="I4690" s="136" t="s">
        <v>4351</v>
      </c>
      <c r="J4690" s="136" t="s">
        <v>18441</v>
      </c>
      <c r="L4690" s="136"/>
      <c r="M4690" s="136"/>
      <c r="N4690" s="136"/>
    </row>
    <row r="4691" spans="6:14">
      <c r="F4691" s="136" t="s">
        <v>18442</v>
      </c>
      <c r="G4691" s="136">
        <v>4688</v>
      </c>
      <c r="H4691" s="136" t="s">
        <v>18443</v>
      </c>
      <c r="I4691" s="136" t="s">
        <v>18444</v>
      </c>
      <c r="J4691" s="136" t="s">
        <v>18445</v>
      </c>
      <c r="L4691" s="136"/>
      <c r="M4691" s="136"/>
      <c r="N4691" s="136"/>
    </row>
    <row r="4692" spans="6:14">
      <c r="F4692" s="136" t="s">
        <v>18446</v>
      </c>
      <c r="G4692" s="136">
        <v>14959593253</v>
      </c>
      <c r="H4692" s="136" t="s">
        <v>5471</v>
      </c>
      <c r="I4692" s="136" t="s">
        <v>5472</v>
      </c>
      <c r="J4692" s="136" t="s">
        <v>18447</v>
      </c>
      <c r="L4692" s="136"/>
      <c r="M4692" s="136"/>
      <c r="N4692" s="136"/>
    </row>
    <row r="4693" spans="6:14">
      <c r="F4693" s="136" t="s">
        <v>18448</v>
      </c>
      <c r="G4693" s="136">
        <v>4690</v>
      </c>
      <c r="H4693" s="136" t="s">
        <v>18449</v>
      </c>
      <c r="I4693" s="136" t="s">
        <v>18450</v>
      </c>
      <c r="J4693" s="136" t="s">
        <v>18451</v>
      </c>
      <c r="L4693" s="136"/>
      <c r="M4693" s="136"/>
      <c r="N4693" s="136"/>
    </row>
    <row r="4694" spans="6:14">
      <c r="F4694" s="136" t="s">
        <v>18452</v>
      </c>
      <c r="G4694" s="136">
        <v>4691</v>
      </c>
      <c r="H4694" s="136" t="s">
        <v>2477</v>
      </c>
      <c r="I4694" s="136" t="s">
        <v>2478</v>
      </c>
      <c r="J4694" s="136" t="s">
        <v>18453</v>
      </c>
      <c r="L4694" s="136"/>
      <c r="M4694" s="136"/>
      <c r="N4694" s="136"/>
    </row>
    <row r="4695" spans="6:14">
      <c r="F4695" s="136" t="s">
        <v>18454</v>
      </c>
      <c r="G4695" s="136">
        <v>1502148471</v>
      </c>
      <c r="H4695" s="136" t="s">
        <v>1574</v>
      </c>
      <c r="I4695" s="136" t="s">
        <v>1574</v>
      </c>
      <c r="J4695" s="136" t="s">
        <v>18455</v>
      </c>
      <c r="L4695" s="136"/>
      <c r="M4695" s="136"/>
      <c r="N4695" s="136"/>
    </row>
    <row r="4696" spans="6:14">
      <c r="F4696" s="136" t="s">
        <v>18456</v>
      </c>
      <c r="G4696" s="136">
        <v>28286826841</v>
      </c>
      <c r="H4696" s="136" t="s">
        <v>5309</v>
      </c>
      <c r="I4696" s="136" t="s">
        <v>5310</v>
      </c>
      <c r="J4696" s="136" t="s">
        <v>18457</v>
      </c>
      <c r="L4696" s="136"/>
      <c r="M4696" s="136"/>
      <c r="N4696" s="136"/>
    </row>
    <row r="4697" spans="6:14">
      <c r="F4697" s="136" t="s">
        <v>18458</v>
      </c>
      <c r="G4697" s="136">
        <v>41282065807</v>
      </c>
      <c r="H4697" s="136" t="s">
        <v>5088</v>
      </c>
      <c r="I4697" s="136" t="s">
        <v>5088</v>
      </c>
      <c r="J4697" s="136" t="s">
        <v>18459</v>
      </c>
      <c r="L4697" s="136"/>
      <c r="M4697" s="136"/>
      <c r="N4697" s="136"/>
    </row>
    <row r="4698" spans="6:14">
      <c r="F4698" s="136" t="s">
        <v>18460</v>
      </c>
      <c r="G4698" s="136">
        <v>34743456487</v>
      </c>
      <c r="H4698" s="136" t="s">
        <v>3154</v>
      </c>
      <c r="I4698" s="136" t="s">
        <v>3154</v>
      </c>
      <c r="J4698" s="136" t="s">
        <v>18461</v>
      </c>
      <c r="L4698" s="136"/>
      <c r="M4698" s="136"/>
      <c r="N4698" s="136"/>
    </row>
    <row r="4699" spans="6:14">
      <c r="F4699" s="136" t="s">
        <v>18462</v>
      </c>
      <c r="G4699" s="136">
        <v>9826384771</v>
      </c>
      <c r="H4699" s="136" t="s">
        <v>5267</v>
      </c>
      <c r="I4699" s="136" t="s">
        <v>5268</v>
      </c>
      <c r="J4699" s="136" t="s">
        <v>18463</v>
      </c>
      <c r="L4699" s="136"/>
      <c r="M4699" s="136"/>
      <c r="N4699" s="136"/>
    </row>
    <row r="4700" spans="6:14">
      <c r="F4700" s="136" t="s">
        <v>18464</v>
      </c>
      <c r="G4700" s="136">
        <v>4697</v>
      </c>
      <c r="H4700" s="136" t="s">
        <v>1933</v>
      </c>
      <c r="I4700" s="136" t="s">
        <v>1934</v>
      </c>
      <c r="J4700" s="136" t="s">
        <v>18465</v>
      </c>
      <c r="L4700" s="136"/>
      <c r="M4700" s="136"/>
      <c r="N4700" s="136"/>
    </row>
    <row r="4701" spans="6:14">
      <c r="F4701" s="136" t="s">
        <v>18466</v>
      </c>
      <c r="G4701" s="136">
        <v>4698</v>
      </c>
      <c r="H4701" s="136" t="s">
        <v>1933</v>
      </c>
      <c r="I4701" s="136" t="s">
        <v>1935</v>
      </c>
      <c r="J4701" s="136" t="s">
        <v>18467</v>
      </c>
      <c r="L4701" s="136"/>
      <c r="M4701" s="136"/>
      <c r="N4701" s="136"/>
    </row>
    <row r="4702" spans="6:14">
      <c r="F4702" s="136" t="s">
        <v>18468</v>
      </c>
      <c r="G4702" s="136">
        <v>5917471460</v>
      </c>
      <c r="H4702" s="136" t="s">
        <v>5113</v>
      </c>
      <c r="I4702" s="136" t="s">
        <v>5113</v>
      </c>
      <c r="J4702" s="136" t="s">
        <v>18469</v>
      </c>
      <c r="L4702" s="136"/>
      <c r="M4702" s="136"/>
      <c r="N4702" s="136"/>
    </row>
    <row r="4703" spans="6:14">
      <c r="F4703" s="136" t="s">
        <v>18470</v>
      </c>
      <c r="G4703" s="136">
        <v>6285810680</v>
      </c>
      <c r="H4703" s="136" t="s">
        <v>4045</v>
      </c>
      <c r="I4703" s="136" t="s">
        <v>4045</v>
      </c>
      <c r="J4703" s="136" t="s">
        <v>18471</v>
      </c>
      <c r="L4703" s="136"/>
      <c r="M4703" s="136"/>
      <c r="N4703" s="136"/>
    </row>
    <row r="4704" spans="6:14">
      <c r="F4704" s="136" t="s">
        <v>18472</v>
      </c>
      <c r="G4704" s="136">
        <v>27012087854</v>
      </c>
      <c r="H4704" s="136" t="s">
        <v>3577</v>
      </c>
      <c r="I4704" s="136" t="s">
        <v>3578</v>
      </c>
      <c r="J4704" s="136" t="s">
        <v>18473</v>
      </c>
      <c r="L4704" s="136"/>
      <c r="M4704" s="136"/>
      <c r="N4704" s="136"/>
    </row>
    <row r="4705" spans="6:14">
      <c r="F4705" s="136" t="s">
        <v>18474</v>
      </c>
      <c r="G4705" s="136">
        <v>4702</v>
      </c>
      <c r="H4705" s="136" t="s">
        <v>3321</v>
      </c>
      <c r="I4705" s="136" t="s">
        <v>3322</v>
      </c>
      <c r="J4705" s="136" t="s">
        <v>18475</v>
      </c>
      <c r="L4705" s="136"/>
      <c r="M4705" s="136"/>
      <c r="N4705" s="136"/>
    </row>
    <row r="4706" spans="6:14">
      <c r="F4706" s="136" t="s">
        <v>18476</v>
      </c>
      <c r="G4706" s="136">
        <v>4703</v>
      </c>
      <c r="H4706" s="136" t="s">
        <v>18477</v>
      </c>
      <c r="I4706" s="136" t="s">
        <v>18478</v>
      </c>
      <c r="J4706" s="136" t="s">
        <v>18479</v>
      </c>
      <c r="L4706" s="136"/>
      <c r="M4706" s="136"/>
      <c r="N4706" s="136"/>
    </row>
    <row r="4707" spans="6:14">
      <c r="F4707" s="136" t="s">
        <v>18480</v>
      </c>
      <c r="G4707" s="136">
        <v>4704</v>
      </c>
      <c r="H4707" s="136" t="s">
        <v>320</v>
      </c>
      <c r="I4707" s="136" t="s">
        <v>320</v>
      </c>
      <c r="J4707" s="136" t="s">
        <v>18481</v>
      </c>
      <c r="L4707" s="136"/>
      <c r="M4707" s="136"/>
      <c r="N4707" s="136"/>
    </row>
    <row r="4708" spans="6:14">
      <c r="F4708" s="136" t="s">
        <v>18482</v>
      </c>
      <c r="G4708" s="136">
        <v>4705</v>
      </c>
      <c r="H4708" s="136" t="s">
        <v>18483</v>
      </c>
      <c r="I4708" s="136" t="s">
        <v>18483</v>
      </c>
      <c r="J4708" s="136" t="s">
        <v>18484</v>
      </c>
      <c r="L4708" s="136"/>
      <c r="M4708" s="136"/>
      <c r="N4708" s="136"/>
    </row>
    <row r="4709" spans="6:14">
      <c r="F4709" s="136" t="s">
        <v>18485</v>
      </c>
      <c r="G4709" s="136">
        <v>4706</v>
      </c>
      <c r="H4709" s="136" t="s">
        <v>5786</v>
      </c>
      <c r="I4709" s="136" t="s">
        <v>5787</v>
      </c>
      <c r="J4709" s="136" t="s">
        <v>18486</v>
      </c>
      <c r="L4709" s="136"/>
      <c r="M4709" s="136"/>
      <c r="N4709" s="136"/>
    </row>
    <row r="4710" spans="6:14">
      <c r="F4710" s="136" t="s">
        <v>18487</v>
      </c>
      <c r="G4710" s="136">
        <v>4707</v>
      </c>
      <c r="H4710" s="136" t="s">
        <v>344</v>
      </c>
      <c r="I4710" s="136" t="s">
        <v>344</v>
      </c>
      <c r="J4710" s="136" t="s">
        <v>18488</v>
      </c>
      <c r="L4710" s="136"/>
      <c r="M4710" s="136"/>
      <c r="N4710" s="136"/>
    </row>
    <row r="4711" spans="6:14">
      <c r="F4711" s="136" t="s">
        <v>18489</v>
      </c>
      <c r="G4711" s="136">
        <v>5598527707</v>
      </c>
      <c r="H4711" s="136" t="s">
        <v>4212</v>
      </c>
      <c r="I4711" s="136" t="s">
        <v>4213</v>
      </c>
      <c r="J4711" s="136" t="s">
        <v>18490</v>
      </c>
      <c r="L4711" s="136"/>
      <c r="M4711" s="136"/>
      <c r="N4711" s="136"/>
    </row>
    <row r="4712" spans="6:14">
      <c r="F4712" s="136" t="s">
        <v>18491</v>
      </c>
      <c r="G4712" s="136">
        <v>4709</v>
      </c>
      <c r="H4712" s="136" t="s">
        <v>4511</v>
      </c>
      <c r="I4712" s="136" t="s">
        <v>4512</v>
      </c>
      <c r="J4712" s="136" t="s">
        <v>18492</v>
      </c>
      <c r="L4712" s="136"/>
      <c r="M4712" s="136"/>
      <c r="N4712" s="136"/>
    </row>
    <row r="4713" spans="6:14">
      <c r="F4713" s="136" t="s">
        <v>18493</v>
      </c>
      <c r="G4713" s="136">
        <v>4710</v>
      </c>
      <c r="H4713" s="136" t="s">
        <v>276</v>
      </c>
      <c r="I4713" s="136" t="s">
        <v>277</v>
      </c>
      <c r="J4713" s="136" t="s">
        <v>18494</v>
      </c>
      <c r="L4713" s="136"/>
      <c r="M4713" s="136"/>
      <c r="N4713" s="136"/>
    </row>
    <row r="4714" spans="6:14">
      <c r="F4714" s="136" t="s">
        <v>18495</v>
      </c>
      <c r="G4714" s="136">
        <v>4711</v>
      </c>
      <c r="H4714" s="136" t="s">
        <v>2310</v>
      </c>
      <c r="I4714" s="136" t="s">
        <v>2310</v>
      </c>
      <c r="J4714" s="136" t="s">
        <v>18496</v>
      </c>
      <c r="L4714" s="136"/>
      <c r="M4714" s="136"/>
      <c r="N4714" s="136"/>
    </row>
    <row r="4715" spans="6:14">
      <c r="F4715" s="136" t="s">
        <v>18497</v>
      </c>
      <c r="G4715" s="136">
        <v>7726274441</v>
      </c>
      <c r="H4715" s="136" t="s">
        <v>1888</v>
      </c>
      <c r="I4715" s="136" t="s">
        <v>1888</v>
      </c>
      <c r="J4715" s="136" t="s">
        <v>18498</v>
      </c>
      <c r="L4715" s="136"/>
      <c r="M4715" s="136"/>
      <c r="N4715" s="136"/>
    </row>
    <row r="4716" spans="6:14">
      <c r="F4716" s="136" t="s">
        <v>18499</v>
      </c>
      <c r="G4716" s="136">
        <v>4713</v>
      </c>
      <c r="H4716" s="136" t="s">
        <v>3271</v>
      </c>
      <c r="I4716" s="136" t="s">
        <v>3272</v>
      </c>
      <c r="J4716" s="136" t="s">
        <v>18500</v>
      </c>
      <c r="L4716" s="136"/>
      <c r="M4716" s="136"/>
      <c r="N4716" s="136"/>
    </row>
    <row r="4717" spans="6:14">
      <c r="F4717" s="136" t="s">
        <v>18501</v>
      </c>
      <c r="G4717" s="136">
        <v>4714</v>
      </c>
      <c r="H4717" s="136" t="s">
        <v>791</v>
      </c>
      <c r="I4717" s="136" t="s">
        <v>793</v>
      </c>
      <c r="J4717" s="136" t="s">
        <v>18502</v>
      </c>
      <c r="L4717" s="136"/>
      <c r="M4717" s="136"/>
      <c r="N4717" s="136"/>
    </row>
    <row r="4718" spans="6:14">
      <c r="F4718" s="136" t="s">
        <v>18503</v>
      </c>
      <c r="G4718" s="136">
        <v>4715</v>
      </c>
      <c r="H4718" s="136" t="s">
        <v>4019</v>
      </c>
      <c r="I4718" s="136" t="s">
        <v>4020</v>
      </c>
      <c r="J4718" s="136" t="s">
        <v>18504</v>
      </c>
      <c r="L4718" s="136"/>
      <c r="M4718" s="136"/>
      <c r="N4718" s="136"/>
    </row>
    <row r="4719" spans="6:14">
      <c r="F4719" s="136" t="s">
        <v>18505</v>
      </c>
      <c r="G4719" s="136">
        <v>4716</v>
      </c>
      <c r="H4719" s="136" t="s">
        <v>9046</v>
      </c>
      <c r="I4719" s="136" t="s">
        <v>9046</v>
      </c>
      <c r="J4719" s="136" t="s">
        <v>18506</v>
      </c>
      <c r="L4719" s="136"/>
      <c r="M4719" s="136"/>
      <c r="N4719" s="136"/>
    </row>
    <row r="4720" spans="6:14">
      <c r="F4720" s="136" t="s">
        <v>18507</v>
      </c>
      <c r="G4720" s="136">
        <v>95030379720</v>
      </c>
      <c r="H4720" s="136" t="s">
        <v>6137</v>
      </c>
      <c r="I4720" s="136" t="s">
        <v>6137</v>
      </c>
      <c r="J4720" s="136" t="s">
        <v>18508</v>
      </c>
      <c r="L4720" s="136"/>
      <c r="M4720" s="136"/>
      <c r="N4720" s="136"/>
    </row>
    <row r="4721" spans="6:14">
      <c r="F4721" s="136" t="s">
        <v>18509</v>
      </c>
      <c r="G4721" s="136">
        <v>4718</v>
      </c>
      <c r="H4721" s="136" t="s">
        <v>13107</v>
      </c>
      <c r="I4721" s="136" t="s">
        <v>13108</v>
      </c>
      <c r="J4721" s="136" t="s">
        <v>18510</v>
      </c>
      <c r="L4721" s="136"/>
      <c r="M4721" s="136"/>
      <c r="N4721" s="136"/>
    </row>
    <row r="4722" spans="6:14">
      <c r="F4722" s="136" t="s">
        <v>18511</v>
      </c>
      <c r="G4722" s="136">
        <v>33032176883</v>
      </c>
      <c r="H4722" s="136" t="s">
        <v>4574</v>
      </c>
      <c r="I4722" s="136" t="s">
        <v>4575</v>
      </c>
      <c r="J4722" s="136" t="s">
        <v>18512</v>
      </c>
      <c r="L4722" s="136"/>
      <c r="M4722" s="136"/>
      <c r="N4722" s="136"/>
    </row>
    <row r="4723" spans="6:14">
      <c r="F4723" s="136" t="s">
        <v>18513</v>
      </c>
      <c r="G4723" s="136">
        <v>6392843965</v>
      </c>
      <c r="H4723" s="136" t="s">
        <v>6002</v>
      </c>
      <c r="I4723" s="136" t="s">
        <v>6002</v>
      </c>
      <c r="J4723" s="136" t="s">
        <v>18514</v>
      </c>
      <c r="L4723" s="136"/>
      <c r="M4723" s="136"/>
      <c r="N4723" s="136"/>
    </row>
    <row r="4724" spans="6:14">
      <c r="F4724" s="136" t="s">
        <v>18515</v>
      </c>
      <c r="G4724" s="136">
        <v>26070756886</v>
      </c>
      <c r="H4724" s="136" t="s">
        <v>5298</v>
      </c>
      <c r="I4724" s="136" t="s">
        <v>5299</v>
      </c>
      <c r="J4724" s="136" t="s">
        <v>18516</v>
      </c>
      <c r="L4724" s="136"/>
      <c r="M4724" s="136"/>
      <c r="N4724" s="136"/>
    </row>
    <row r="4725" spans="6:14">
      <c r="F4725" s="136" t="s">
        <v>18517</v>
      </c>
      <c r="G4725" s="136">
        <v>753148510</v>
      </c>
      <c r="H4725" s="136" t="s">
        <v>4035</v>
      </c>
      <c r="I4725" s="136" t="s">
        <v>4036</v>
      </c>
      <c r="J4725" s="136" t="s">
        <v>18518</v>
      </c>
      <c r="L4725" s="136"/>
      <c r="M4725" s="136"/>
      <c r="N4725" s="136"/>
    </row>
    <row r="4726" spans="6:14">
      <c r="F4726" s="136" t="s">
        <v>18519</v>
      </c>
      <c r="G4726" s="136">
        <v>6006940540</v>
      </c>
      <c r="H4726" s="136" t="s">
        <v>1599</v>
      </c>
      <c r="I4726" s="136" t="s">
        <v>1600</v>
      </c>
      <c r="J4726" s="136" t="s">
        <v>18520</v>
      </c>
      <c r="L4726" s="136"/>
      <c r="M4726" s="136"/>
      <c r="N4726" s="136"/>
    </row>
    <row r="4727" spans="6:14">
      <c r="F4727" s="136" t="s">
        <v>18521</v>
      </c>
      <c r="G4727" s="136">
        <v>4724</v>
      </c>
      <c r="H4727" s="136" t="s">
        <v>188</v>
      </c>
      <c r="I4727" s="136" t="s">
        <v>188</v>
      </c>
      <c r="J4727" s="136" t="s">
        <v>18522</v>
      </c>
      <c r="L4727" s="136"/>
      <c r="M4727" s="136"/>
      <c r="N4727" s="136"/>
    </row>
    <row r="4728" spans="6:14">
      <c r="F4728" s="136" t="s">
        <v>18523</v>
      </c>
      <c r="G4728" s="136">
        <v>18355170130</v>
      </c>
      <c r="H4728" s="136" t="s">
        <v>6167</v>
      </c>
      <c r="I4728" s="136" t="s">
        <v>6167</v>
      </c>
      <c r="J4728" s="136" t="s">
        <v>18524</v>
      </c>
      <c r="L4728" s="136"/>
      <c r="M4728" s="136"/>
      <c r="N4728" s="136"/>
    </row>
    <row r="4729" spans="6:14">
      <c r="F4729" s="136" t="s">
        <v>18525</v>
      </c>
      <c r="G4729" s="136">
        <v>40499614828</v>
      </c>
      <c r="H4729" s="136" t="s">
        <v>3532</v>
      </c>
      <c r="I4729" s="136" t="s">
        <v>3532</v>
      </c>
      <c r="J4729" s="136" t="s">
        <v>18526</v>
      </c>
      <c r="L4729" s="136"/>
      <c r="M4729" s="136"/>
      <c r="N4729" s="136"/>
    </row>
    <row r="4730" spans="6:14">
      <c r="F4730" s="136" t="s">
        <v>18527</v>
      </c>
      <c r="G4730" s="136">
        <v>4727</v>
      </c>
      <c r="H4730" s="136" t="s">
        <v>233</v>
      </c>
      <c r="I4730" s="136" t="s">
        <v>233</v>
      </c>
      <c r="J4730" s="136" t="s">
        <v>18528</v>
      </c>
      <c r="L4730" s="136"/>
      <c r="M4730" s="136"/>
      <c r="N4730" s="136"/>
    </row>
    <row r="4731" spans="6:14">
      <c r="F4731" s="136" t="s">
        <v>18529</v>
      </c>
      <c r="G4731" s="136">
        <v>4728</v>
      </c>
      <c r="H4731" s="136" t="s">
        <v>4068</v>
      </c>
      <c r="I4731" s="136" t="s">
        <v>4069</v>
      </c>
      <c r="J4731" s="136" t="s">
        <v>18530</v>
      </c>
      <c r="L4731" s="136"/>
      <c r="M4731" s="136"/>
      <c r="N4731" s="136"/>
    </row>
    <row r="4732" spans="6:14">
      <c r="F4732" s="136" t="s">
        <v>18531</v>
      </c>
      <c r="G4732" s="136">
        <v>4729</v>
      </c>
      <c r="H4732" s="136" t="s">
        <v>18532</v>
      </c>
      <c r="I4732" s="136" t="s">
        <v>18533</v>
      </c>
      <c r="J4732" s="136" t="s">
        <v>18534</v>
      </c>
      <c r="L4732" s="136"/>
      <c r="M4732" s="136"/>
      <c r="N4732" s="136"/>
    </row>
    <row r="4733" spans="6:14">
      <c r="F4733" s="136" t="s">
        <v>18535</v>
      </c>
      <c r="G4733" s="136">
        <v>7696516400</v>
      </c>
      <c r="H4733" s="136" t="s">
        <v>3129</v>
      </c>
      <c r="I4733" s="136" t="s">
        <v>3129</v>
      </c>
      <c r="J4733" s="136" t="s">
        <v>18536</v>
      </c>
      <c r="L4733" s="136"/>
      <c r="M4733" s="136"/>
      <c r="N4733" s="136"/>
    </row>
    <row r="4734" spans="6:14">
      <c r="F4734" s="136" t="s">
        <v>18537</v>
      </c>
      <c r="G4734" s="136">
        <v>3107357502</v>
      </c>
      <c r="H4734" s="136" t="s">
        <v>4957</v>
      </c>
      <c r="I4734" s="136" t="s">
        <v>4958</v>
      </c>
      <c r="J4734" s="136" t="s">
        <v>18538</v>
      </c>
      <c r="L4734" s="136"/>
      <c r="M4734" s="136"/>
      <c r="N4734" s="136"/>
    </row>
    <row r="4735" spans="6:14">
      <c r="F4735" s="136" t="s">
        <v>18539</v>
      </c>
      <c r="G4735" s="136">
        <v>4931543880</v>
      </c>
      <c r="H4735" s="136" t="s">
        <v>2191</v>
      </c>
      <c r="I4735" s="136" t="s">
        <v>2192</v>
      </c>
      <c r="J4735" s="136" t="s">
        <v>18540</v>
      </c>
      <c r="L4735" s="136"/>
      <c r="M4735" s="136"/>
      <c r="N4735" s="136"/>
    </row>
    <row r="4736" spans="6:14">
      <c r="F4736" s="136" t="s">
        <v>18541</v>
      </c>
      <c r="G4736" s="136">
        <v>5215754608</v>
      </c>
      <c r="H4736" s="136" t="s">
        <v>6027</v>
      </c>
      <c r="I4736" s="136" t="s">
        <v>6027</v>
      </c>
      <c r="J4736" s="136" t="s">
        <v>18542</v>
      </c>
      <c r="L4736" s="136"/>
      <c r="M4736" s="136"/>
      <c r="N4736" s="136"/>
    </row>
    <row r="4737" spans="6:14">
      <c r="F4737" s="136" t="s">
        <v>18543</v>
      </c>
      <c r="G4737" s="136">
        <v>2234820561</v>
      </c>
      <c r="H4737" s="136" t="s">
        <v>254</v>
      </c>
      <c r="I4737" s="136" t="s">
        <v>254</v>
      </c>
      <c r="J4737" s="136" t="s">
        <v>18544</v>
      </c>
      <c r="L4737" s="136"/>
      <c r="M4737" s="136"/>
      <c r="N4737" s="136"/>
    </row>
    <row r="4738" spans="6:14">
      <c r="F4738" s="136" t="s">
        <v>18545</v>
      </c>
      <c r="G4738" s="136">
        <v>4735</v>
      </c>
      <c r="H4738" s="136" t="s">
        <v>1136</v>
      </c>
      <c r="I4738" s="136" t="s">
        <v>1136</v>
      </c>
      <c r="J4738" s="136" t="s">
        <v>18546</v>
      </c>
      <c r="L4738" s="136"/>
      <c r="M4738" s="136"/>
      <c r="N4738" s="136"/>
    </row>
    <row r="4739" spans="6:14">
      <c r="F4739" s="136" t="s">
        <v>18547</v>
      </c>
      <c r="G4739" s="136">
        <v>4736</v>
      </c>
      <c r="H4739" s="136" t="s">
        <v>3457</v>
      </c>
      <c r="I4739" s="136" t="s">
        <v>3457</v>
      </c>
      <c r="J4739" s="136" t="s">
        <v>18548</v>
      </c>
      <c r="L4739" s="136"/>
      <c r="M4739" s="136"/>
      <c r="N4739" s="136"/>
    </row>
    <row r="4740" spans="6:14">
      <c r="F4740" s="136" t="s">
        <v>18549</v>
      </c>
      <c r="G4740" s="136">
        <v>9484625908</v>
      </c>
      <c r="H4740" s="136" t="s">
        <v>980</v>
      </c>
      <c r="I4740" s="136" t="s">
        <v>981</v>
      </c>
      <c r="J4740" s="136" t="s">
        <v>18550</v>
      </c>
      <c r="L4740" s="136"/>
      <c r="M4740" s="136"/>
      <c r="N4740" s="136"/>
    </row>
    <row r="4741" spans="6:14">
      <c r="F4741" s="136" t="s">
        <v>18551</v>
      </c>
      <c r="G4741" s="136">
        <v>9946277778</v>
      </c>
      <c r="H4741" s="136" t="s">
        <v>5514</v>
      </c>
      <c r="I4741" s="136" t="s">
        <v>5515</v>
      </c>
      <c r="J4741" s="136" t="s">
        <v>18552</v>
      </c>
      <c r="L4741" s="136"/>
      <c r="M4741" s="136"/>
      <c r="N4741" s="136"/>
    </row>
    <row r="4742" spans="6:14">
      <c r="F4742" s="136" t="s">
        <v>18553</v>
      </c>
      <c r="G4742" s="136">
        <v>2772383156</v>
      </c>
      <c r="H4742" s="136" t="s">
        <v>3459</v>
      </c>
      <c r="I4742" s="136" t="s">
        <v>3460</v>
      </c>
      <c r="J4742" s="136" t="s">
        <v>18554</v>
      </c>
      <c r="L4742" s="136"/>
      <c r="M4742" s="136"/>
      <c r="N4742" s="136"/>
    </row>
    <row r="4743" spans="6:14">
      <c r="F4743" s="136" t="s">
        <v>18555</v>
      </c>
      <c r="G4743" s="136">
        <v>4740</v>
      </c>
      <c r="H4743" s="136" t="s">
        <v>3187</v>
      </c>
      <c r="I4743" s="136" t="s">
        <v>3188</v>
      </c>
      <c r="J4743" s="136" t="s">
        <v>18556</v>
      </c>
      <c r="L4743" s="136"/>
      <c r="M4743" s="136"/>
      <c r="N4743" s="136"/>
    </row>
    <row r="4744" spans="6:14">
      <c r="F4744" s="136" t="s">
        <v>18557</v>
      </c>
      <c r="G4744" s="136">
        <v>588778001</v>
      </c>
      <c r="H4744" s="136" t="s">
        <v>3259</v>
      </c>
      <c r="I4744" s="136" t="s">
        <v>3260</v>
      </c>
      <c r="J4744" s="136" t="s">
        <v>18558</v>
      </c>
      <c r="L4744" s="136"/>
      <c r="M4744" s="136"/>
      <c r="N4744" s="136"/>
    </row>
    <row r="4745" spans="6:14">
      <c r="F4745" s="136" t="s">
        <v>18559</v>
      </c>
      <c r="G4745" s="136">
        <v>44288960851</v>
      </c>
      <c r="H4745" s="136" t="s">
        <v>1520</v>
      </c>
      <c r="I4745" s="136" t="s">
        <v>1520</v>
      </c>
      <c r="J4745" s="136" t="s">
        <v>18560</v>
      </c>
      <c r="L4745" s="136"/>
      <c r="M4745" s="136"/>
      <c r="N4745" s="136"/>
    </row>
    <row r="4746" spans="6:14">
      <c r="F4746" s="136" t="s">
        <v>18561</v>
      </c>
      <c r="G4746" s="136">
        <v>113728697</v>
      </c>
      <c r="H4746" s="136" t="s">
        <v>4239</v>
      </c>
      <c r="I4746" s="136" t="s">
        <v>4239</v>
      </c>
      <c r="J4746" s="136" t="s">
        <v>18562</v>
      </c>
      <c r="L4746" s="136"/>
      <c r="M4746" s="136"/>
      <c r="N4746" s="136"/>
    </row>
    <row r="4747" spans="6:14">
      <c r="F4747" s="136" t="s">
        <v>18563</v>
      </c>
      <c r="G4747" s="136">
        <v>1586720031</v>
      </c>
      <c r="H4747" s="136" t="s">
        <v>4107</v>
      </c>
      <c r="I4747" s="136" t="s">
        <v>4107</v>
      </c>
      <c r="J4747" s="136" t="s">
        <v>18564</v>
      </c>
      <c r="L4747" s="136"/>
      <c r="M4747" s="136"/>
      <c r="N4747" s="136"/>
    </row>
    <row r="4748" spans="6:14">
      <c r="F4748" s="136" t="s">
        <v>18565</v>
      </c>
      <c r="G4748" s="136">
        <v>4745</v>
      </c>
      <c r="H4748" s="136" t="s">
        <v>3798</v>
      </c>
      <c r="I4748" s="136" t="s">
        <v>3799</v>
      </c>
      <c r="J4748" s="136" t="s">
        <v>18566</v>
      </c>
      <c r="L4748" s="136"/>
      <c r="M4748" s="136"/>
      <c r="N4748" s="136"/>
    </row>
    <row r="4749" spans="6:14">
      <c r="F4749" s="136" t="s">
        <v>18567</v>
      </c>
      <c r="G4749" s="136">
        <v>97475599353</v>
      </c>
      <c r="H4749" s="136" t="s">
        <v>191</v>
      </c>
      <c r="I4749" s="136" t="s">
        <v>191</v>
      </c>
      <c r="J4749" s="136" t="s">
        <v>18568</v>
      </c>
      <c r="L4749" s="136"/>
      <c r="M4749" s="136"/>
      <c r="N4749" s="136"/>
    </row>
    <row r="4750" spans="6:14">
      <c r="F4750" s="136" t="s">
        <v>18569</v>
      </c>
      <c r="G4750" s="136">
        <v>22727754892</v>
      </c>
      <c r="H4750" s="136" t="s">
        <v>2236</v>
      </c>
      <c r="I4750" s="136" t="s">
        <v>2237</v>
      </c>
      <c r="J4750" s="136" t="s">
        <v>18570</v>
      </c>
      <c r="L4750" s="136"/>
      <c r="M4750" s="136"/>
      <c r="N4750" s="136"/>
    </row>
    <row r="4751" spans="6:14">
      <c r="F4751" s="136" t="s">
        <v>18571</v>
      </c>
      <c r="G4751" s="136">
        <v>4748</v>
      </c>
      <c r="H4751" s="136" t="s">
        <v>3998</v>
      </c>
      <c r="I4751" s="136" t="s">
        <v>3998</v>
      </c>
      <c r="J4751" s="136" t="s">
        <v>18572</v>
      </c>
      <c r="L4751" s="136"/>
      <c r="M4751" s="136"/>
      <c r="N4751" s="136"/>
    </row>
    <row r="4752" spans="6:14">
      <c r="F4752" s="136" t="s">
        <v>18573</v>
      </c>
      <c r="G4752" s="136">
        <v>42040677860</v>
      </c>
      <c r="H4752" s="136" t="s">
        <v>275</v>
      </c>
      <c r="I4752" s="136" t="s">
        <v>275</v>
      </c>
      <c r="J4752" s="136" t="s">
        <v>18574</v>
      </c>
      <c r="L4752" s="136"/>
      <c r="M4752" s="136"/>
      <c r="N4752" s="136"/>
    </row>
    <row r="4753" spans="6:14">
      <c r="F4753" s="136" t="s">
        <v>18575</v>
      </c>
      <c r="G4753" s="136">
        <v>21847662838</v>
      </c>
      <c r="H4753" s="136" t="s">
        <v>3596</v>
      </c>
      <c r="I4753" s="136" t="s">
        <v>3596</v>
      </c>
      <c r="J4753" s="136" t="s">
        <v>18576</v>
      </c>
      <c r="L4753" s="136"/>
      <c r="M4753" s="136"/>
      <c r="N4753" s="136"/>
    </row>
    <row r="4754" spans="6:14">
      <c r="F4754" s="136" t="s">
        <v>18577</v>
      </c>
      <c r="G4754" s="136">
        <v>3451651106</v>
      </c>
      <c r="H4754" s="136" t="s">
        <v>3678</v>
      </c>
      <c r="I4754" s="136" t="s">
        <v>3679</v>
      </c>
      <c r="J4754" s="136" t="s">
        <v>18578</v>
      </c>
      <c r="L4754" s="136"/>
      <c r="M4754" s="136"/>
      <c r="N4754" s="136"/>
    </row>
    <row r="4755" spans="6:14">
      <c r="F4755" s="136" t="s">
        <v>18579</v>
      </c>
      <c r="G4755" s="136">
        <v>26323945894</v>
      </c>
      <c r="H4755" s="136" t="s">
        <v>429</v>
      </c>
      <c r="I4755" s="136" t="s">
        <v>430</v>
      </c>
      <c r="J4755" s="136" t="s">
        <v>18580</v>
      </c>
      <c r="L4755" s="136"/>
      <c r="M4755" s="136"/>
      <c r="N4755" s="136"/>
    </row>
    <row r="4756" spans="6:14">
      <c r="F4756" s="136" t="s">
        <v>18581</v>
      </c>
      <c r="G4756" s="136">
        <v>61715182200</v>
      </c>
      <c r="H4756" s="136" t="s">
        <v>2368</v>
      </c>
      <c r="I4756" s="136" t="s">
        <v>2368</v>
      </c>
      <c r="J4756" s="136" t="s">
        <v>18582</v>
      </c>
      <c r="L4756" s="136"/>
      <c r="M4756" s="136"/>
      <c r="N4756" s="136"/>
    </row>
    <row r="4757" spans="6:14">
      <c r="F4757" s="136" t="s">
        <v>18583</v>
      </c>
      <c r="G4757" s="136">
        <v>4754</v>
      </c>
      <c r="H4757" s="136" t="s">
        <v>1573</v>
      </c>
      <c r="I4757" s="136" t="s">
        <v>1573</v>
      </c>
      <c r="J4757" s="136" t="s">
        <v>18584</v>
      </c>
      <c r="L4757" s="136"/>
      <c r="M4757" s="136"/>
      <c r="N4757" s="136"/>
    </row>
    <row r="4758" spans="6:14">
      <c r="F4758" s="136" t="s">
        <v>18585</v>
      </c>
      <c r="G4758" s="136">
        <v>4755</v>
      </c>
      <c r="H4758" s="136" t="s">
        <v>4618</v>
      </c>
      <c r="I4758" s="136" t="s">
        <v>4618</v>
      </c>
      <c r="J4758" s="136" t="s">
        <v>18586</v>
      </c>
      <c r="L4758" s="136"/>
      <c r="M4758" s="136"/>
      <c r="N4758" s="136"/>
    </row>
    <row r="4759" spans="6:14">
      <c r="F4759" s="136" t="s">
        <v>18587</v>
      </c>
      <c r="G4759" s="136">
        <v>4756</v>
      </c>
      <c r="H4759" s="136" t="s">
        <v>323</v>
      </c>
      <c r="I4759" s="136" t="s">
        <v>324</v>
      </c>
      <c r="J4759" s="136" t="s">
        <v>18588</v>
      </c>
      <c r="L4759" s="136"/>
      <c r="M4759" s="136"/>
      <c r="N4759" s="136"/>
    </row>
    <row r="4760" spans="6:14">
      <c r="F4760" s="136" t="s">
        <v>18589</v>
      </c>
      <c r="G4760" s="136">
        <v>18458713756</v>
      </c>
      <c r="H4760" s="136" t="s">
        <v>2530</v>
      </c>
      <c r="I4760" s="136" t="s">
        <v>2530</v>
      </c>
      <c r="J4760" s="136" t="s">
        <v>18590</v>
      </c>
      <c r="L4760" s="136"/>
      <c r="M4760" s="136"/>
      <c r="N4760" s="136"/>
    </row>
    <row r="4761" spans="6:14">
      <c r="F4761" s="136" t="s">
        <v>18591</v>
      </c>
      <c r="G4761" s="136">
        <v>583015182</v>
      </c>
      <c r="H4761" s="136" t="s">
        <v>5707</v>
      </c>
      <c r="I4761" s="136" t="s">
        <v>5708</v>
      </c>
      <c r="J4761" s="136" t="s">
        <v>18592</v>
      </c>
      <c r="L4761" s="136"/>
      <c r="M4761" s="136"/>
      <c r="N4761" s="136"/>
    </row>
    <row r="4762" spans="6:14">
      <c r="F4762" s="136" t="s">
        <v>18593</v>
      </c>
      <c r="G4762" s="136">
        <v>76306542000</v>
      </c>
      <c r="H4762" s="136" t="s">
        <v>2364</v>
      </c>
      <c r="I4762" s="136" t="s">
        <v>2365</v>
      </c>
      <c r="J4762" s="136" t="s">
        <v>18594</v>
      </c>
      <c r="L4762" s="136"/>
      <c r="M4762" s="136"/>
      <c r="N4762" s="136"/>
    </row>
    <row r="4763" spans="6:14">
      <c r="F4763" s="136" t="s">
        <v>18595</v>
      </c>
      <c r="G4763" s="136">
        <v>7458494743</v>
      </c>
      <c r="H4763" s="136" t="s">
        <v>3531</v>
      </c>
      <c r="I4763" s="136" t="s">
        <v>3531</v>
      </c>
      <c r="J4763" s="136" t="s">
        <v>18596</v>
      </c>
      <c r="L4763" s="136"/>
      <c r="M4763" s="136"/>
      <c r="N4763" s="136"/>
    </row>
    <row r="4764" spans="6:14">
      <c r="F4764" s="136" t="s">
        <v>18597</v>
      </c>
      <c r="G4764" s="136">
        <v>4761</v>
      </c>
      <c r="H4764" s="136" t="s">
        <v>529</v>
      </c>
      <c r="I4764" s="136" t="s">
        <v>530</v>
      </c>
      <c r="J4764" s="136" t="s">
        <v>18598</v>
      </c>
      <c r="L4764" s="136"/>
      <c r="M4764" s="136"/>
      <c r="N4764" s="136"/>
    </row>
    <row r="4765" spans="6:14">
      <c r="F4765" s="136" t="s">
        <v>18599</v>
      </c>
      <c r="G4765" s="136">
        <v>4762</v>
      </c>
      <c r="H4765" s="136" t="s">
        <v>1837</v>
      </c>
      <c r="I4765" s="136" t="s">
        <v>1837</v>
      </c>
      <c r="J4765" s="136" t="s">
        <v>18600</v>
      </c>
      <c r="L4765" s="136"/>
      <c r="M4765" s="136"/>
      <c r="N4765" s="136"/>
    </row>
    <row r="4766" spans="6:14">
      <c r="F4766" s="136" t="s">
        <v>18601</v>
      </c>
      <c r="G4766" s="136">
        <v>4763</v>
      </c>
      <c r="H4766" s="136" t="s">
        <v>5836</v>
      </c>
      <c r="I4766" s="136" t="s">
        <v>5837</v>
      </c>
      <c r="J4766" s="136" t="s">
        <v>18602</v>
      </c>
      <c r="L4766" s="136"/>
      <c r="M4766" s="136"/>
      <c r="N4766" s="136"/>
    </row>
    <row r="4767" spans="6:14">
      <c r="F4767" s="136" t="s">
        <v>18603</v>
      </c>
      <c r="G4767" s="136">
        <v>4764</v>
      </c>
      <c r="H4767" s="136" t="s">
        <v>416</v>
      </c>
      <c r="I4767" s="136" t="s">
        <v>416</v>
      </c>
      <c r="J4767" s="136" t="s">
        <v>18604</v>
      </c>
      <c r="L4767" s="136"/>
      <c r="M4767" s="136"/>
      <c r="N4767" s="136"/>
    </row>
    <row r="4768" spans="6:14">
      <c r="F4768" s="136" t="s">
        <v>18605</v>
      </c>
      <c r="G4768" s="136">
        <v>4765</v>
      </c>
      <c r="H4768" s="136" t="s">
        <v>3838</v>
      </c>
      <c r="I4768" s="136" t="s">
        <v>3839</v>
      </c>
      <c r="J4768" s="136" t="s">
        <v>18606</v>
      </c>
      <c r="L4768" s="136"/>
      <c r="M4768" s="136"/>
      <c r="N4768" s="136"/>
    </row>
    <row r="4769" spans="6:14">
      <c r="F4769" s="136" t="s">
        <v>18607</v>
      </c>
      <c r="G4769" s="136">
        <v>4766</v>
      </c>
      <c r="H4769" s="136" t="s">
        <v>170</v>
      </c>
      <c r="I4769" s="136" t="s">
        <v>170</v>
      </c>
      <c r="J4769" s="136" t="s">
        <v>18608</v>
      </c>
      <c r="L4769" s="136"/>
      <c r="M4769" s="136"/>
      <c r="N4769" s="136"/>
    </row>
    <row r="4770" spans="6:14">
      <c r="F4770" s="136" t="s">
        <v>18609</v>
      </c>
      <c r="G4770" s="136">
        <v>3942654750</v>
      </c>
      <c r="H4770" s="136" t="s">
        <v>3884</v>
      </c>
      <c r="I4770" s="136" t="s">
        <v>3884</v>
      </c>
      <c r="J4770" s="136" t="s">
        <v>18610</v>
      </c>
      <c r="L4770" s="136"/>
      <c r="M4770" s="136"/>
      <c r="N4770" s="136"/>
    </row>
    <row r="4771" spans="6:14">
      <c r="F4771" s="136" t="s">
        <v>18611</v>
      </c>
      <c r="G4771" s="136">
        <v>4768</v>
      </c>
      <c r="H4771" s="136" t="s">
        <v>18612</v>
      </c>
      <c r="I4771" s="136" t="s">
        <v>18613</v>
      </c>
      <c r="J4771" s="136" t="s">
        <v>18614</v>
      </c>
      <c r="L4771" s="136"/>
      <c r="M4771" s="136"/>
      <c r="N4771" s="136"/>
    </row>
    <row r="4772" spans="6:14">
      <c r="F4772" s="136" t="s">
        <v>18615</v>
      </c>
      <c r="G4772" s="136">
        <v>4769</v>
      </c>
      <c r="H4772" s="136" t="s">
        <v>360</v>
      </c>
      <c r="I4772" s="136" t="s">
        <v>361</v>
      </c>
      <c r="J4772" s="136" t="s">
        <v>18616</v>
      </c>
      <c r="L4772" s="136"/>
      <c r="M4772" s="136"/>
      <c r="N4772" s="136"/>
    </row>
    <row r="4773" spans="6:14">
      <c r="F4773" s="136" t="s">
        <v>18617</v>
      </c>
      <c r="G4773" s="136">
        <v>11900257602</v>
      </c>
      <c r="H4773" s="136" t="s">
        <v>5069</v>
      </c>
      <c r="I4773" s="136" t="s">
        <v>5069</v>
      </c>
      <c r="J4773" s="136" t="s">
        <v>18618</v>
      </c>
      <c r="L4773" s="136"/>
      <c r="M4773" s="136"/>
      <c r="N4773" s="136"/>
    </row>
    <row r="4774" spans="6:14">
      <c r="F4774" s="136" t="s">
        <v>18619</v>
      </c>
      <c r="G4774" s="136">
        <v>17112958920</v>
      </c>
      <c r="H4774" s="136" t="s">
        <v>3890</v>
      </c>
      <c r="I4774" s="136" t="s">
        <v>3891</v>
      </c>
      <c r="J4774" s="136" t="s">
        <v>18620</v>
      </c>
      <c r="L4774" s="136"/>
      <c r="M4774" s="136"/>
      <c r="N4774" s="136"/>
    </row>
    <row r="4775" spans="6:14">
      <c r="F4775" s="136" t="s">
        <v>18621</v>
      </c>
      <c r="G4775" s="136">
        <v>4772</v>
      </c>
      <c r="H4775" s="136" t="s">
        <v>3523</v>
      </c>
      <c r="I4775" s="136" t="s">
        <v>3524</v>
      </c>
      <c r="J4775" s="136" t="s">
        <v>18622</v>
      </c>
      <c r="L4775" s="136"/>
      <c r="M4775" s="136"/>
      <c r="N4775" s="136"/>
    </row>
    <row r="4776" spans="6:14">
      <c r="F4776" s="136" t="s">
        <v>18623</v>
      </c>
      <c r="G4776" s="136">
        <v>11699578621</v>
      </c>
      <c r="H4776" s="136" t="s">
        <v>5746</v>
      </c>
      <c r="I4776" s="136" t="s">
        <v>5746</v>
      </c>
      <c r="J4776" s="136" t="s">
        <v>18624</v>
      </c>
      <c r="L4776" s="136"/>
      <c r="M4776" s="136"/>
      <c r="N4776" s="136"/>
    </row>
    <row r="4777" spans="6:14">
      <c r="F4777" s="136" t="s">
        <v>18625</v>
      </c>
      <c r="G4777" s="136">
        <v>4787622161</v>
      </c>
      <c r="H4777" s="136" t="s">
        <v>251</v>
      </c>
      <c r="I4777" s="136" t="s">
        <v>252</v>
      </c>
      <c r="J4777" s="136" t="s">
        <v>18626</v>
      </c>
      <c r="L4777" s="136"/>
      <c r="M4777" s="136"/>
      <c r="N4777" s="136"/>
    </row>
    <row r="4778" spans="6:14">
      <c r="F4778" s="136" t="s">
        <v>18627</v>
      </c>
      <c r="G4778" s="136">
        <v>10466489420</v>
      </c>
      <c r="H4778" s="136" t="s">
        <v>6118</v>
      </c>
      <c r="I4778" s="136" t="s">
        <v>6118</v>
      </c>
      <c r="J4778" s="136" t="s">
        <v>18628</v>
      </c>
      <c r="L4778" s="136"/>
      <c r="M4778" s="136"/>
      <c r="N4778" s="136"/>
    </row>
    <row r="4779" spans="6:14">
      <c r="F4779" s="136" t="s">
        <v>18629</v>
      </c>
      <c r="G4779" s="136">
        <v>4776</v>
      </c>
      <c r="H4779" s="136" t="s">
        <v>18630</v>
      </c>
      <c r="I4779" s="136" t="s">
        <v>18631</v>
      </c>
      <c r="J4779" s="136" t="s">
        <v>18632</v>
      </c>
      <c r="L4779" s="136"/>
      <c r="M4779" s="136"/>
      <c r="N4779" s="136"/>
    </row>
    <row r="4780" spans="6:14">
      <c r="F4780" s="136" t="s">
        <v>18633</v>
      </c>
      <c r="G4780" s="136">
        <v>4777</v>
      </c>
      <c r="H4780" s="136" t="s">
        <v>30</v>
      </c>
      <c r="I4780" s="136" t="s">
        <v>31</v>
      </c>
      <c r="J4780" s="136" t="s">
        <v>18634</v>
      </c>
      <c r="L4780" s="136"/>
      <c r="M4780" s="136"/>
      <c r="N4780" s="136"/>
    </row>
    <row r="4781" spans="6:14">
      <c r="F4781" s="136" t="s">
        <v>18635</v>
      </c>
      <c r="G4781" s="136">
        <v>4778</v>
      </c>
      <c r="H4781" s="136" t="s">
        <v>3558</v>
      </c>
      <c r="I4781" s="136" t="s">
        <v>3559</v>
      </c>
      <c r="J4781" s="136" t="s">
        <v>18636</v>
      </c>
      <c r="L4781" s="136"/>
      <c r="M4781" s="136"/>
      <c r="N4781" s="136"/>
    </row>
    <row r="4782" spans="6:14">
      <c r="F4782" s="136" t="s">
        <v>18637</v>
      </c>
      <c r="G4782" s="136">
        <v>4779</v>
      </c>
      <c r="H4782" s="136" t="s">
        <v>5721</v>
      </c>
      <c r="I4782" s="136" t="s">
        <v>5722</v>
      </c>
      <c r="J4782" s="136" t="s">
        <v>18638</v>
      </c>
      <c r="L4782" s="136"/>
      <c r="M4782" s="136"/>
      <c r="N4782" s="136"/>
    </row>
    <row r="4783" spans="6:14">
      <c r="F4783" s="136" t="s">
        <v>18639</v>
      </c>
      <c r="G4783" s="136">
        <v>4780</v>
      </c>
      <c r="H4783" s="136" t="s">
        <v>718</v>
      </c>
      <c r="I4783" s="136" t="s">
        <v>719</v>
      </c>
      <c r="J4783" s="136" t="s">
        <v>18640</v>
      </c>
      <c r="L4783" s="136"/>
      <c r="M4783" s="136"/>
      <c r="N4783" s="136"/>
    </row>
    <row r="4784" spans="6:14">
      <c r="F4784" s="136" t="s">
        <v>18641</v>
      </c>
      <c r="G4784" s="136">
        <v>41685707890</v>
      </c>
      <c r="H4784" s="136" t="s">
        <v>994</v>
      </c>
      <c r="I4784" s="136" t="s">
        <v>994</v>
      </c>
      <c r="J4784" s="136" t="s">
        <v>18642</v>
      </c>
      <c r="L4784" s="136"/>
      <c r="M4784" s="136"/>
      <c r="N4784" s="136"/>
    </row>
    <row r="4785" spans="6:14">
      <c r="F4785" s="136" t="s">
        <v>18643</v>
      </c>
      <c r="G4785" s="136">
        <v>1177416123</v>
      </c>
      <c r="H4785" s="136" t="s">
        <v>314</v>
      </c>
      <c r="I4785" s="136" t="s">
        <v>315</v>
      </c>
      <c r="J4785" s="136" t="s">
        <v>18644</v>
      </c>
      <c r="L4785" s="136"/>
      <c r="M4785" s="136"/>
      <c r="N4785" s="136"/>
    </row>
    <row r="4786" spans="6:14">
      <c r="F4786" s="136" t="s">
        <v>18645</v>
      </c>
      <c r="G4786" s="136">
        <v>99337436434</v>
      </c>
      <c r="H4786" s="136" t="s">
        <v>2366</v>
      </c>
      <c r="I4786" s="136" t="s">
        <v>2367</v>
      </c>
      <c r="J4786" s="136" t="s">
        <v>18646</v>
      </c>
      <c r="L4786" s="136"/>
      <c r="M4786" s="136"/>
      <c r="N4786" s="136"/>
    </row>
    <row r="4787" spans="6:14">
      <c r="F4787" s="136" t="s">
        <v>18647</v>
      </c>
      <c r="G4787" s="136">
        <v>10858885689</v>
      </c>
      <c r="H4787" s="136" t="s">
        <v>234</v>
      </c>
      <c r="I4787" s="136" t="s">
        <v>235</v>
      </c>
      <c r="J4787" s="136" t="s">
        <v>18648</v>
      </c>
      <c r="L4787" s="136"/>
      <c r="M4787" s="136"/>
      <c r="N4787" s="136"/>
    </row>
    <row r="4788" spans="6:14">
      <c r="F4788" s="136" t="s">
        <v>18649</v>
      </c>
      <c r="G4788" s="136">
        <v>2631944771</v>
      </c>
      <c r="H4788" s="136" t="s">
        <v>1831</v>
      </c>
      <c r="I4788" s="136" t="s">
        <v>1832</v>
      </c>
      <c r="J4788" s="136" t="s">
        <v>18650</v>
      </c>
      <c r="L4788" s="136"/>
      <c r="M4788" s="136"/>
      <c r="N4788" s="136"/>
    </row>
    <row r="4789" spans="6:14">
      <c r="F4789" s="136" t="s">
        <v>18651</v>
      </c>
      <c r="G4789" s="136">
        <v>4786</v>
      </c>
      <c r="H4789" s="136" t="s">
        <v>4507</v>
      </c>
      <c r="I4789" s="136" t="s">
        <v>4508</v>
      </c>
      <c r="J4789" s="136" t="s">
        <v>18652</v>
      </c>
      <c r="L4789" s="136"/>
      <c r="M4789" s="136"/>
      <c r="N4789" s="136"/>
    </row>
    <row r="4790" spans="6:14">
      <c r="F4790" s="136" t="s">
        <v>18653</v>
      </c>
      <c r="G4790" s="136">
        <v>4787</v>
      </c>
      <c r="H4790" s="136" t="s">
        <v>32</v>
      </c>
      <c r="I4790" s="136" t="s">
        <v>33</v>
      </c>
      <c r="J4790" s="136" t="s">
        <v>18654</v>
      </c>
      <c r="L4790" s="136"/>
      <c r="M4790" s="136"/>
      <c r="N4790" s="136"/>
    </row>
    <row r="4791" spans="6:14">
      <c r="F4791" s="136" t="s">
        <v>18655</v>
      </c>
      <c r="G4791" s="136">
        <v>4788</v>
      </c>
      <c r="H4791" s="136" t="s">
        <v>18656</v>
      </c>
      <c r="I4791" s="136" t="s">
        <v>18657</v>
      </c>
      <c r="J4791" s="136" t="s">
        <v>18658</v>
      </c>
      <c r="L4791" s="136"/>
      <c r="M4791" s="136"/>
      <c r="N4791" s="136"/>
    </row>
    <row r="4792" spans="6:14">
      <c r="F4792" s="136" t="s">
        <v>18659</v>
      </c>
      <c r="G4792" s="136">
        <v>4789</v>
      </c>
      <c r="H4792" s="136" t="s">
        <v>3365</v>
      </c>
      <c r="I4792" s="136" t="s">
        <v>3366</v>
      </c>
      <c r="J4792" s="136" t="s">
        <v>18660</v>
      </c>
      <c r="L4792" s="136"/>
      <c r="M4792" s="136"/>
      <c r="N4792" s="136"/>
    </row>
    <row r="4793" spans="6:14">
      <c r="F4793" s="136" t="s">
        <v>18661</v>
      </c>
      <c r="G4793" s="136">
        <v>4790</v>
      </c>
      <c r="H4793" s="136" t="s">
        <v>99</v>
      </c>
      <c r="I4793" s="136" t="s">
        <v>99</v>
      </c>
      <c r="J4793" s="136" t="s">
        <v>18662</v>
      </c>
      <c r="L4793" s="136"/>
      <c r="M4793" s="136"/>
      <c r="N4793" s="136"/>
    </row>
    <row r="4794" spans="6:14">
      <c r="F4794" s="136" t="s">
        <v>18663</v>
      </c>
      <c r="G4794" s="136">
        <v>3345986132</v>
      </c>
      <c r="H4794" s="136" t="s">
        <v>3127</v>
      </c>
      <c r="I4794" s="136" t="s">
        <v>3128</v>
      </c>
      <c r="J4794" s="136" t="s">
        <v>18664</v>
      </c>
      <c r="L4794" s="136"/>
      <c r="M4794" s="136"/>
      <c r="N4794" s="136"/>
    </row>
    <row r="4795" spans="6:14">
      <c r="F4795" s="136" t="s">
        <v>18665</v>
      </c>
      <c r="G4795" s="136">
        <v>5796331442</v>
      </c>
      <c r="H4795" s="136" t="s">
        <v>1782</v>
      </c>
      <c r="I4795" s="136" t="s">
        <v>1782</v>
      </c>
      <c r="J4795" s="136" t="s">
        <v>18666</v>
      </c>
      <c r="L4795" s="136"/>
      <c r="M4795" s="136"/>
      <c r="N4795" s="136"/>
    </row>
    <row r="4796" spans="6:14">
      <c r="F4796" s="136" t="s">
        <v>18667</v>
      </c>
      <c r="G4796" s="136">
        <v>46061944802</v>
      </c>
      <c r="H4796" s="136" t="s">
        <v>5783</v>
      </c>
      <c r="I4796" s="136" t="s">
        <v>5784</v>
      </c>
      <c r="J4796" s="136" t="s">
        <v>18668</v>
      </c>
      <c r="L4796" s="136"/>
      <c r="M4796" s="136"/>
      <c r="N4796" s="136"/>
    </row>
    <row r="4797" spans="6:14">
      <c r="F4797" s="136" t="s">
        <v>18669</v>
      </c>
      <c r="G4797" s="136">
        <v>4794</v>
      </c>
      <c r="H4797" s="136" t="s">
        <v>771</v>
      </c>
      <c r="I4797" s="136" t="s">
        <v>772</v>
      </c>
      <c r="J4797" s="136" t="s">
        <v>18670</v>
      </c>
      <c r="L4797" s="136"/>
      <c r="M4797" s="136"/>
      <c r="N4797" s="136"/>
    </row>
    <row r="4798" spans="6:14">
      <c r="F4798" s="136" t="s">
        <v>18671</v>
      </c>
      <c r="G4798" s="136">
        <v>51080729704</v>
      </c>
      <c r="H4798" s="136" t="s">
        <v>1538</v>
      </c>
      <c r="I4798" s="136" t="s">
        <v>1539</v>
      </c>
      <c r="J4798" s="136" t="s">
        <v>18672</v>
      </c>
      <c r="L4798" s="136"/>
      <c r="M4798" s="136"/>
      <c r="N4798" s="136"/>
    </row>
    <row r="4799" spans="6:14">
      <c r="F4799" s="136" t="s">
        <v>18673</v>
      </c>
      <c r="G4799" s="136">
        <v>2048754716</v>
      </c>
      <c r="H4799" s="136" t="s">
        <v>5345</v>
      </c>
      <c r="I4799" s="136" t="s">
        <v>5346</v>
      </c>
      <c r="J4799" s="136" t="s">
        <v>18674</v>
      </c>
      <c r="L4799" s="136"/>
      <c r="M4799" s="136"/>
      <c r="N4799" s="136"/>
    </row>
    <row r="4800" spans="6:14">
      <c r="F4800" s="136" t="s">
        <v>18675</v>
      </c>
      <c r="G4800" s="136">
        <v>27097205822</v>
      </c>
      <c r="H4800" s="136" t="s">
        <v>2545</v>
      </c>
      <c r="I4800" s="136" t="s">
        <v>2546</v>
      </c>
      <c r="J4800" s="136" t="s">
        <v>18676</v>
      </c>
      <c r="L4800" s="136"/>
      <c r="M4800" s="136"/>
      <c r="N4800" s="136"/>
    </row>
    <row r="4801" spans="6:14">
      <c r="F4801" s="136" t="s">
        <v>18677</v>
      </c>
      <c r="G4801" s="136">
        <v>4798</v>
      </c>
      <c r="H4801" s="136" t="s">
        <v>2658</v>
      </c>
      <c r="I4801" s="136" t="s">
        <v>2659</v>
      </c>
      <c r="J4801" s="136" t="s">
        <v>18678</v>
      </c>
      <c r="L4801" s="136"/>
      <c r="M4801" s="136"/>
      <c r="N4801" s="136"/>
    </row>
    <row r="4802" spans="6:14">
      <c r="F4802" s="136" t="s">
        <v>18679</v>
      </c>
      <c r="G4802" s="136">
        <v>4799</v>
      </c>
      <c r="H4802" s="136" t="s">
        <v>1482</v>
      </c>
      <c r="I4802" s="136" t="s">
        <v>1482</v>
      </c>
      <c r="J4802" s="136" t="s">
        <v>18680</v>
      </c>
      <c r="L4802" s="136"/>
      <c r="M4802" s="136"/>
      <c r="N4802" s="136"/>
    </row>
    <row r="4803" spans="6:14">
      <c r="F4803" s="136" t="s">
        <v>18681</v>
      </c>
      <c r="G4803" s="136">
        <v>4800</v>
      </c>
      <c r="H4803" s="136" t="s">
        <v>18682</v>
      </c>
      <c r="I4803" s="136" t="s">
        <v>18683</v>
      </c>
      <c r="J4803" s="136" t="s">
        <v>18684</v>
      </c>
      <c r="L4803" s="136"/>
      <c r="M4803" s="136"/>
      <c r="N4803" s="136"/>
    </row>
    <row r="4804" spans="6:14">
      <c r="F4804" s="136" t="s">
        <v>18685</v>
      </c>
      <c r="G4804" s="136">
        <v>4801</v>
      </c>
      <c r="H4804" s="136" t="s">
        <v>18686</v>
      </c>
      <c r="I4804" s="136" t="s">
        <v>18687</v>
      </c>
      <c r="J4804" s="136" t="s">
        <v>18688</v>
      </c>
      <c r="L4804" s="136"/>
      <c r="M4804" s="136"/>
      <c r="N4804" s="136"/>
    </row>
    <row r="4805" spans="6:14">
      <c r="F4805" s="136" t="s">
        <v>18689</v>
      </c>
      <c r="G4805" s="136">
        <v>4802</v>
      </c>
      <c r="H4805" s="136" t="s">
        <v>1084</v>
      </c>
      <c r="I4805" s="136" t="s">
        <v>1084</v>
      </c>
      <c r="J4805" s="136" t="s">
        <v>18690</v>
      </c>
      <c r="L4805" s="136"/>
      <c r="M4805" s="136"/>
      <c r="N4805" s="136"/>
    </row>
    <row r="4806" spans="6:14">
      <c r="F4806" s="136" t="s">
        <v>18691</v>
      </c>
      <c r="G4806" s="136">
        <v>4803</v>
      </c>
      <c r="H4806" s="136" t="s">
        <v>18692</v>
      </c>
      <c r="I4806" s="136" t="s">
        <v>18693</v>
      </c>
      <c r="J4806" s="136" t="s">
        <v>18694</v>
      </c>
      <c r="L4806" s="136"/>
      <c r="M4806" s="136"/>
      <c r="N4806" s="136"/>
    </row>
    <row r="4807" spans="6:14">
      <c r="F4807" s="136" t="s">
        <v>18695</v>
      </c>
      <c r="G4807" s="136">
        <v>65102681168</v>
      </c>
      <c r="H4807" s="136" t="s">
        <v>2340</v>
      </c>
      <c r="I4807" s="136" t="s">
        <v>2340</v>
      </c>
      <c r="J4807" s="136" t="s">
        <v>18696</v>
      </c>
      <c r="L4807" s="136"/>
      <c r="M4807" s="136"/>
      <c r="N4807" s="136"/>
    </row>
    <row r="4808" spans="6:14">
      <c r="F4808" s="136" t="s">
        <v>18697</v>
      </c>
      <c r="G4808" s="136">
        <v>5438544697</v>
      </c>
      <c r="H4808" s="136" t="s">
        <v>3687</v>
      </c>
      <c r="I4808" s="136" t="s">
        <v>3687</v>
      </c>
      <c r="J4808" s="136" t="s">
        <v>18698</v>
      </c>
      <c r="L4808" s="136"/>
      <c r="M4808" s="136"/>
      <c r="N4808" s="136"/>
    </row>
    <row r="4809" spans="6:14">
      <c r="F4809" s="136" t="s">
        <v>18699</v>
      </c>
      <c r="G4809" s="136">
        <v>78657598191</v>
      </c>
      <c r="H4809" s="136" t="s">
        <v>406</v>
      </c>
      <c r="I4809" s="136" t="s">
        <v>407</v>
      </c>
      <c r="J4809" s="136" t="s">
        <v>18700</v>
      </c>
      <c r="L4809" s="136"/>
      <c r="M4809" s="136"/>
      <c r="N4809" s="136"/>
    </row>
    <row r="4810" spans="6:14">
      <c r="F4810" s="136" t="s">
        <v>18701</v>
      </c>
      <c r="G4810" s="136">
        <v>1315241277</v>
      </c>
      <c r="H4810" s="136" t="s">
        <v>5713</v>
      </c>
      <c r="I4810" s="136" t="s">
        <v>5713</v>
      </c>
      <c r="J4810" s="136" t="s">
        <v>18702</v>
      </c>
      <c r="L4810" s="136"/>
      <c r="M4810" s="136"/>
      <c r="N4810" s="136"/>
    </row>
    <row r="4811" spans="6:14">
      <c r="F4811" s="136" t="s">
        <v>18703</v>
      </c>
      <c r="G4811" s="136">
        <v>8346835639</v>
      </c>
      <c r="H4811" s="136" t="s">
        <v>5508</v>
      </c>
      <c r="I4811" s="136" t="s">
        <v>5508</v>
      </c>
      <c r="J4811" s="136" t="s">
        <v>18704</v>
      </c>
      <c r="L4811" s="136"/>
      <c r="M4811" s="136"/>
      <c r="N4811" s="136"/>
    </row>
    <row r="4812" spans="6:14">
      <c r="F4812" s="136" t="s">
        <v>18705</v>
      </c>
      <c r="G4812" s="136">
        <v>4809</v>
      </c>
      <c r="H4812" s="136" t="s">
        <v>18706</v>
      </c>
      <c r="I4812" s="136" t="s">
        <v>18707</v>
      </c>
      <c r="J4812" s="136" t="s">
        <v>18708</v>
      </c>
      <c r="L4812" s="136"/>
      <c r="M4812" s="136"/>
      <c r="N4812" s="136"/>
    </row>
    <row r="4813" spans="6:14">
      <c r="F4813" s="136" t="s">
        <v>18709</v>
      </c>
      <c r="G4813" s="136">
        <v>4810</v>
      </c>
      <c r="H4813" s="136" t="s">
        <v>2257</v>
      </c>
      <c r="I4813" s="136" t="s">
        <v>2258</v>
      </c>
      <c r="J4813" s="136" t="s">
        <v>18710</v>
      </c>
      <c r="L4813" s="136"/>
      <c r="M4813" s="136"/>
      <c r="N4813" s="136"/>
    </row>
    <row r="4814" spans="6:14">
      <c r="F4814" s="136" t="s">
        <v>18711</v>
      </c>
      <c r="G4814" s="136">
        <v>4811</v>
      </c>
      <c r="H4814" s="136" t="s">
        <v>391</v>
      </c>
      <c r="I4814" s="136" t="s">
        <v>391</v>
      </c>
      <c r="J4814" s="136" t="s">
        <v>18712</v>
      </c>
      <c r="L4814" s="136"/>
      <c r="M4814" s="136"/>
      <c r="N4814" s="136"/>
    </row>
    <row r="4815" spans="6:14">
      <c r="F4815" s="136" t="s">
        <v>18713</v>
      </c>
      <c r="G4815" s="136">
        <v>40735282897</v>
      </c>
      <c r="H4815" s="136" t="s">
        <v>287</v>
      </c>
      <c r="I4815" s="136" t="s">
        <v>287</v>
      </c>
      <c r="J4815" s="136" t="s">
        <v>18714</v>
      </c>
      <c r="L4815" s="136"/>
      <c r="M4815" s="136"/>
      <c r="N4815" s="136"/>
    </row>
    <row r="4816" spans="6:14">
      <c r="F4816" s="136" t="s">
        <v>18715</v>
      </c>
      <c r="G4816" s="136">
        <v>4813</v>
      </c>
      <c r="H4816" s="136" t="s">
        <v>1029</v>
      </c>
      <c r="I4816" s="136" t="s">
        <v>1029</v>
      </c>
      <c r="J4816" s="136" t="s">
        <v>18716</v>
      </c>
      <c r="L4816" s="136"/>
      <c r="M4816" s="136"/>
      <c r="N4816" s="136"/>
    </row>
    <row r="4817" spans="6:14">
      <c r="F4817" s="136" t="s">
        <v>18717</v>
      </c>
      <c r="G4817" s="136">
        <v>3794515145</v>
      </c>
      <c r="H4817" s="136" t="s">
        <v>5056</v>
      </c>
      <c r="I4817" s="136" t="s">
        <v>5057</v>
      </c>
      <c r="J4817" s="136" t="s">
        <v>18718</v>
      </c>
      <c r="L4817" s="136"/>
      <c r="M4817" s="136"/>
      <c r="N4817" s="136"/>
    </row>
    <row r="4818" spans="6:14">
      <c r="F4818" s="136" t="s">
        <v>18719</v>
      </c>
      <c r="G4818" s="136">
        <v>1497513979</v>
      </c>
      <c r="H4818" s="136" t="s">
        <v>1804</v>
      </c>
      <c r="I4818" s="136" t="s">
        <v>1804</v>
      </c>
      <c r="J4818" s="136" t="s">
        <v>18720</v>
      </c>
      <c r="L4818" s="136"/>
      <c r="M4818" s="136"/>
      <c r="N4818" s="136"/>
    </row>
    <row r="4819" spans="6:14">
      <c r="F4819" s="136" t="s">
        <v>18721</v>
      </c>
      <c r="G4819" s="136">
        <v>8792731600</v>
      </c>
      <c r="H4819" s="136" t="s">
        <v>241</v>
      </c>
      <c r="I4819" s="136" t="s">
        <v>242</v>
      </c>
      <c r="J4819" s="136" t="s">
        <v>18722</v>
      </c>
      <c r="L4819" s="136"/>
      <c r="M4819" s="136"/>
      <c r="N4819" s="136"/>
    </row>
    <row r="4820" spans="6:14">
      <c r="F4820" s="136" t="s">
        <v>18723</v>
      </c>
      <c r="G4820" s="136">
        <v>11997665425</v>
      </c>
      <c r="H4820" s="136" t="s">
        <v>5864</v>
      </c>
      <c r="I4820" s="136" t="s">
        <v>5865</v>
      </c>
      <c r="J4820" s="136" t="s">
        <v>18724</v>
      </c>
      <c r="L4820" s="136"/>
      <c r="M4820" s="136"/>
      <c r="N4820" s="136"/>
    </row>
    <row r="4821" spans="6:14">
      <c r="F4821" s="136" t="s">
        <v>18725</v>
      </c>
      <c r="G4821" s="136">
        <v>3443325513</v>
      </c>
      <c r="H4821" s="136" t="s">
        <v>3489</v>
      </c>
      <c r="I4821" s="136" t="s">
        <v>3489</v>
      </c>
      <c r="J4821" s="136" t="s">
        <v>18726</v>
      </c>
      <c r="L4821" s="136"/>
      <c r="M4821" s="136"/>
      <c r="N4821" s="136"/>
    </row>
    <row r="4822" spans="6:14">
      <c r="F4822" s="136" t="s">
        <v>18727</v>
      </c>
      <c r="G4822" s="136">
        <v>4948728101</v>
      </c>
      <c r="H4822" s="136" t="s">
        <v>3630</v>
      </c>
      <c r="I4822" s="136" t="s">
        <v>3631</v>
      </c>
      <c r="J4822" s="136" t="s">
        <v>18728</v>
      </c>
      <c r="L4822" s="136"/>
      <c r="M4822" s="136"/>
      <c r="N4822" s="136"/>
    </row>
    <row r="4823" spans="6:14">
      <c r="F4823" s="136" t="s">
        <v>18729</v>
      </c>
      <c r="G4823" s="136">
        <v>4820</v>
      </c>
      <c r="H4823" s="136" t="s">
        <v>1830</v>
      </c>
      <c r="I4823" s="136" t="s">
        <v>1830</v>
      </c>
      <c r="J4823" s="136" t="s">
        <v>18730</v>
      </c>
      <c r="L4823" s="136"/>
      <c r="M4823" s="136"/>
      <c r="N4823" s="136"/>
    </row>
    <row r="4824" spans="6:14">
      <c r="F4824" s="136" t="s">
        <v>18731</v>
      </c>
      <c r="G4824" s="136">
        <v>4821</v>
      </c>
      <c r="H4824" s="136" t="s">
        <v>4065</v>
      </c>
      <c r="I4824" s="136" t="s">
        <v>4065</v>
      </c>
      <c r="J4824" s="136" t="s">
        <v>18732</v>
      </c>
      <c r="L4824" s="136"/>
      <c r="M4824" s="136"/>
      <c r="N4824" s="136"/>
    </row>
    <row r="4825" spans="6:14">
      <c r="F4825" s="136" t="s">
        <v>18733</v>
      </c>
      <c r="G4825" s="136">
        <v>44073330144</v>
      </c>
      <c r="H4825" s="136" t="s">
        <v>6163</v>
      </c>
      <c r="I4825" s="136" t="s">
        <v>6163</v>
      </c>
      <c r="J4825" s="136" t="s">
        <v>18734</v>
      </c>
      <c r="L4825" s="136"/>
      <c r="M4825" s="136"/>
      <c r="N4825" s="136"/>
    </row>
    <row r="4826" spans="6:14">
      <c r="F4826" s="136" t="s">
        <v>18735</v>
      </c>
      <c r="G4826" s="136">
        <v>4823</v>
      </c>
      <c r="H4826" s="136" t="s">
        <v>18736</v>
      </c>
      <c r="I4826" s="136" t="s">
        <v>18737</v>
      </c>
      <c r="J4826" s="136" t="s">
        <v>18738</v>
      </c>
      <c r="L4826" s="136"/>
      <c r="M4826" s="136"/>
      <c r="N4826" s="136"/>
    </row>
    <row r="4827" spans="6:14">
      <c r="F4827" s="136" t="s">
        <v>18739</v>
      </c>
      <c r="G4827" s="136">
        <v>2387986156</v>
      </c>
      <c r="H4827" s="136" t="s">
        <v>5968</v>
      </c>
      <c r="I4827" s="136" t="s">
        <v>5969</v>
      </c>
      <c r="J4827" s="136" t="s">
        <v>18740</v>
      </c>
      <c r="L4827" s="136"/>
      <c r="M4827" s="136"/>
      <c r="N4827" s="136"/>
    </row>
    <row r="4828" spans="6:14">
      <c r="F4828" s="136" t="s">
        <v>18741</v>
      </c>
      <c r="G4828" s="136">
        <v>4825</v>
      </c>
      <c r="H4828" s="136" t="s">
        <v>18742</v>
      </c>
      <c r="I4828" s="136" t="s">
        <v>18743</v>
      </c>
      <c r="J4828" s="136" t="s">
        <v>18744</v>
      </c>
      <c r="L4828" s="136"/>
      <c r="M4828" s="136"/>
      <c r="N4828" s="136"/>
    </row>
    <row r="4829" spans="6:14">
      <c r="F4829" s="136" t="s">
        <v>18745</v>
      </c>
      <c r="G4829" s="136">
        <v>4826</v>
      </c>
      <c r="H4829" s="136" t="s">
        <v>5075</v>
      </c>
      <c r="I4829" s="136" t="s">
        <v>5075</v>
      </c>
      <c r="J4829" s="136" t="s">
        <v>18746</v>
      </c>
      <c r="L4829" s="136"/>
      <c r="M4829" s="136"/>
      <c r="N4829" s="136"/>
    </row>
    <row r="4830" spans="6:14">
      <c r="F4830" s="136" t="s">
        <v>18747</v>
      </c>
      <c r="G4830" s="136">
        <v>4827</v>
      </c>
      <c r="H4830" s="136" t="s">
        <v>18656</v>
      </c>
      <c r="I4830" s="136" t="s">
        <v>18657</v>
      </c>
      <c r="J4830" s="136" t="s">
        <v>18748</v>
      </c>
      <c r="L4830" s="136"/>
      <c r="M4830" s="136"/>
      <c r="N4830" s="136"/>
    </row>
    <row r="4831" spans="6:14">
      <c r="F4831" s="136" t="s">
        <v>18749</v>
      </c>
      <c r="G4831" s="136">
        <v>2898407160</v>
      </c>
      <c r="H4831" s="136" t="s">
        <v>3989</v>
      </c>
      <c r="I4831" s="136" t="s">
        <v>3990</v>
      </c>
      <c r="J4831" s="136" t="s">
        <v>18750</v>
      </c>
      <c r="L4831" s="136"/>
      <c r="M4831" s="136"/>
      <c r="N4831" s="136"/>
    </row>
    <row r="4832" spans="6:14">
      <c r="F4832" s="136" t="s">
        <v>18751</v>
      </c>
      <c r="G4832" s="136">
        <v>3470487499</v>
      </c>
      <c r="H4832" s="136" t="s">
        <v>2072</v>
      </c>
      <c r="I4832" s="136" t="s">
        <v>2072</v>
      </c>
      <c r="J4832" s="136" t="s">
        <v>18752</v>
      </c>
      <c r="L4832" s="136"/>
      <c r="M4832" s="136"/>
      <c r="N4832" s="136"/>
    </row>
    <row r="4833" spans="6:14">
      <c r="F4833" s="136" t="s">
        <v>18753</v>
      </c>
      <c r="G4833" s="136">
        <v>4830</v>
      </c>
      <c r="H4833" s="136" t="s">
        <v>3342</v>
      </c>
      <c r="I4833" s="136" t="s">
        <v>3343</v>
      </c>
      <c r="J4833" s="136" t="s">
        <v>18754</v>
      </c>
      <c r="L4833" s="136"/>
      <c r="M4833" s="136"/>
      <c r="N4833" s="136"/>
    </row>
    <row r="4834" spans="6:14">
      <c r="F4834" s="136" t="s">
        <v>18755</v>
      </c>
      <c r="G4834" s="136">
        <v>4831</v>
      </c>
      <c r="H4834" s="136" t="s">
        <v>5659</v>
      </c>
      <c r="I4834" s="136" t="s">
        <v>5659</v>
      </c>
      <c r="J4834" s="136" t="s">
        <v>18756</v>
      </c>
      <c r="L4834" s="136"/>
      <c r="M4834" s="136"/>
      <c r="N4834" s="136"/>
    </row>
    <row r="4835" spans="6:14">
      <c r="F4835" s="136" t="s">
        <v>18757</v>
      </c>
      <c r="G4835" s="136">
        <v>4832</v>
      </c>
      <c r="H4835" s="136" t="s">
        <v>3676</v>
      </c>
      <c r="I4835" s="136" t="s">
        <v>3677</v>
      </c>
      <c r="J4835" s="136" t="s">
        <v>18758</v>
      </c>
      <c r="L4835" s="136"/>
      <c r="M4835" s="136"/>
      <c r="N4835" s="136"/>
    </row>
    <row r="4836" spans="6:14">
      <c r="F4836" s="136" t="s">
        <v>18759</v>
      </c>
      <c r="G4836" s="136">
        <v>4833</v>
      </c>
      <c r="H4836" s="136" t="s">
        <v>5048</v>
      </c>
      <c r="I4836" s="136" t="s">
        <v>5048</v>
      </c>
      <c r="J4836" s="136" t="s">
        <v>18760</v>
      </c>
      <c r="L4836" s="136"/>
      <c r="M4836" s="136"/>
      <c r="N4836" s="136"/>
    </row>
    <row r="4837" spans="6:14">
      <c r="F4837" s="136" t="s">
        <v>18761</v>
      </c>
      <c r="G4837" s="136">
        <v>4834</v>
      </c>
      <c r="H4837" s="136" t="s">
        <v>2934</v>
      </c>
      <c r="I4837" s="136" t="s">
        <v>2934</v>
      </c>
      <c r="J4837" s="136" t="s">
        <v>18762</v>
      </c>
      <c r="L4837" s="136"/>
      <c r="M4837" s="136"/>
      <c r="N4837" s="136"/>
    </row>
    <row r="4838" spans="6:14">
      <c r="F4838" s="136" t="s">
        <v>18763</v>
      </c>
      <c r="G4838" s="136">
        <v>4835</v>
      </c>
      <c r="H4838" s="136" t="s">
        <v>697</v>
      </c>
      <c r="I4838" s="136" t="s">
        <v>698</v>
      </c>
      <c r="J4838" s="136" t="s">
        <v>18764</v>
      </c>
      <c r="L4838" s="136"/>
      <c r="M4838" s="136"/>
      <c r="N4838" s="136"/>
    </row>
    <row r="4839" spans="6:14">
      <c r="F4839" s="136" t="s">
        <v>18765</v>
      </c>
      <c r="G4839" s="136">
        <v>4836</v>
      </c>
      <c r="H4839" s="136" t="s">
        <v>5499</v>
      </c>
      <c r="I4839" s="136" t="s">
        <v>5499</v>
      </c>
      <c r="J4839" s="136" t="s">
        <v>18766</v>
      </c>
      <c r="L4839" s="136"/>
      <c r="M4839" s="136"/>
      <c r="N4839" s="136"/>
    </row>
    <row r="4840" spans="6:14">
      <c r="F4840" s="136" t="s">
        <v>18767</v>
      </c>
      <c r="G4840" s="136">
        <v>4837</v>
      </c>
      <c r="H4840" s="136" t="s">
        <v>18768</v>
      </c>
      <c r="I4840" s="136" t="s">
        <v>18769</v>
      </c>
      <c r="J4840" s="136" t="s">
        <v>18770</v>
      </c>
      <c r="L4840" s="136"/>
      <c r="M4840" s="136"/>
      <c r="N4840" s="136"/>
    </row>
    <row r="4841" spans="6:14">
      <c r="F4841" s="136" t="s">
        <v>18771</v>
      </c>
      <c r="G4841" s="136">
        <v>4838</v>
      </c>
      <c r="H4841" s="136" t="s">
        <v>5407</v>
      </c>
      <c r="I4841" s="136" t="s">
        <v>5408</v>
      </c>
      <c r="J4841" s="136" t="s">
        <v>18772</v>
      </c>
      <c r="L4841" s="136"/>
      <c r="M4841" s="136"/>
      <c r="N4841" s="136"/>
    </row>
    <row r="4842" spans="6:14">
      <c r="F4842" s="136" t="s">
        <v>18773</v>
      </c>
      <c r="G4842" s="136">
        <v>4839</v>
      </c>
      <c r="H4842" s="136" t="s">
        <v>4620</v>
      </c>
      <c r="I4842" s="136" t="s">
        <v>4621</v>
      </c>
      <c r="J4842" s="136" t="s">
        <v>18774</v>
      </c>
      <c r="L4842" s="136"/>
      <c r="M4842" s="136"/>
      <c r="N4842" s="136"/>
    </row>
    <row r="4843" spans="6:14">
      <c r="F4843" s="136" t="s">
        <v>18775</v>
      </c>
      <c r="G4843" s="136">
        <v>4840</v>
      </c>
      <c r="H4843" s="136" t="s">
        <v>18776</v>
      </c>
      <c r="I4843" s="136" t="s">
        <v>18777</v>
      </c>
      <c r="J4843" s="136" t="s">
        <v>18778</v>
      </c>
      <c r="L4843" s="136"/>
      <c r="M4843" s="136"/>
      <c r="N4843" s="136"/>
    </row>
    <row r="4844" spans="6:14">
      <c r="F4844" s="136" t="s">
        <v>18779</v>
      </c>
      <c r="G4844" s="136">
        <v>1426640498</v>
      </c>
      <c r="H4844" s="136" t="s">
        <v>857</v>
      </c>
      <c r="I4844" s="136" t="s">
        <v>857</v>
      </c>
      <c r="J4844" s="136" t="s">
        <v>18780</v>
      </c>
      <c r="L4844" s="136"/>
      <c r="M4844" s="136"/>
      <c r="N4844" s="136"/>
    </row>
    <row r="4845" spans="6:14">
      <c r="F4845" s="136" t="s">
        <v>18781</v>
      </c>
      <c r="G4845" s="136">
        <v>39175181800</v>
      </c>
      <c r="H4845" s="136" t="s">
        <v>897</v>
      </c>
      <c r="I4845" s="136" t="s">
        <v>897</v>
      </c>
      <c r="J4845" s="136" t="s">
        <v>18782</v>
      </c>
      <c r="L4845" s="136"/>
      <c r="M4845" s="136"/>
      <c r="N4845" s="136"/>
    </row>
    <row r="4846" spans="6:14">
      <c r="F4846" s="136" t="s">
        <v>18783</v>
      </c>
      <c r="G4846" s="136">
        <v>33976867845</v>
      </c>
      <c r="H4846" s="136" t="s">
        <v>5788</v>
      </c>
      <c r="I4846" s="136" t="s">
        <v>5789</v>
      </c>
      <c r="J4846" s="136" t="s">
        <v>18784</v>
      </c>
      <c r="L4846" s="136"/>
      <c r="M4846" s="136"/>
      <c r="N4846" s="136"/>
    </row>
    <row r="4847" spans="6:14">
      <c r="F4847" s="136" t="s">
        <v>18785</v>
      </c>
      <c r="G4847" s="136">
        <v>21337874884</v>
      </c>
      <c r="H4847" s="136" t="s">
        <v>751</v>
      </c>
      <c r="I4847" s="136" t="s">
        <v>751</v>
      </c>
      <c r="J4847" s="136" t="s">
        <v>18786</v>
      </c>
      <c r="L4847" s="136"/>
      <c r="M4847" s="136"/>
      <c r="N4847" s="136"/>
    </row>
    <row r="4848" spans="6:14">
      <c r="F4848" s="136" t="s">
        <v>18787</v>
      </c>
      <c r="G4848" s="136">
        <v>12473364761</v>
      </c>
      <c r="H4848" s="136" t="s">
        <v>1213</v>
      </c>
      <c r="I4848" s="136" t="s">
        <v>1213</v>
      </c>
      <c r="J4848" s="136" t="s">
        <v>18788</v>
      </c>
      <c r="L4848" s="136"/>
      <c r="M4848" s="136"/>
      <c r="N4848" s="136"/>
    </row>
    <row r="4849" spans="6:14">
      <c r="F4849" s="136" t="s">
        <v>18789</v>
      </c>
      <c r="G4849" s="136">
        <v>2351496329</v>
      </c>
      <c r="H4849" s="136" t="s">
        <v>704</v>
      </c>
      <c r="I4849" s="136" t="s">
        <v>705</v>
      </c>
      <c r="J4849" s="136" t="s">
        <v>18790</v>
      </c>
      <c r="L4849" s="136"/>
      <c r="M4849" s="136"/>
      <c r="N4849" s="136"/>
    </row>
    <row r="4850" spans="6:14">
      <c r="F4850" s="136" t="s">
        <v>18791</v>
      </c>
      <c r="G4850" s="136">
        <v>93551134391</v>
      </c>
      <c r="H4850" s="136" t="s">
        <v>2070</v>
      </c>
      <c r="I4850" s="136" t="s">
        <v>2071</v>
      </c>
      <c r="J4850" s="136" t="s">
        <v>18792</v>
      </c>
      <c r="L4850" s="136"/>
      <c r="M4850" s="136"/>
      <c r="N4850" s="136"/>
    </row>
    <row r="4851" spans="6:14">
      <c r="F4851" s="136" t="s">
        <v>18793</v>
      </c>
      <c r="G4851" s="136">
        <v>4848</v>
      </c>
      <c r="H4851" s="136" t="s">
        <v>18794</v>
      </c>
      <c r="I4851" s="136" t="s">
        <v>18795</v>
      </c>
      <c r="J4851" s="136" t="s">
        <v>18796</v>
      </c>
      <c r="L4851" s="136"/>
      <c r="M4851" s="136"/>
      <c r="N4851" s="136"/>
    </row>
    <row r="4852" spans="6:14">
      <c r="F4852" s="136" t="s">
        <v>18797</v>
      </c>
      <c r="G4852" s="136">
        <v>4849</v>
      </c>
      <c r="H4852" s="136" t="s">
        <v>18798</v>
      </c>
      <c r="I4852" s="136" t="s">
        <v>18798</v>
      </c>
      <c r="J4852" s="136" t="s">
        <v>18799</v>
      </c>
      <c r="L4852" s="136"/>
      <c r="M4852" s="136"/>
      <c r="N4852" s="136"/>
    </row>
    <row r="4853" spans="6:14">
      <c r="F4853" s="136" t="s">
        <v>18800</v>
      </c>
      <c r="G4853" s="136">
        <v>4850</v>
      </c>
      <c r="H4853" s="136" t="s">
        <v>5369</v>
      </c>
      <c r="I4853" s="136" t="s">
        <v>5370</v>
      </c>
      <c r="J4853" s="136" t="s">
        <v>18801</v>
      </c>
      <c r="L4853" s="136"/>
      <c r="M4853" s="136"/>
      <c r="N4853" s="136"/>
    </row>
    <row r="4854" spans="6:14">
      <c r="F4854" s="136" t="s">
        <v>18802</v>
      </c>
      <c r="G4854" s="136">
        <v>4851</v>
      </c>
      <c r="H4854" s="136" t="s">
        <v>4628</v>
      </c>
      <c r="I4854" s="136" t="s">
        <v>4628</v>
      </c>
      <c r="J4854" s="136" t="s">
        <v>18803</v>
      </c>
      <c r="L4854" s="136"/>
      <c r="M4854" s="136"/>
      <c r="N4854" s="136"/>
    </row>
    <row r="4855" spans="6:14">
      <c r="F4855" s="136" t="s">
        <v>18804</v>
      </c>
      <c r="G4855" s="136">
        <v>6278933683</v>
      </c>
      <c r="H4855" s="136" t="s">
        <v>1995</v>
      </c>
      <c r="I4855" s="136" t="s">
        <v>1996</v>
      </c>
      <c r="J4855" s="136" t="s">
        <v>18805</v>
      </c>
      <c r="L4855" s="136"/>
      <c r="M4855" s="136"/>
      <c r="N4855" s="136"/>
    </row>
    <row r="4856" spans="6:14">
      <c r="F4856" s="136" t="s">
        <v>18806</v>
      </c>
      <c r="G4856" s="136">
        <v>4853</v>
      </c>
      <c r="H4856" s="136" t="s">
        <v>18807</v>
      </c>
      <c r="I4856" s="136" t="s">
        <v>18808</v>
      </c>
      <c r="J4856" s="136" t="s">
        <v>18809</v>
      </c>
      <c r="L4856" s="136"/>
      <c r="M4856" s="136"/>
      <c r="N4856" s="136"/>
    </row>
    <row r="4857" spans="6:14">
      <c r="F4857" s="136" t="s">
        <v>18810</v>
      </c>
      <c r="G4857" s="136">
        <v>4854</v>
      </c>
      <c r="H4857" s="136" t="s">
        <v>18811</v>
      </c>
      <c r="I4857" s="136" t="s">
        <v>18812</v>
      </c>
      <c r="J4857" s="136" t="s">
        <v>18813</v>
      </c>
      <c r="L4857" s="136"/>
      <c r="M4857" s="136"/>
      <c r="N4857" s="136"/>
    </row>
    <row r="4858" spans="6:14">
      <c r="F4858" s="136" t="s">
        <v>18814</v>
      </c>
      <c r="G4858" s="136">
        <v>14823459784</v>
      </c>
      <c r="H4858" s="136" t="s">
        <v>4568</v>
      </c>
      <c r="I4858" s="136" t="s">
        <v>4568</v>
      </c>
      <c r="J4858" s="136" t="s">
        <v>18815</v>
      </c>
      <c r="L4858" s="136"/>
      <c r="M4858" s="136"/>
      <c r="N4858" s="136"/>
    </row>
    <row r="4859" spans="6:14">
      <c r="F4859" s="136" t="s">
        <v>18816</v>
      </c>
      <c r="G4859" s="136">
        <v>99024179149</v>
      </c>
      <c r="H4859" s="136" t="s">
        <v>4624</v>
      </c>
      <c r="I4859" s="136" t="s">
        <v>4625</v>
      </c>
      <c r="J4859" s="136" t="s">
        <v>18817</v>
      </c>
      <c r="L4859" s="136"/>
      <c r="M4859" s="136"/>
      <c r="N4859" s="136"/>
    </row>
    <row r="4860" spans="6:14">
      <c r="F4860" s="136" t="s">
        <v>18818</v>
      </c>
      <c r="G4860" s="136">
        <v>13283889643</v>
      </c>
      <c r="H4860" s="136" t="s">
        <v>5303</v>
      </c>
      <c r="I4860" s="136" t="s">
        <v>5303</v>
      </c>
      <c r="J4860" s="136" t="s">
        <v>18819</v>
      </c>
      <c r="L4860" s="136"/>
      <c r="M4860" s="136"/>
      <c r="N4860" s="136"/>
    </row>
    <row r="4861" spans="6:14">
      <c r="F4861" s="136" t="s">
        <v>18820</v>
      </c>
      <c r="G4861" s="136">
        <v>4858</v>
      </c>
      <c r="H4861" s="136" t="s">
        <v>18821</v>
      </c>
      <c r="I4861" s="136" t="s">
        <v>18821</v>
      </c>
      <c r="J4861" s="136" t="s">
        <v>18822</v>
      </c>
      <c r="L4861" s="136"/>
      <c r="M4861" s="136"/>
      <c r="N4861" s="136"/>
    </row>
    <row r="4862" spans="6:14">
      <c r="F4862" s="136" t="s">
        <v>18823</v>
      </c>
      <c r="G4862" s="136">
        <v>4859</v>
      </c>
      <c r="H4862" s="136" t="s">
        <v>18824</v>
      </c>
      <c r="I4862" s="136" t="s">
        <v>18825</v>
      </c>
      <c r="J4862" s="136" t="s">
        <v>18826</v>
      </c>
      <c r="L4862" s="136"/>
      <c r="M4862" s="136"/>
      <c r="N4862" s="136"/>
    </row>
    <row r="4863" spans="6:14">
      <c r="F4863" s="136" t="s">
        <v>18827</v>
      </c>
      <c r="G4863" s="136">
        <v>4860</v>
      </c>
      <c r="H4863" s="136" t="s">
        <v>18828</v>
      </c>
      <c r="I4863" s="136" t="s">
        <v>18829</v>
      </c>
      <c r="J4863" s="136" t="s">
        <v>18830</v>
      </c>
      <c r="L4863" s="136"/>
      <c r="M4863" s="136"/>
      <c r="N4863" s="136"/>
    </row>
    <row r="4864" spans="6:14">
      <c r="F4864" s="136" t="s">
        <v>18831</v>
      </c>
      <c r="G4864" s="136">
        <v>46708747804</v>
      </c>
      <c r="H4864" s="136" t="s">
        <v>5687</v>
      </c>
      <c r="I4864" s="136" t="s">
        <v>5688</v>
      </c>
      <c r="J4864" s="136" t="s">
        <v>18832</v>
      </c>
      <c r="L4864" s="136"/>
      <c r="M4864" s="136"/>
      <c r="N4864" s="136"/>
    </row>
    <row r="4865" spans="6:14">
      <c r="F4865" s="136" t="s">
        <v>18833</v>
      </c>
      <c r="G4865" s="136">
        <v>7839040969</v>
      </c>
      <c r="H4865" s="136" t="s">
        <v>5375</v>
      </c>
      <c r="I4865" s="136" t="s">
        <v>5376</v>
      </c>
      <c r="J4865" s="136" t="s">
        <v>18834</v>
      </c>
      <c r="L4865" s="136"/>
      <c r="M4865" s="136"/>
      <c r="N4865" s="136"/>
    </row>
    <row r="4866" spans="6:14">
      <c r="F4866" s="136" t="s">
        <v>18835</v>
      </c>
      <c r="G4866" s="136">
        <v>9219854791</v>
      </c>
      <c r="H4866" s="136" t="s">
        <v>1043</v>
      </c>
      <c r="I4866" s="136" t="s">
        <v>1044</v>
      </c>
      <c r="J4866" s="136" t="s">
        <v>18836</v>
      </c>
      <c r="L4866" s="136"/>
      <c r="M4866" s="136"/>
      <c r="N4866" s="136"/>
    </row>
    <row r="4867" spans="6:14">
      <c r="F4867" s="136" t="s">
        <v>18837</v>
      </c>
      <c r="G4867" s="136">
        <v>4864</v>
      </c>
      <c r="H4867" s="136" t="s">
        <v>18838</v>
      </c>
      <c r="I4867" s="136" t="s">
        <v>18839</v>
      </c>
      <c r="J4867" s="136" t="s">
        <v>18840</v>
      </c>
      <c r="L4867" s="136"/>
      <c r="M4867" s="136"/>
      <c r="N4867" s="136"/>
    </row>
    <row r="4868" spans="6:14">
      <c r="F4868" s="136" t="s">
        <v>18841</v>
      </c>
      <c r="G4868" s="136">
        <v>4865</v>
      </c>
      <c r="H4868" s="136" t="s">
        <v>9046</v>
      </c>
      <c r="I4868" s="136" t="s">
        <v>9046</v>
      </c>
      <c r="J4868" s="136" t="s">
        <v>18842</v>
      </c>
      <c r="L4868" s="136"/>
      <c r="M4868" s="136"/>
      <c r="N4868" s="136"/>
    </row>
    <row r="4869" spans="6:14">
      <c r="F4869" s="136" t="s">
        <v>18843</v>
      </c>
      <c r="G4869" s="136">
        <v>4866</v>
      </c>
      <c r="H4869" s="136" t="s">
        <v>18844</v>
      </c>
      <c r="I4869" s="136" t="s">
        <v>18845</v>
      </c>
      <c r="J4869" s="136" t="s">
        <v>18846</v>
      </c>
      <c r="L4869" s="136"/>
      <c r="M4869" s="136"/>
      <c r="N4869" s="136"/>
    </row>
    <row r="4870" spans="6:14">
      <c r="F4870" s="136" t="s">
        <v>18847</v>
      </c>
      <c r="G4870" s="136">
        <v>4867</v>
      </c>
      <c r="H4870" s="136" t="s">
        <v>18848</v>
      </c>
      <c r="I4870" s="136" t="s">
        <v>18849</v>
      </c>
      <c r="J4870" s="136" t="s">
        <v>18850</v>
      </c>
      <c r="L4870" s="136"/>
      <c r="M4870" s="136"/>
      <c r="N4870" s="136"/>
    </row>
    <row r="4871" spans="6:14">
      <c r="F4871" s="136" t="s">
        <v>18851</v>
      </c>
      <c r="G4871" s="136">
        <v>9878108473</v>
      </c>
      <c r="H4871" s="136" t="s">
        <v>4968</v>
      </c>
      <c r="I4871" s="136" t="s">
        <v>4969</v>
      </c>
      <c r="J4871" s="136" t="s">
        <v>18852</v>
      </c>
      <c r="L4871" s="136"/>
      <c r="M4871" s="136"/>
      <c r="N4871" s="136"/>
    </row>
    <row r="4872" spans="6:14">
      <c r="F4872" s="136" t="s">
        <v>18853</v>
      </c>
      <c r="G4872" s="136">
        <v>6362685601</v>
      </c>
      <c r="H4872" s="136" t="s">
        <v>378</v>
      </c>
      <c r="I4872" s="136" t="s">
        <v>379</v>
      </c>
      <c r="J4872" s="136" t="s">
        <v>18854</v>
      </c>
      <c r="L4872" s="136"/>
      <c r="M4872" s="136"/>
      <c r="N4872" s="136"/>
    </row>
    <row r="4873" spans="6:14">
      <c r="F4873" s="136" t="s">
        <v>18855</v>
      </c>
      <c r="G4873" s="136">
        <v>44105957848</v>
      </c>
      <c r="H4873" s="136" t="s">
        <v>2873</v>
      </c>
      <c r="I4873" s="136" t="s">
        <v>2873</v>
      </c>
      <c r="J4873" s="136" t="s">
        <v>18856</v>
      </c>
      <c r="L4873" s="136"/>
      <c r="M4873" s="136"/>
      <c r="N4873" s="136"/>
    </row>
    <row r="4874" spans="6:14">
      <c r="F4874" s="136" t="s">
        <v>18857</v>
      </c>
      <c r="G4874" s="136">
        <v>87257904553</v>
      </c>
      <c r="H4874" s="136" t="s">
        <v>1218</v>
      </c>
      <c r="I4874" s="136" t="s">
        <v>1219</v>
      </c>
      <c r="J4874" s="136" t="s">
        <v>18858</v>
      </c>
      <c r="L4874" s="136"/>
      <c r="M4874" s="136"/>
      <c r="N4874" s="136"/>
    </row>
    <row r="4875" spans="6:14">
      <c r="F4875" s="136" t="s">
        <v>18859</v>
      </c>
      <c r="G4875" s="136">
        <v>4872</v>
      </c>
      <c r="H4875" s="136" t="s">
        <v>861</v>
      </c>
      <c r="I4875" s="136" t="s">
        <v>862</v>
      </c>
      <c r="J4875" s="136" t="s">
        <v>18860</v>
      </c>
      <c r="L4875" s="136"/>
      <c r="M4875" s="136"/>
      <c r="N4875" s="136"/>
    </row>
    <row r="4876" spans="6:14">
      <c r="F4876" s="136" t="s">
        <v>18861</v>
      </c>
      <c r="G4876" s="136">
        <v>4873</v>
      </c>
      <c r="H4876" s="136" t="s">
        <v>18862</v>
      </c>
      <c r="I4876" s="136" t="s">
        <v>18863</v>
      </c>
      <c r="J4876" s="136" t="s">
        <v>18864</v>
      </c>
      <c r="L4876" s="136"/>
      <c r="M4876" s="136"/>
      <c r="N4876" s="136"/>
    </row>
    <row r="4877" spans="6:14">
      <c r="F4877" s="136" t="s">
        <v>18865</v>
      </c>
      <c r="G4877" s="136">
        <v>4874</v>
      </c>
      <c r="H4877" s="136" t="s">
        <v>18866</v>
      </c>
      <c r="I4877" s="136" t="s">
        <v>18867</v>
      </c>
      <c r="J4877" s="136" t="s">
        <v>18868</v>
      </c>
      <c r="L4877" s="136"/>
      <c r="M4877" s="136"/>
      <c r="N4877" s="136"/>
    </row>
    <row r="4878" spans="6:14">
      <c r="F4878" s="136" t="s">
        <v>18869</v>
      </c>
      <c r="G4878" s="136">
        <v>7485466771</v>
      </c>
      <c r="H4878" s="136" t="s">
        <v>1070</v>
      </c>
      <c r="I4878" s="136" t="s">
        <v>1071</v>
      </c>
      <c r="J4878" s="136" t="s">
        <v>18870</v>
      </c>
      <c r="L4878" s="136"/>
      <c r="M4878" s="136"/>
      <c r="N4878" s="136"/>
    </row>
    <row r="4879" spans="6:14">
      <c r="F4879" s="136" t="s">
        <v>18871</v>
      </c>
      <c r="G4879" s="136">
        <v>4876</v>
      </c>
      <c r="H4879" s="136" t="s">
        <v>2095</v>
      </c>
      <c r="I4879" s="136" t="s">
        <v>2095</v>
      </c>
      <c r="J4879" s="136" t="s">
        <v>18872</v>
      </c>
      <c r="L4879" s="136"/>
      <c r="M4879" s="136"/>
      <c r="N4879" s="136"/>
    </row>
    <row r="4880" spans="6:14">
      <c r="F4880" s="136" t="s">
        <v>18873</v>
      </c>
      <c r="G4880" s="136">
        <v>7115305641</v>
      </c>
      <c r="H4880" s="136" t="s">
        <v>5413</v>
      </c>
      <c r="I4880" s="136" t="s">
        <v>5413</v>
      </c>
      <c r="J4880" s="136" t="s">
        <v>18874</v>
      </c>
      <c r="L4880" s="136"/>
      <c r="M4880" s="136"/>
      <c r="N4880" s="136"/>
    </row>
    <row r="4881" spans="6:14">
      <c r="F4881" s="136" t="s">
        <v>18875</v>
      </c>
      <c r="G4881" s="136">
        <v>1401842526</v>
      </c>
      <c r="H4881" s="136" t="s">
        <v>1968</v>
      </c>
      <c r="I4881" s="136" t="s">
        <v>1969</v>
      </c>
      <c r="J4881" s="136" t="s">
        <v>18876</v>
      </c>
      <c r="L4881" s="136"/>
      <c r="M4881" s="136"/>
      <c r="N4881" s="136"/>
    </row>
    <row r="4882" spans="6:14">
      <c r="F4882" s="136" t="s">
        <v>18877</v>
      </c>
      <c r="G4882" s="136">
        <v>9760118408</v>
      </c>
      <c r="H4882" s="136" t="s">
        <v>1575</v>
      </c>
      <c r="I4882" s="136" t="s">
        <v>1576</v>
      </c>
      <c r="J4882" s="136" t="s">
        <v>18878</v>
      </c>
      <c r="L4882" s="136"/>
      <c r="M4882" s="136"/>
      <c r="N4882" s="136"/>
    </row>
    <row r="4883" spans="6:14">
      <c r="F4883" s="136" t="s">
        <v>18879</v>
      </c>
      <c r="G4883" s="136">
        <v>7708623650</v>
      </c>
      <c r="H4883" s="136" t="s">
        <v>1632</v>
      </c>
      <c r="I4883" s="136" t="s">
        <v>1632</v>
      </c>
      <c r="J4883" s="136" t="s">
        <v>18880</v>
      </c>
      <c r="L4883" s="136"/>
      <c r="M4883" s="136"/>
      <c r="N4883" s="136"/>
    </row>
    <row r="4884" spans="6:14">
      <c r="F4884" s="136" t="s">
        <v>18881</v>
      </c>
      <c r="G4884" s="136">
        <v>4881</v>
      </c>
      <c r="H4884" s="136" t="s">
        <v>5542</v>
      </c>
      <c r="I4884" s="136" t="s">
        <v>5544</v>
      </c>
      <c r="J4884" s="136" t="s">
        <v>18882</v>
      </c>
      <c r="L4884" s="136"/>
      <c r="M4884" s="136"/>
      <c r="N4884" s="136"/>
    </row>
    <row r="4885" spans="6:14">
      <c r="F4885" s="136" t="s">
        <v>18883</v>
      </c>
      <c r="G4885" s="136">
        <v>4882</v>
      </c>
      <c r="H4885" s="136" t="s">
        <v>18884</v>
      </c>
      <c r="I4885" s="136" t="s">
        <v>18885</v>
      </c>
      <c r="J4885" s="136" t="s">
        <v>18886</v>
      </c>
      <c r="L4885" s="136"/>
      <c r="M4885" s="136"/>
      <c r="N4885" s="136"/>
    </row>
    <row r="4886" spans="6:14">
      <c r="F4886" s="136" t="s">
        <v>18887</v>
      </c>
      <c r="G4886" s="136">
        <v>1935442961</v>
      </c>
      <c r="H4886" s="136" t="s">
        <v>4406</v>
      </c>
      <c r="I4886" s="136" t="s">
        <v>4407</v>
      </c>
      <c r="J4886" s="136" t="s">
        <v>18888</v>
      </c>
      <c r="L4886" s="136"/>
      <c r="M4886" s="136"/>
      <c r="N4886" s="136"/>
    </row>
    <row r="4887" spans="6:14">
      <c r="F4887" s="136" t="s">
        <v>18889</v>
      </c>
      <c r="G4887" s="136">
        <v>6259909519</v>
      </c>
      <c r="H4887" s="136" t="s">
        <v>419</v>
      </c>
      <c r="I4887" s="136" t="s">
        <v>419</v>
      </c>
      <c r="J4887" s="136" t="s">
        <v>18890</v>
      </c>
      <c r="L4887" s="136"/>
      <c r="M4887" s="136"/>
      <c r="N4887" s="136"/>
    </row>
    <row r="4888" spans="6:14">
      <c r="F4888" s="136" t="s">
        <v>18891</v>
      </c>
      <c r="G4888" s="136">
        <v>4885</v>
      </c>
      <c r="H4888" s="136" t="s">
        <v>504</v>
      </c>
      <c r="I4888" s="136" t="s">
        <v>505</v>
      </c>
      <c r="J4888" s="136" t="s">
        <v>18892</v>
      </c>
      <c r="L4888" s="136"/>
      <c r="M4888" s="136"/>
      <c r="N4888" s="136"/>
    </row>
    <row r="4889" spans="6:14">
      <c r="F4889" s="136" t="s">
        <v>18893</v>
      </c>
      <c r="G4889" s="136">
        <v>4886</v>
      </c>
      <c r="H4889" s="136" t="s">
        <v>18894</v>
      </c>
      <c r="I4889" s="136" t="s">
        <v>18895</v>
      </c>
      <c r="J4889" s="136" t="s">
        <v>18896</v>
      </c>
      <c r="L4889" s="136"/>
      <c r="M4889" s="136"/>
      <c r="N4889" s="136"/>
    </row>
    <row r="4890" spans="6:14">
      <c r="F4890" s="136" t="s">
        <v>18897</v>
      </c>
      <c r="G4890" s="136">
        <v>5758218766</v>
      </c>
      <c r="H4890" s="136" t="s">
        <v>4265</v>
      </c>
      <c r="I4890" s="136" t="s">
        <v>4265</v>
      </c>
      <c r="J4890" s="136" t="s">
        <v>18898</v>
      </c>
      <c r="L4890" s="136"/>
      <c r="M4890" s="136"/>
      <c r="N4890" s="136"/>
    </row>
    <row r="4891" spans="6:14">
      <c r="F4891" s="136" t="s">
        <v>18899</v>
      </c>
      <c r="G4891" s="136">
        <v>1969036613</v>
      </c>
      <c r="H4891" s="136" t="s">
        <v>1577</v>
      </c>
      <c r="I4891" s="136" t="s">
        <v>1578</v>
      </c>
      <c r="J4891" s="136" t="s">
        <v>18900</v>
      </c>
      <c r="L4891" s="136"/>
      <c r="M4891" s="136"/>
      <c r="N4891" s="136"/>
    </row>
    <row r="4892" spans="6:14">
      <c r="F4892" s="136" t="s">
        <v>18901</v>
      </c>
      <c r="G4892" s="136">
        <v>66561256891</v>
      </c>
      <c r="H4892" s="136" t="s">
        <v>461</v>
      </c>
      <c r="I4892" s="136" t="s">
        <v>462</v>
      </c>
      <c r="J4892" s="136" t="s">
        <v>18902</v>
      </c>
      <c r="L4892" s="136"/>
      <c r="M4892" s="136"/>
      <c r="N4892" s="136"/>
    </row>
    <row r="4893" spans="6:14">
      <c r="F4893" s="136" t="s">
        <v>18903</v>
      </c>
      <c r="G4893" s="136">
        <v>4890</v>
      </c>
      <c r="H4893" s="136" t="s">
        <v>418</v>
      </c>
      <c r="I4893" s="136" t="s">
        <v>418</v>
      </c>
      <c r="J4893" s="136" t="s">
        <v>18904</v>
      </c>
      <c r="L4893" s="136"/>
      <c r="M4893" s="136"/>
      <c r="N4893" s="136"/>
    </row>
    <row r="4894" spans="6:14">
      <c r="F4894" s="136" t="s">
        <v>18905</v>
      </c>
      <c r="G4894" s="136">
        <v>4891</v>
      </c>
      <c r="H4894" s="136" t="s">
        <v>3138</v>
      </c>
      <c r="I4894" s="136" t="s">
        <v>2745</v>
      </c>
      <c r="J4894" s="136" t="s">
        <v>18906</v>
      </c>
      <c r="L4894" s="136"/>
      <c r="M4894" s="136"/>
      <c r="N4894" s="136"/>
    </row>
    <row r="4895" spans="6:14">
      <c r="F4895" s="136" t="s">
        <v>18907</v>
      </c>
      <c r="G4895" s="136">
        <v>4892</v>
      </c>
      <c r="H4895" s="136" t="s">
        <v>2266</v>
      </c>
      <c r="I4895" s="136" t="s">
        <v>2267</v>
      </c>
      <c r="J4895" s="136" t="s">
        <v>18908</v>
      </c>
      <c r="L4895" s="136"/>
      <c r="M4895" s="136"/>
      <c r="N4895" s="136"/>
    </row>
    <row r="4896" spans="6:14">
      <c r="F4896" s="136" t="s">
        <v>18909</v>
      </c>
      <c r="G4896" s="136">
        <v>38234945890</v>
      </c>
      <c r="H4896" s="136" t="s">
        <v>3649</v>
      </c>
      <c r="I4896" s="136" t="s">
        <v>3649</v>
      </c>
      <c r="J4896" s="136" t="s">
        <v>18910</v>
      </c>
      <c r="L4896" s="136"/>
      <c r="M4896" s="136"/>
      <c r="N4896" s="136"/>
    </row>
    <row r="4897" spans="6:14">
      <c r="F4897" s="136" t="s">
        <v>18911</v>
      </c>
      <c r="G4897" s="136">
        <v>4894</v>
      </c>
      <c r="H4897" s="136" t="s">
        <v>18912</v>
      </c>
      <c r="I4897" s="136" t="s">
        <v>18913</v>
      </c>
      <c r="J4897" s="136" t="s">
        <v>18914</v>
      </c>
      <c r="L4897" s="136"/>
      <c r="M4897" s="136"/>
      <c r="N4897" s="136"/>
    </row>
    <row r="4898" spans="6:14">
      <c r="F4898" s="136" t="s">
        <v>18915</v>
      </c>
      <c r="G4898" s="136">
        <v>4895</v>
      </c>
      <c r="H4898" s="136" t="s">
        <v>4047</v>
      </c>
      <c r="I4898" s="136" t="s">
        <v>4048</v>
      </c>
      <c r="J4898" s="136" t="s">
        <v>18916</v>
      </c>
      <c r="L4898" s="136"/>
      <c r="M4898" s="136"/>
      <c r="N4898" s="136"/>
    </row>
    <row r="4899" spans="6:14">
      <c r="F4899" s="136" t="s">
        <v>18917</v>
      </c>
      <c r="G4899" s="136">
        <v>4896</v>
      </c>
      <c r="H4899" s="136" t="s">
        <v>1226</v>
      </c>
      <c r="I4899" s="136" t="s">
        <v>1226</v>
      </c>
      <c r="J4899" s="136" t="s">
        <v>18918</v>
      </c>
      <c r="L4899" s="136"/>
      <c r="M4899" s="136"/>
      <c r="N4899" s="136"/>
    </row>
    <row r="4900" spans="6:14">
      <c r="F4900" s="136" t="s">
        <v>18919</v>
      </c>
      <c r="G4900" s="136">
        <v>4897</v>
      </c>
      <c r="H4900" s="136" t="s">
        <v>3932</v>
      </c>
      <c r="I4900" s="136" t="s">
        <v>3933</v>
      </c>
      <c r="J4900" s="136" t="s">
        <v>18920</v>
      </c>
      <c r="L4900" s="136"/>
      <c r="M4900" s="136"/>
      <c r="N4900" s="136"/>
    </row>
    <row r="4901" spans="6:14">
      <c r="F4901" s="136" t="s">
        <v>18921</v>
      </c>
      <c r="G4901" s="136">
        <v>37433607803</v>
      </c>
      <c r="H4901" s="136" t="s">
        <v>1088</v>
      </c>
      <c r="I4901" s="136" t="s">
        <v>1088</v>
      </c>
      <c r="J4901" s="136" t="s">
        <v>18922</v>
      </c>
      <c r="L4901" s="136"/>
      <c r="M4901" s="136"/>
      <c r="N4901" s="136"/>
    </row>
    <row r="4902" spans="6:14">
      <c r="F4902" s="136" t="s">
        <v>18923</v>
      </c>
      <c r="G4902" s="136">
        <v>16958133757</v>
      </c>
      <c r="H4902" s="136" t="s">
        <v>1537</v>
      </c>
      <c r="I4902" s="136" t="s">
        <v>1537</v>
      </c>
      <c r="J4902" s="136" t="s">
        <v>18924</v>
      </c>
      <c r="L4902" s="136"/>
      <c r="M4902" s="136"/>
      <c r="N4902" s="136"/>
    </row>
    <row r="4903" spans="6:14">
      <c r="F4903" s="136" t="s">
        <v>18925</v>
      </c>
      <c r="G4903" s="136">
        <v>28671125831</v>
      </c>
      <c r="H4903" s="136" t="s">
        <v>1085</v>
      </c>
      <c r="I4903" s="136" t="s">
        <v>1086</v>
      </c>
      <c r="J4903" s="136" t="s">
        <v>18926</v>
      </c>
      <c r="L4903" s="136"/>
      <c r="M4903" s="136"/>
      <c r="N4903" s="136"/>
    </row>
    <row r="4904" spans="6:14">
      <c r="F4904" s="136" t="s">
        <v>18927</v>
      </c>
      <c r="G4904" s="136">
        <v>4901</v>
      </c>
      <c r="H4904" s="136" t="s">
        <v>18928</v>
      </c>
      <c r="I4904" s="136" t="s">
        <v>18928</v>
      </c>
      <c r="J4904" s="136" t="s">
        <v>18929</v>
      </c>
      <c r="L4904" s="136"/>
      <c r="M4904" s="136"/>
      <c r="N4904" s="136"/>
    </row>
    <row r="4905" spans="6:14">
      <c r="F4905" s="136" t="s">
        <v>18930</v>
      </c>
      <c r="G4905" s="136">
        <v>4902</v>
      </c>
      <c r="H4905" s="136" t="s">
        <v>18931</v>
      </c>
      <c r="I4905" s="136" t="s">
        <v>18932</v>
      </c>
      <c r="J4905" s="136" t="s">
        <v>18933</v>
      </c>
      <c r="L4905" s="136"/>
      <c r="M4905" s="136"/>
      <c r="N4905" s="136"/>
    </row>
    <row r="4906" spans="6:14">
      <c r="F4906" s="136" t="s">
        <v>18934</v>
      </c>
      <c r="G4906" s="136">
        <v>4903</v>
      </c>
      <c r="H4906" s="136" t="s">
        <v>4581</v>
      </c>
      <c r="I4906" s="136" t="s">
        <v>4582</v>
      </c>
      <c r="J4906" s="136" t="s">
        <v>18935</v>
      </c>
      <c r="L4906" s="136"/>
      <c r="M4906" s="136"/>
      <c r="N4906" s="136"/>
    </row>
    <row r="4907" spans="6:14">
      <c r="F4907" s="136" t="s">
        <v>18936</v>
      </c>
      <c r="G4907" s="136">
        <v>4904</v>
      </c>
      <c r="H4907" s="136" t="s">
        <v>3079</v>
      </c>
      <c r="I4907" s="136" t="s">
        <v>3079</v>
      </c>
      <c r="J4907" s="136" t="s">
        <v>18937</v>
      </c>
      <c r="L4907" s="136"/>
      <c r="M4907" s="136"/>
      <c r="N4907" s="136"/>
    </row>
    <row r="4908" spans="6:14">
      <c r="F4908" s="136" t="s">
        <v>18938</v>
      </c>
      <c r="G4908" s="136">
        <v>4905</v>
      </c>
      <c r="H4908" s="136" t="s">
        <v>4038</v>
      </c>
      <c r="I4908" s="136" t="s">
        <v>4038</v>
      </c>
      <c r="J4908" s="136" t="s">
        <v>18939</v>
      </c>
      <c r="L4908" s="136"/>
      <c r="M4908" s="136"/>
      <c r="N4908" s="136"/>
    </row>
    <row r="4909" spans="6:14">
      <c r="F4909" s="136" t="s">
        <v>18940</v>
      </c>
      <c r="G4909" s="136">
        <v>4906</v>
      </c>
      <c r="H4909" s="136" t="s">
        <v>5115</v>
      </c>
      <c r="I4909" s="136" t="s">
        <v>5119</v>
      </c>
      <c r="J4909" s="136" t="s">
        <v>18941</v>
      </c>
      <c r="L4909" s="136"/>
      <c r="M4909" s="136"/>
      <c r="N4909" s="136"/>
    </row>
    <row r="4910" spans="6:14">
      <c r="F4910" s="136" t="s">
        <v>18942</v>
      </c>
      <c r="G4910" s="136">
        <v>4907</v>
      </c>
      <c r="H4910" s="136" t="s">
        <v>14074</v>
      </c>
      <c r="I4910" s="136" t="s">
        <v>18943</v>
      </c>
      <c r="J4910" s="136" t="s">
        <v>18944</v>
      </c>
      <c r="L4910" s="136"/>
      <c r="M4910" s="136"/>
      <c r="N4910" s="136"/>
    </row>
    <row r="4911" spans="6:14">
      <c r="F4911" s="136" t="s">
        <v>18945</v>
      </c>
      <c r="G4911" s="136">
        <v>38333216870</v>
      </c>
      <c r="H4911" s="136" t="s">
        <v>2345</v>
      </c>
      <c r="I4911" s="136" t="s">
        <v>2345</v>
      </c>
      <c r="J4911" s="136" t="s">
        <v>18946</v>
      </c>
      <c r="L4911" s="136"/>
      <c r="M4911" s="136"/>
      <c r="N4911" s="136"/>
    </row>
    <row r="4912" spans="6:14">
      <c r="F4912" s="136" t="s">
        <v>18947</v>
      </c>
      <c r="G4912" s="136">
        <v>4909</v>
      </c>
      <c r="H4912" s="136" t="s">
        <v>1022</v>
      </c>
      <c r="I4912" s="136" t="s">
        <v>1023</v>
      </c>
      <c r="J4912" s="136" t="s">
        <v>18948</v>
      </c>
      <c r="L4912" s="136"/>
      <c r="M4912" s="136"/>
      <c r="N4912" s="136"/>
    </row>
    <row r="4913" spans="6:14">
      <c r="F4913" s="136" t="s">
        <v>18949</v>
      </c>
      <c r="G4913" s="136">
        <v>36896877804</v>
      </c>
      <c r="H4913" s="136" t="s">
        <v>1255</v>
      </c>
      <c r="I4913" s="136" t="s">
        <v>1256</v>
      </c>
      <c r="J4913" s="136" t="s">
        <v>18950</v>
      </c>
      <c r="L4913" s="136"/>
      <c r="M4913" s="136"/>
      <c r="N4913" s="136"/>
    </row>
    <row r="4914" spans="6:14">
      <c r="F4914" s="136" t="s">
        <v>18951</v>
      </c>
      <c r="G4914" s="136">
        <v>4911</v>
      </c>
      <c r="H4914" s="136" t="s">
        <v>3161</v>
      </c>
      <c r="I4914" s="136" t="s">
        <v>3161</v>
      </c>
      <c r="J4914" s="136" t="s">
        <v>18952</v>
      </c>
      <c r="L4914" s="136"/>
      <c r="M4914" s="136"/>
      <c r="N4914" s="136"/>
    </row>
    <row r="4915" spans="6:14">
      <c r="F4915" s="136" t="s">
        <v>18953</v>
      </c>
      <c r="G4915" s="136">
        <v>4912</v>
      </c>
      <c r="H4915" s="136" t="s">
        <v>2275</v>
      </c>
      <c r="I4915" s="136" t="s">
        <v>2276</v>
      </c>
      <c r="J4915" s="136" t="s">
        <v>18954</v>
      </c>
      <c r="L4915" s="136"/>
      <c r="M4915" s="136"/>
      <c r="N4915" s="136"/>
    </row>
    <row r="4916" spans="6:14">
      <c r="F4916" s="136" t="s">
        <v>18955</v>
      </c>
      <c r="G4916" s="136">
        <v>4913</v>
      </c>
      <c r="H4916" s="136" t="s">
        <v>2976</v>
      </c>
      <c r="I4916" s="136" t="s">
        <v>2977</v>
      </c>
      <c r="J4916" s="136" t="s">
        <v>18956</v>
      </c>
      <c r="L4916" s="136"/>
      <c r="M4916" s="136"/>
      <c r="N4916" s="136"/>
    </row>
    <row r="4917" spans="6:14">
      <c r="F4917" s="136" t="s">
        <v>18957</v>
      </c>
      <c r="G4917" s="136">
        <v>4914</v>
      </c>
      <c r="H4917" s="136" t="s">
        <v>18958</v>
      </c>
      <c r="I4917" s="136" t="s">
        <v>18273</v>
      </c>
      <c r="J4917" s="136" t="s">
        <v>18959</v>
      </c>
      <c r="L4917" s="136"/>
      <c r="M4917" s="136"/>
      <c r="N4917" s="136"/>
    </row>
    <row r="4918" spans="6:14">
      <c r="F4918" s="136" t="s">
        <v>18960</v>
      </c>
      <c r="G4918" s="136">
        <v>4915</v>
      </c>
      <c r="H4918" s="136" t="s">
        <v>18961</v>
      </c>
      <c r="I4918" s="136" t="s">
        <v>18962</v>
      </c>
      <c r="J4918" s="136" t="s">
        <v>18963</v>
      </c>
      <c r="L4918" s="136"/>
      <c r="M4918" s="136"/>
      <c r="N4918" s="136"/>
    </row>
    <row r="4919" spans="6:14">
      <c r="F4919" s="136" t="s">
        <v>18964</v>
      </c>
      <c r="G4919" s="136">
        <v>4916</v>
      </c>
      <c r="H4919" s="136" t="s">
        <v>4466</v>
      </c>
      <c r="I4919" s="136" t="s">
        <v>4466</v>
      </c>
      <c r="J4919" s="136" t="s">
        <v>18965</v>
      </c>
      <c r="L4919" s="136"/>
      <c r="M4919" s="136"/>
      <c r="N4919" s="136"/>
    </row>
    <row r="4920" spans="6:14">
      <c r="F4920" s="136" t="s">
        <v>18966</v>
      </c>
      <c r="G4920" s="136">
        <v>4917</v>
      </c>
      <c r="H4920" s="136" t="s">
        <v>18967</v>
      </c>
      <c r="I4920" s="136" t="s">
        <v>18968</v>
      </c>
      <c r="J4920" s="136" t="s">
        <v>18969</v>
      </c>
      <c r="L4920" s="136"/>
      <c r="M4920" s="136"/>
      <c r="N4920" s="136"/>
    </row>
    <row r="4921" spans="6:14">
      <c r="F4921" s="136" t="s">
        <v>18970</v>
      </c>
      <c r="G4921" s="136">
        <v>4918</v>
      </c>
      <c r="H4921" s="136" t="s">
        <v>18971</v>
      </c>
      <c r="I4921" s="136" t="s">
        <v>18972</v>
      </c>
      <c r="J4921" s="136" t="s">
        <v>18973</v>
      </c>
      <c r="L4921" s="136"/>
      <c r="M4921" s="136"/>
      <c r="N4921" s="136"/>
    </row>
    <row r="4922" spans="6:14">
      <c r="F4922" s="136" t="s">
        <v>18974</v>
      </c>
      <c r="G4922" s="136">
        <v>4919</v>
      </c>
      <c r="H4922" s="136" t="s">
        <v>7063</v>
      </c>
      <c r="I4922" s="136" t="s">
        <v>7064</v>
      </c>
      <c r="J4922" s="136" t="s">
        <v>18975</v>
      </c>
      <c r="L4922" s="136"/>
      <c r="M4922" s="136"/>
      <c r="N4922" s="136"/>
    </row>
    <row r="4923" spans="6:14">
      <c r="F4923" s="136" t="s">
        <v>18976</v>
      </c>
      <c r="G4923" s="136">
        <v>4920</v>
      </c>
      <c r="H4923" s="136" t="s">
        <v>7098</v>
      </c>
      <c r="I4923" s="136" t="s">
        <v>7098</v>
      </c>
      <c r="J4923" s="136" t="s">
        <v>18977</v>
      </c>
      <c r="L4923" s="136"/>
      <c r="M4923" s="136"/>
      <c r="N4923" s="136"/>
    </row>
    <row r="4924" spans="6:14">
      <c r="F4924" s="136" t="s">
        <v>18978</v>
      </c>
      <c r="G4924" s="136">
        <v>4921</v>
      </c>
      <c r="H4924" s="136" t="s">
        <v>6022</v>
      </c>
      <c r="I4924" s="136" t="s">
        <v>6023</v>
      </c>
      <c r="J4924" s="136" t="s">
        <v>18979</v>
      </c>
      <c r="L4924" s="136"/>
      <c r="M4924" s="136"/>
      <c r="N4924" s="136"/>
    </row>
    <row r="4925" spans="6:14">
      <c r="F4925" s="136" t="s">
        <v>18980</v>
      </c>
      <c r="G4925" s="136">
        <v>42147054836</v>
      </c>
      <c r="H4925" s="136" t="s">
        <v>6217</v>
      </c>
      <c r="I4925" s="136" t="s">
        <v>6217</v>
      </c>
      <c r="J4925" s="136" t="s">
        <v>18981</v>
      </c>
      <c r="L4925" s="136"/>
      <c r="M4925" s="136"/>
      <c r="N4925" s="136"/>
    </row>
    <row r="4926" spans="6:14">
      <c r="F4926" s="136" t="s">
        <v>18982</v>
      </c>
      <c r="G4926" s="136">
        <v>1088626238</v>
      </c>
      <c r="H4926" s="136" t="s">
        <v>1033</v>
      </c>
      <c r="I4926" s="136" t="s">
        <v>1033</v>
      </c>
      <c r="J4926" s="136" t="s">
        <v>18983</v>
      </c>
      <c r="L4926" s="136"/>
      <c r="M4926" s="136"/>
      <c r="N4926" s="136"/>
    </row>
    <row r="4927" spans="6:14">
      <c r="F4927" s="136" t="s">
        <v>18984</v>
      </c>
      <c r="G4927" s="136">
        <v>4924</v>
      </c>
      <c r="H4927" s="136" t="s">
        <v>5724</v>
      </c>
      <c r="I4927" s="136" t="s">
        <v>5724</v>
      </c>
      <c r="J4927" s="136" t="s">
        <v>18985</v>
      </c>
      <c r="L4927" s="136"/>
      <c r="M4927" s="136"/>
      <c r="N4927" s="136"/>
    </row>
    <row r="4928" spans="6:14">
      <c r="F4928" s="136" t="s">
        <v>18986</v>
      </c>
      <c r="G4928" s="136">
        <v>4547990557</v>
      </c>
      <c r="H4928" s="136" t="s">
        <v>2328</v>
      </c>
      <c r="I4928" s="136" t="s">
        <v>2329</v>
      </c>
      <c r="J4928" s="136" t="s">
        <v>18987</v>
      </c>
      <c r="L4928" s="136"/>
      <c r="M4928" s="136"/>
      <c r="N4928" s="136"/>
    </row>
    <row r="4929" spans="6:14">
      <c r="F4929" s="136" t="s">
        <v>18988</v>
      </c>
      <c r="G4929" s="136">
        <v>29568550852</v>
      </c>
      <c r="H4929" s="136" t="s">
        <v>5159</v>
      </c>
      <c r="I4929" s="136" t="s">
        <v>5159</v>
      </c>
      <c r="J4929" s="136" t="s">
        <v>18989</v>
      </c>
      <c r="L4929" s="136"/>
      <c r="M4929" s="136"/>
      <c r="N4929" s="136"/>
    </row>
    <row r="4930" spans="6:14">
      <c r="F4930" s="136" t="s">
        <v>18990</v>
      </c>
      <c r="G4930" s="136">
        <v>4927</v>
      </c>
      <c r="H4930" s="136" t="s">
        <v>18991</v>
      </c>
      <c r="I4930" s="136" t="s">
        <v>18992</v>
      </c>
      <c r="J4930" s="136" t="s">
        <v>18993</v>
      </c>
      <c r="L4930" s="136"/>
      <c r="M4930" s="136"/>
      <c r="N4930" s="136"/>
    </row>
    <row r="4931" spans="6:14">
      <c r="F4931" s="136" t="s">
        <v>18994</v>
      </c>
      <c r="G4931" s="136">
        <v>49377978831</v>
      </c>
      <c r="H4931" s="136" t="s">
        <v>4203</v>
      </c>
      <c r="I4931" s="136" t="s">
        <v>4203</v>
      </c>
      <c r="J4931" s="136" t="s">
        <v>18995</v>
      </c>
      <c r="L4931" s="136"/>
      <c r="M4931" s="136"/>
      <c r="N4931" s="136"/>
    </row>
    <row r="4932" spans="6:14">
      <c r="F4932" s="136" t="s">
        <v>18996</v>
      </c>
      <c r="G4932" s="136">
        <v>4929</v>
      </c>
      <c r="H4932" s="136" t="s">
        <v>18997</v>
      </c>
      <c r="I4932" s="136" t="s">
        <v>18998</v>
      </c>
      <c r="J4932" s="136" t="s">
        <v>18999</v>
      </c>
      <c r="L4932" s="136"/>
      <c r="M4932" s="136"/>
      <c r="N4932" s="136"/>
    </row>
    <row r="4933" spans="6:14">
      <c r="F4933" s="136" t="s">
        <v>19000</v>
      </c>
      <c r="G4933" s="136">
        <v>4930</v>
      </c>
      <c r="H4933" s="136" t="s">
        <v>19001</v>
      </c>
      <c r="I4933" s="136" t="s">
        <v>19002</v>
      </c>
      <c r="J4933" s="136" t="s">
        <v>19003</v>
      </c>
      <c r="L4933" s="136"/>
      <c r="M4933" s="136"/>
      <c r="N4933" s="136"/>
    </row>
    <row r="4934" spans="6:14">
      <c r="F4934" s="136" t="s">
        <v>19004</v>
      </c>
      <c r="G4934" s="136">
        <v>4931</v>
      </c>
      <c r="H4934" s="136" t="s">
        <v>19005</v>
      </c>
      <c r="I4934" s="136" t="s">
        <v>19006</v>
      </c>
      <c r="J4934" s="136" t="s">
        <v>19007</v>
      </c>
      <c r="L4934" s="136"/>
      <c r="M4934" s="136"/>
      <c r="N4934" s="136"/>
    </row>
    <row r="4935" spans="6:14">
      <c r="F4935" s="136" t="s">
        <v>19008</v>
      </c>
      <c r="G4935" s="136">
        <v>6037899606</v>
      </c>
      <c r="H4935" s="136" t="s">
        <v>1828</v>
      </c>
      <c r="I4935" s="136" t="s">
        <v>1829</v>
      </c>
      <c r="J4935" s="136" t="s">
        <v>19009</v>
      </c>
      <c r="L4935" s="136"/>
      <c r="M4935" s="136"/>
      <c r="N4935" s="136"/>
    </row>
    <row r="4936" spans="6:14">
      <c r="F4936" s="136" t="s">
        <v>19010</v>
      </c>
      <c r="G4936" s="136">
        <v>9648486603</v>
      </c>
      <c r="H4936" s="136" t="s">
        <v>2559</v>
      </c>
      <c r="I4936" s="136" t="s">
        <v>2560</v>
      </c>
      <c r="J4936" s="136" t="s">
        <v>19011</v>
      </c>
      <c r="L4936" s="136"/>
      <c r="M4936" s="136"/>
      <c r="N4936" s="136"/>
    </row>
    <row r="4937" spans="6:14">
      <c r="F4937" s="136" t="s">
        <v>19012</v>
      </c>
      <c r="G4937" s="136">
        <v>4934</v>
      </c>
      <c r="H4937" s="136" t="s">
        <v>19013</v>
      </c>
      <c r="I4937" s="136" t="s">
        <v>19014</v>
      </c>
      <c r="J4937" s="136" t="s">
        <v>19015</v>
      </c>
      <c r="L4937" s="136"/>
      <c r="M4937" s="136"/>
      <c r="N4937" s="136"/>
    </row>
    <row r="4938" spans="6:14">
      <c r="F4938" s="136" t="s">
        <v>19016</v>
      </c>
      <c r="G4938" s="136">
        <v>4935</v>
      </c>
      <c r="H4938" s="136" t="s">
        <v>19017</v>
      </c>
      <c r="I4938" s="136" t="s">
        <v>19018</v>
      </c>
      <c r="J4938" s="136" t="s">
        <v>19019</v>
      </c>
      <c r="L4938" s="136"/>
      <c r="M4938" s="136"/>
      <c r="N4938" s="136"/>
    </row>
    <row r="4939" spans="6:14">
      <c r="F4939" s="136" t="s">
        <v>19020</v>
      </c>
      <c r="G4939" s="136">
        <v>4936</v>
      </c>
      <c r="H4939" s="136" t="s">
        <v>19021</v>
      </c>
      <c r="I4939" s="136" t="s">
        <v>19022</v>
      </c>
      <c r="J4939" s="136" t="s">
        <v>19023</v>
      </c>
      <c r="L4939" s="136"/>
      <c r="M4939" s="136"/>
      <c r="N4939" s="136"/>
    </row>
    <row r="4940" spans="6:14">
      <c r="F4940" s="136" t="s">
        <v>19024</v>
      </c>
      <c r="G4940" s="136">
        <v>4937</v>
      </c>
      <c r="H4940" s="136" t="s">
        <v>19025</v>
      </c>
      <c r="I4940" s="136" t="s">
        <v>19026</v>
      </c>
      <c r="J4940" s="136" t="s">
        <v>19027</v>
      </c>
      <c r="L4940" s="136"/>
      <c r="M4940" s="136"/>
      <c r="N4940" s="136"/>
    </row>
    <row r="4941" spans="6:14">
      <c r="F4941" s="136" t="s">
        <v>19028</v>
      </c>
      <c r="G4941" s="136">
        <v>4938</v>
      </c>
      <c r="H4941" s="136" t="s">
        <v>19029</v>
      </c>
      <c r="I4941" s="136" t="s">
        <v>19030</v>
      </c>
      <c r="J4941" s="136" t="s">
        <v>19031</v>
      </c>
      <c r="L4941" s="136"/>
      <c r="M4941" s="136"/>
      <c r="N4941" s="136"/>
    </row>
    <row r="4942" spans="6:14">
      <c r="F4942" s="136" t="s">
        <v>19032</v>
      </c>
      <c r="G4942" s="136">
        <v>4939</v>
      </c>
      <c r="H4942" s="136" t="s">
        <v>4073</v>
      </c>
      <c r="I4942" s="136" t="s">
        <v>4074</v>
      </c>
      <c r="J4942" s="136" t="s">
        <v>19033</v>
      </c>
      <c r="L4942" s="136"/>
      <c r="M4942" s="136"/>
      <c r="N4942" s="136"/>
    </row>
    <row r="4943" spans="6:14">
      <c r="F4943" s="136" t="s">
        <v>19034</v>
      </c>
      <c r="G4943" s="136">
        <v>4940</v>
      </c>
      <c r="H4943" s="136" t="s">
        <v>1224</v>
      </c>
      <c r="I4943" s="136" t="s">
        <v>1225</v>
      </c>
      <c r="J4943" s="136" t="s">
        <v>19035</v>
      </c>
      <c r="L4943" s="136"/>
      <c r="M4943" s="136"/>
      <c r="N4943" s="136"/>
    </row>
    <row r="4944" spans="6:14">
      <c r="F4944" s="136" t="s">
        <v>19036</v>
      </c>
      <c r="G4944" s="136">
        <v>4941</v>
      </c>
      <c r="H4944" s="136" t="s">
        <v>19037</v>
      </c>
      <c r="I4944" s="136" t="s">
        <v>19038</v>
      </c>
      <c r="J4944" s="136" t="s">
        <v>19039</v>
      </c>
      <c r="L4944" s="136"/>
      <c r="M4944" s="136"/>
      <c r="N4944" s="136"/>
    </row>
    <row r="4945" spans="6:14">
      <c r="F4945" s="136" t="s">
        <v>19040</v>
      </c>
      <c r="G4945" s="136">
        <v>4942</v>
      </c>
      <c r="H4945" s="136" t="s">
        <v>811</v>
      </c>
      <c r="I4945" s="136" t="s">
        <v>812</v>
      </c>
      <c r="J4945" s="136" t="s">
        <v>19041</v>
      </c>
      <c r="L4945" s="136"/>
      <c r="M4945" s="136"/>
      <c r="N4945" s="136"/>
    </row>
    <row r="4946" spans="6:14">
      <c r="F4946" s="136" t="s">
        <v>19042</v>
      </c>
      <c r="G4946" s="136">
        <v>4943</v>
      </c>
      <c r="H4946" s="136" t="s">
        <v>19043</v>
      </c>
      <c r="I4946" s="136" t="s">
        <v>19044</v>
      </c>
      <c r="J4946" s="136" t="s">
        <v>19045</v>
      </c>
      <c r="L4946" s="136"/>
      <c r="M4946" s="136"/>
      <c r="N4946" s="136"/>
    </row>
    <row r="4947" spans="6:14">
      <c r="F4947" s="136" t="s">
        <v>19046</v>
      </c>
      <c r="G4947" s="136">
        <v>20880969733</v>
      </c>
      <c r="H4947" s="136" t="s">
        <v>699</v>
      </c>
      <c r="I4947" s="136" t="s">
        <v>699</v>
      </c>
      <c r="J4947" s="136" t="s">
        <v>19047</v>
      </c>
      <c r="L4947" s="136"/>
      <c r="M4947" s="136"/>
      <c r="N4947" s="136"/>
    </row>
    <row r="4948" spans="6:14">
      <c r="F4948" s="136" t="s">
        <v>19048</v>
      </c>
      <c r="G4948" s="136">
        <v>649055195</v>
      </c>
      <c r="H4948" s="136" t="s">
        <v>394</v>
      </c>
      <c r="I4948" s="136" t="s">
        <v>394</v>
      </c>
      <c r="J4948" s="136" t="s">
        <v>19049</v>
      </c>
      <c r="L4948" s="136"/>
      <c r="M4948" s="136"/>
      <c r="N4948" s="136"/>
    </row>
    <row r="4949" spans="6:14">
      <c r="F4949" s="136" t="s">
        <v>19050</v>
      </c>
      <c r="G4949" s="136">
        <v>32233959892</v>
      </c>
      <c r="H4949" s="136" t="s">
        <v>4022</v>
      </c>
      <c r="I4949" s="136" t="s">
        <v>4023</v>
      </c>
      <c r="J4949" s="136" t="s">
        <v>19051</v>
      </c>
      <c r="L4949" s="136"/>
      <c r="M4949" s="136"/>
      <c r="N4949" s="136"/>
    </row>
    <row r="4950" spans="6:14">
      <c r="F4950" s="136" t="s">
        <v>19052</v>
      </c>
      <c r="G4950" s="136">
        <v>68618689572</v>
      </c>
      <c r="H4950" s="136" t="s">
        <v>2101</v>
      </c>
      <c r="I4950" s="136" t="s">
        <v>2101</v>
      </c>
      <c r="J4950" s="136" t="s">
        <v>19053</v>
      </c>
      <c r="L4950" s="136"/>
      <c r="M4950" s="136"/>
      <c r="N4950" s="136"/>
    </row>
    <row r="4951" spans="6:14">
      <c r="F4951" s="136" t="s">
        <v>19054</v>
      </c>
      <c r="G4951" s="136">
        <v>4948</v>
      </c>
      <c r="H4951" s="136" t="s">
        <v>3313</v>
      </c>
      <c r="I4951" s="136" t="s">
        <v>3314</v>
      </c>
      <c r="J4951" s="136" t="s">
        <v>19055</v>
      </c>
      <c r="L4951" s="136"/>
      <c r="M4951" s="136"/>
      <c r="N4951" s="136"/>
    </row>
    <row r="4952" spans="6:14">
      <c r="F4952" s="136" t="s">
        <v>19056</v>
      </c>
      <c r="G4952" s="136">
        <v>9541379907</v>
      </c>
      <c r="H4952" s="136" t="s">
        <v>203</v>
      </c>
      <c r="I4952" s="136" t="s">
        <v>204</v>
      </c>
      <c r="J4952" s="136" t="s">
        <v>19057</v>
      </c>
      <c r="L4952" s="136"/>
      <c r="M4952" s="136"/>
      <c r="N4952" s="136"/>
    </row>
    <row r="4953" spans="6:14">
      <c r="F4953" s="136" t="s">
        <v>19058</v>
      </c>
      <c r="G4953" s="136">
        <v>5600636105</v>
      </c>
      <c r="H4953" s="136" t="s">
        <v>5058</v>
      </c>
      <c r="I4953" s="136" t="s">
        <v>5059</v>
      </c>
      <c r="J4953" s="136" t="s">
        <v>19059</v>
      </c>
      <c r="L4953" s="136"/>
      <c r="M4953" s="136"/>
      <c r="N4953" s="136"/>
    </row>
    <row r="4954" spans="6:14">
      <c r="F4954" s="136" t="s">
        <v>19060</v>
      </c>
      <c r="G4954" s="136">
        <v>4951</v>
      </c>
      <c r="H4954" s="136" t="s">
        <v>1636</v>
      </c>
      <c r="I4954" s="136" t="s">
        <v>1646</v>
      </c>
      <c r="J4954" s="136" t="s">
        <v>19061</v>
      </c>
      <c r="L4954" s="136"/>
      <c r="M4954" s="136"/>
      <c r="N4954" s="136"/>
    </row>
    <row r="4955" spans="6:14">
      <c r="F4955" s="136" t="s">
        <v>19062</v>
      </c>
      <c r="G4955" s="136">
        <v>4952</v>
      </c>
      <c r="H4955" s="136" t="s">
        <v>19063</v>
      </c>
      <c r="I4955" s="136" t="s">
        <v>19064</v>
      </c>
      <c r="J4955" s="136" t="s">
        <v>19065</v>
      </c>
      <c r="L4955" s="136"/>
      <c r="M4955" s="136"/>
      <c r="N4955" s="136"/>
    </row>
    <row r="4956" spans="6:14">
      <c r="F4956" s="136" t="s">
        <v>19066</v>
      </c>
      <c r="G4956" s="136">
        <v>31604014806</v>
      </c>
      <c r="H4956" s="136" t="s">
        <v>2000</v>
      </c>
      <c r="I4956" s="136" t="s">
        <v>2001</v>
      </c>
      <c r="J4956" s="136" t="s">
        <v>19067</v>
      </c>
      <c r="L4956" s="136"/>
      <c r="M4956" s="136"/>
      <c r="N4956" s="136"/>
    </row>
    <row r="4957" spans="6:14">
      <c r="F4957" s="136" t="s">
        <v>19068</v>
      </c>
      <c r="G4957" s="136">
        <v>12071663675</v>
      </c>
      <c r="H4957" s="136" t="s">
        <v>1036</v>
      </c>
      <c r="I4957" s="136" t="s">
        <v>1037</v>
      </c>
      <c r="J4957" s="136" t="s">
        <v>19069</v>
      </c>
      <c r="L4957" s="136"/>
      <c r="M4957" s="136"/>
      <c r="N4957" s="136"/>
    </row>
    <row r="4958" spans="6:14">
      <c r="F4958" s="136" t="s">
        <v>19070</v>
      </c>
      <c r="G4958" s="136">
        <v>4955</v>
      </c>
      <c r="H4958" s="136" t="s">
        <v>19071</v>
      </c>
      <c r="I4958" s="136" t="s">
        <v>18360</v>
      </c>
      <c r="J4958" s="136" t="s">
        <v>19072</v>
      </c>
      <c r="L4958" s="136"/>
      <c r="M4958" s="136"/>
      <c r="N4958" s="136"/>
    </row>
    <row r="4959" spans="6:14">
      <c r="F4959" s="136" t="s">
        <v>19073</v>
      </c>
      <c r="G4959" s="136">
        <v>4956</v>
      </c>
      <c r="H4959" s="136" t="s">
        <v>3854</v>
      </c>
      <c r="I4959" s="136" t="s">
        <v>3855</v>
      </c>
      <c r="J4959" s="136" t="s">
        <v>19074</v>
      </c>
      <c r="L4959" s="136"/>
      <c r="M4959" s="136"/>
      <c r="N4959" s="136"/>
    </row>
    <row r="4960" spans="6:14">
      <c r="F4960" s="136" t="s">
        <v>19075</v>
      </c>
      <c r="G4960" s="136">
        <v>9133051976</v>
      </c>
      <c r="H4960" s="136" t="s">
        <v>3361</v>
      </c>
      <c r="I4960" s="136" t="s">
        <v>3361</v>
      </c>
      <c r="J4960" s="136" t="s">
        <v>19076</v>
      </c>
      <c r="L4960" s="136"/>
      <c r="M4960" s="136"/>
      <c r="N4960" s="136"/>
    </row>
    <row r="4961" spans="6:14">
      <c r="F4961" s="136" t="s">
        <v>19077</v>
      </c>
      <c r="G4961" s="136">
        <v>4958</v>
      </c>
      <c r="H4961" s="136" t="s">
        <v>5735</v>
      </c>
      <c r="I4961" s="136" t="s">
        <v>5735</v>
      </c>
      <c r="J4961" s="136" t="s">
        <v>19078</v>
      </c>
      <c r="L4961" s="136"/>
      <c r="M4961" s="136"/>
      <c r="N4961" s="136"/>
    </row>
    <row r="4962" spans="6:14">
      <c r="F4962" s="136" t="s">
        <v>19079</v>
      </c>
      <c r="G4962" s="136">
        <v>47918330749</v>
      </c>
      <c r="H4962" s="136" t="s">
        <v>3</v>
      </c>
      <c r="I4962" s="136" t="s">
        <v>3</v>
      </c>
      <c r="J4962" s="136" t="s">
        <v>19080</v>
      </c>
      <c r="L4962" s="136"/>
      <c r="M4962" s="136"/>
      <c r="N4962" s="136"/>
    </row>
    <row r="4963" spans="6:14">
      <c r="F4963" s="136" t="s">
        <v>19081</v>
      </c>
      <c r="G4963" s="136">
        <v>4960</v>
      </c>
      <c r="H4963" s="136" t="s">
        <v>19082</v>
      </c>
      <c r="I4963" s="136" t="s">
        <v>19083</v>
      </c>
      <c r="J4963" s="136" t="s">
        <v>19084</v>
      </c>
      <c r="L4963" s="136"/>
      <c r="M4963" s="136"/>
      <c r="N4963" s="136"/>
    </row>
    <row r="4964" spans="6:14">
      <c r="F4964" s="136" t="s">
        <v>19085</v>
      </c>
      <c r="G4964" s="136">
        <v>3401264508</v>
      </c>
      <c r="H4964" s="136" t="s">
        <v>5912</v>
      </c>
      <c r="I4964" s="136" t="s">
        <v>5913</v>
      </c>
      <c r="J4964" s="136" t="s">
        <v>19086</v>
      </c>
      <c r="L4964" s="136"/>
      <c r="M4964" s="136"/>
      <c r="N4964" s="136"/>
    </row>
    <row r="4965" spans="6:14">
      <c r="F4965" s="136" t="s">
        <v>19087</v>
      </c>
      <c r="G4965" s="136">
        <v>15590633788</v>
      </c>
      <c r="H4965" s="136" t="s">
        <v>2081</v>
      </c>
      <c r="I4965" s="136" t="s">
        <v>2082</v>
      </c>
      <c r="J4965" s="136" t="s">
        <v>19088</v>
      </c>
      <c r="L4965" s="136"/>
      <c r="M4965" s="136"/>
      <c r="N4965" s="136"/>
    </row>
    <row r="4966" spans="6:14">
      <c r="F4966" s="136" t="s">
        <v>19089</v>
      </c>
      <c r="G4966" s="136">
        <v>12506452478</v>
      </c>
      <c r="H4966" s="136" t="s">
        <v>2489</v>
      </c>
      <c r="I4966" s="136" t="s">
        <v>2490</v>
      </c>
      <c r="J4966" s="136" t="s">
        <v>19090</v>
      </c>
      <c r="L4966" s="136"/>
      <c r="M4966" s="136"/>
      <c r="N4966" s="136"/>
    </row>
    <row r="4967" spans="6:14">
      <c r="F4967" s="136" t="s">
        <v>19091</v>
      </c>
      <c r="G4967" s="136">
        <v>8754325307</v>
      </c>
      <c r="H4967" s="136" t="s">
        <v>3965</v>
      </c>
      <c r="I4967" s="136" t="s">
        <v>3966</v>
      </c>
      <c r="J4967" s="136" t="s">
        <v>19092</v>
      </c>
      <c r="L4967" s="136"/>
      <c r="M4967" s="136"/>
      <c r="N4967" s="136"/>
    </row>
    <row r="4968" spans="6:14">
      <c r="F4968" s="136" t="s">
        <v>19093</v>
      </c>
      <c r="G4968" s="136">
        <v>93619774153</v>
      </c>
      <c r="H4968" s="136" t="s">
        <v>2324</v>
      </c>
      <c r="I4968" s="136" t="s">
        <v>2325</v>
      </c>
      <c r="J4968" s="136" t="s">
        <v>19094</v>
      </c>
      <c r="L4968" s="136"/>
      <c r="M4968" s="136"/>
      <c r="N4968" s="136"/>
    </row>
    <row r="4969" spans="6:14">
      <c r="F4969" s="136" t="s">
        <v>19095</v>
      </c>
      <c r="G4969" s="136">
        <v>15746631604</v>
      </c>
      <c r="H4969" s="136" t="s">
        <v>5078</v>
      </c>
      <c r="I4969" s="136" t="s">
        <v>5079</v>
      </c>
      <c r="J4969" s="136" t="s">
        <v>19096</v>
      </c>
      <c r="L4969" s="136"/>
      <c r="M4969" s="136"/>
      <c r="N4969" s="136"/>
    </row>
    <row r="4970" spans="6:14">
      <c r="F4970" s="136" t="s">
        <v>19097</v>
      </c>
      <c r="G4970" s="136">
        <v>4967</v>
      </c>
      <c r="H4970" s="136" t="s">
        <v>10895</v>
      </c>
      <c r="I4970" s="136" t="s">
        <v>19098</v>
      </c>
      <c r="J4970" s="136" t="s">
        <v>19099</v>
      </c>
      <c r="L4970" s="136"/>
      <c r="M4970" s="136"/>
      <c r="N4970" s="136"/>
    </row>
    <row r="4971" spans="6:14">
      <c r="F4971" s="136" t="s">
        <v>19100</v>
      </c>
      <c r="G4971" s="136">
        <v>4968</v>
      </c>
      <c r="H4971" s="136" t="s">
        <v>3315</v>
      </c>
      <c r="I4971" s="136" t="s">
        <v>3315</v>
      </c>
      <c r="J4971" s="136" t="s">
        <v>19101</v>
      </c>
      <c r="L4971" s="136"/>
      <c r="M4971" s="136"/>
      <c r="N4971" s="136"/>
    </row>
    <row r="4972" spans="6:14">
      <c r="F4972" s="136" t="s">
        <v>19102</v>
      </c>
      <c r="G4972" s="136">
        <v>4969</v>
      </c>
      <c r="H4972" s="136" t="s">
        <v>4077</v>
      </c>
      <c r="I4972" s="136" t="s">
        <v>4078</v>
      </c>
      <c r="J4972" s="136" t="s">
        <v>19103</v>
      </c>
      <c r="L4972" s="136"/>
      <c r="M4972" s="136"/>
      <c r="N4972" s="136"/>
    </row>
    <row r="4973" spans="6:14">
      <c r="F4973" s="136" t="s">
        <v>19104</v>
      </c>
      <c r="G4973" s="136">
        <v>4970</v>
      </c>
      <c r="H4973" s="136" t="s">
        <v>19105</v>
      </c>
      <c r="I4973" s="136" t="s">
        <v>19006</v>
      </c>
      <c r="J4973" s="136" t="s">
        <v>19106</v>
      </c>
      <c r="L4973" s="136"/>
      <c r="M4973" s="136"/>
      <c r="N4973" s="136"/>
    </row>
    <row r="4974" spans="6:14">
      <c r="F4974" s="136" t="s">
        <v>19107</v>
      </c>
      <c r="G4974" s="136">
        <v>4971</v>
      </c>
      <c r="H4974" s="136" t="s">
        <v>19108</v>
      </c>
      <c r="I4974" s="136" t="s">
        <v>19109</v>
      </c>
      <c r="J4974" s="136" t="s">
        <v>19110</v>
      </c>
      <c r="L4974" s="136"/>
      <c r="M4974" s="136"/>
      <c r="N4974" s="136"/>
    </row>
    <row r="4975" spans="6:14">
      <c r="F4975" s="136" t="s">
        <v>19111</v>
      </c>
      <c r="G4975" s="136">
        <v>96193441115</v>
      </c>
      <c r="H4975" s="136" t="s">
        <v>4240</v>
      </c>
      <c r="I4975" s="136" t="s">
        <v>4241</v>
      </c>
      <c r="J4975" s="136" t="s">
        <v>19112</v>
      </c>
      <c r="L4975" s="136"/>
      <c r="M4975" s="136"/>
      <c r="N4975" s="136"/>
    </row>
    <row r="4976" spans="6:14">
      <c r="F4976" s="136" t="s">
        <v>19113</v>
      </c>
      <c r="G4976" s="136">
        <v>4973</v>
      </c>
      <c r="H4976" s="136" t="s">
        <v>19114</v>
      </c>
      <c r="I4976" s="136" t="s">
        <v>19115</v>
      </c>
      <c r="J4976" s="136" t="s">
        <v>19116</v>
      </c>
      <c r="L4976" s="136"/>
      <c r="M4976" s="136"/>
      <c r="N4976" s="136"/>
    </row>
    <row r="4977" spans="6:14">
      <c r="F4977" s="136" t="s">
        <v>19117</v>
      </c>
      <c r="G4977" s="136">
        <v>4974</v>
      </c>
      <c r="H4977" s="136" t="s">
        <v>1379</v>
      </c>
      <c r="I4977" s="136" t="s">
        <v>1380</v>
      </c>
      <c r="J4977" s="136" t="s">
        <v>19118</v>
      </c>
      <c r="L4977" s="136"/>
      <c r="M4977" s="136"/>
      <c r="N4977" s="136"/>
    </row>
    <row r="4978" spans="6:14">
      <c r="F4978" s="136" t="s">
        <v>19119</v>
      </c>
      <c r="G4978" s="136">
        <v>6786012329</v>
      </c>
      <c r="H4978" s="136" t="s">
        <v>4031</v>
      </c>
      <c r="I4978" s="136" t="s">
        <v>4032</v>
      </c>
      <c r="J4978" s="136" t="s">
        <v>19120</v>
      </c>
      <c r="L4978" s="136"/>
      <c r="M4978" s="136"/>
      <c r="N4978" s="136"/>
    </row>
    <row r="4979" spans="6:14">
      <c r="F4979" s="136" t="s">
        <v>19121</v>
      </c>
      <c r="G4979" s="136">
        <v>3064747355</v>
      </c>
      <c r="H4979" s="136" t="s">
        <v>3833</v>
      </c>
      <c r="I4979" s="136" t="s">
        <v>3834</v>
      </c>
      <c r="J4979" s="136" t="s">
        <v>19122</v>
      </c>
      <c r="L4979" s="136"/>
      <c r="M4979" s="136"/>
      <c r="N4979" s="136"/>
    </row>
    <row r="4980" spans="6:14">
      <c r="F4980" s="136" t="s">
        <v>19123</v>
      </c>
      <c r="G4980" s="136">
        <v>6850551671</v>
      </c>
      <c r="H4980" s="136" t="s">
        <v>6060</v>
      </c>
      <c r="I4980" s="136" t="s">
        <v>6060</v>
      </c>
      <c r="J4980" s="136" t="s">
        <v>19124</v>
      </c>
      <c r="L4980" s="136"/>
      <c r="M4980" s="136"/>
      <c r="N4980" s="136"/>
    </row>
    <row r="4981" spans="6:14">
      <c r="F4981" s="136" t="s">
        <v>19125</v>
      </c>
      <c r="G4981" s="136">
        <v>982633319</v>
      </c>
      <c r="H4981" s="136" t="s">
        <v>4401</v>
      </c>
      <c r="I4981" s="136" t="s">
        <v>4401</v>
      </c>
      <c r="J4981" s="136" t="s">
        <v>19126</v>
      </c>
      <c r="L4981" s="136"/>
      <c r="M4981" s="136"/>
      <c r="N4981" s="136"/>
    </row>
    <row r="4982" spans="6:14">
      <c r="F4982" s="136" t="s">
        <v>19127</v>
      </c>
      <c r="G4982" s="136">
        <v>4979</v>
      </c>
      <c r="H4982" s="136" t="s">
        <v>19128</v>
      </c>
      <c r="I4982" s="136" t="s">
        <v>19129</v>
      </c>
      <c r="J4982" s="136" t="s">
        <v>19130</v>
      </c>
      <c r="L4982" s="136"/>
      <c r="M4982" s="136"/>
      <c r="N4982" s="136"/>
    </row>
    <row r="4983" spans="6:14">
      <c r="F4983" s="136" t="s">
        <v>19131</v>
      </c>
      <c r="G4983" s="136">
        <v>9143023614</v>
      </c>
      <c r="H4983" s="136" t="s">
        <v>1598</v>
      </c>
      <c r="I4983" s="136" t="s">
        <v>1598</v>
      </c>
      <c r="J4983" s="136" t="s">
        <v>19132</v>
      </c>
      <c r="L4983" s="136"/>
      <c r="M4983" s="136"/>
      <c r="N4983" s="136"/>
    </row>
    <row r="4984" spans="6:14">
      <c r="F4984" s="136" t="s">
        <v>19133</v>
      </c>
      <c r="G4984" s="136">
        <v>29760550172</v>
      </c>
      <c r="H4984" s="136" t="s">
        <v>6161</v>
      </c>
      <c r="I4984" s="136" t="s">
        <v>6162</v>
      </c>
      <c r="J4984" s="136" t="s">
        <v>19134</v>
      </c>
      <c r="L4984" s="136"/>
      <c r="M4984" s="136"/>
      <c r="N4984" s="136"/>
    </row>
    <row r="4985" spans="6:14">
      <c r="F4985" s="136" t="s">
        <v>19135</v>
      </c>
      <c r="G4985" s="136">
        <v>4982</v>
      </c>
      <c r="H4985" s="136" t="s">
        <v>19136</v>
      </c>
      <c r="I4985" s="136" t="s">
        <v>19137</v>
      </c>
      <c r="J4985" s="136" t="s">
        <v>19138</v>
      </c>
      <c r="L4985" s="136"/>
      <c r="M4985" s="136"/>
      <c r="N4985" s="136"/>
    </row>
    <row r="4986" spans="6:14">
      <c r="F4986" s="136" t="s">
        <v>19139</v>
      </c>
      <c r="G4986" s="136">
        <v>6189500870</v>
      </c>
      <c r="H4986" s="136" t="s">
        <v>1042</v>
      </c>
      <c r="I4986" s="136" t="s">
        <v>1042</v>
      </c>
      <c r="J4986" s="136" t="s">
        <v>19140</v>
      </c>
      <c r="L4986" s="136"/>
      <c r="M4986" s="136"/>
      <c r="N4986" s="136"/>
    </row>
    <row r="4987" spans="6:14">
      <c r="F4987" s="136" t="s">
        <v>19141</v>
      </c>
      <c r="G4987" s="136">
        <v>4984</v>
      </c>
      <c r="H4987" s="136" t="s">
        <v>19142</v>
      </c>
      <c r="I4987" s="136" t="s">
        <v>19143</v>
      </c>
      <c r="J4987" s="136" t="s">
        <v>19144</v>
      </c>
      <c r="L4987" s="136"/>
      <c r="M4987" s="136"/>
      <c r="N4987" s="136"/>
    </row>
    <row r="4988" spans="6:14">
      <c r="F4988" s="136" t="s">
        <v>19145</v>
      </c>
      <c r="G4988" s="136">
        <v>39167834833</v>
      </c>
      <c r="H4988" s="136" t="s">
        <v>3354</v>
      </c>
      <c r="I4988" s="136" t="s">
        <v>3355</v>
      </c>
      <c r="J4988" s="136" t="s">
        <v>19146</v>
      </c>
      <c r="L4988" s="136"/>
      <c r="M4988" s="136"/>
      <c r="N4988" s="136"/>
    </row>
    <row r="4989" spans="6:14">
      <c r="F4989" s="136" t="s">
        <v>19147</v>
      </c>
      <c r="G4989" s="136">
        <v>4986</v>
      </c>
      <c r="H4989" s="136" t="s">
        <v>19148</v>
      </c>
      <c r="I4989" s="136" t="s">
        <v>19149</v>
      </c>
      <c r="J4989" s="136" t="s">
        <v>19150</v>
      </c>
      <c r="L4989" s="136"/>
      <c r="M4989" s="136"/>
      <c r="N4989" s="136"/>
    </row>
    <row r="4990" spans="6:14">
      <c r="F4990" s="136" t="s">
        <v>19151</v>
      </c>
      <c r="G4990" s="136">
        <v>4987</v>
      </c>
      <c r="H4990" s="136" t="s">
        <v>2256</v>
      </c>
      <c r="I4990" s="136" t="s">
        <v>2256</v>
      </c>
      <c r="J4990" s="136" t="s">
        <v>19152</v>
      </c>
      <c r="L4990" s="136"/>
      <c r="M4990" s="136"/>
      <c r="N4990" s="136"/>
    </row>
    <row r="4991" spans="6:14">
      <c r="F4991" s="136" t="s">
        <v>19153</v>
      </c>
      <c r="G4991" s="136">
        <v>4988</v>
      </c>
      <c r="H4991" s="136" t="s">
        <v>19154</v>
      </c>
      <c r="I4991" s="136" t="s">
        <v>19154</v>
      </c>
      <c r="J4991" s="136" t="s">
        <v>19155</v>
      </c>
      <c r="L4991" s="136"/>
      <c r="M4991" s="136"/>
      <c r="N4991" s="136"/>
    </row>
    <row r="4992" spans="6:14">
      <c r="F4992" s="136" t="s">
        <v>19156</v>
      </c>
      <c r="G4992" s="136">
        <v>4989</v>
      </c>
      <c r="H4992" s="136" t="s">
        <v>19157</v>
      </c>
      <c r="I4992" s="136" t="s">
        <v>19158</v>
      </c>
      <c r="J4992" s="136" t="s">
        <v>19159</v>
      </c>
      <c r="L4992" s="136"/>
      <c r="M4992" s="136"/>
      <c r="N4992" s="136"/>
    </row>
    <row r="4993" spans="6:14">
      <c r="F4993" s="136" t="s">
        <v>19160</v>
      </c>
      <c r="G4993" s="136">
        <v>6701818625</v>
      </c>
      <c r="H4993" s="136" t="s">
        <v>2349</v>
      </c>
      <c r="I4993" s="136" t="s">
        <v>2350</v>
      </c>
      <c r="J4993" s="136" t="s">
        <v>19161</v>
      </c>
      <c r="L4993" s="136"/>
      <c r="M4993" s="136"/>
      <c r="N4993" s="136"/>
    </row>
    <row r="4994" spans="6:14">
      <c r="F4994" s="136" t="s">
        <v>19162</v>
      </c>
      <c r="G4994" s="136">
        <v>13104568790</v>
      </c>
      <c r="H4994" s="136" t="s">
        <v>2482</v>
      </c>
      <c r="I4994" s="136" t="s">
        <v>2482</v>
      </c>
      <c r="J4994" s="136" t="s">
        <v>19163</v>
      </c>
      <c r="L4994" s="136"/>
      <c r="M4994" s="136"/>
      <c r="N4994" s="136"/>
    </row>
    <row r="4995" spans="6:14">
      <c r="F4995" s="136" t="s">
        <v>19164</v>
      </c>
      <c r="G4995" s="136">
        <v>86095382572</v>
      </c>
      <c r="H4995" s="136" t="s">
        <v>373</v>
      </c>
      <c r="I4995" s="136" t="s">
        <v>373</v>
      </c>
      <c r="J4995" s="136" t="s">
        <v>19165</v>
      </c>
      <c r="L4995" s="136"/>
      <c r="M4995" s="136"/>
      <c r="N4995" s="136"/>
    </row>
    <row r="4996" spans="6:14">
      <c r="F4996" s="136" t="s">
        <v>19166</v>
      </c>
      <c r="G4996" s="136">
        <v>65205448091</v>
      </c>
      <c r="H4996" s="136" t="s">
        <v>1249</v>
      </c>
      <c r="I4996" s="136" t="s">
        <v>1250</v>
      </c>
      <c r="J4996" s="136" t="s">
        <v>19167</v>
      </c>
      <c r="L4996" s="136"/>
      <c r="M4996" s="136"/>
      <c r="N4996" s="136"/>
    </row>
    <row r="4997" spans="6:14">
      <c r="F4997" s="136" t="s">
        <v>19168</v>
      </c>
      <c r="G4997" s="136">
        <v>4994</v>
      </c>
      <c r="H4997" s="136" t="s">
        <v>19169</v>
      </c>
      <c r="I4997" s="136" t="s">
        <v>19169</v>
      </c>
      <c r="J4997" s="136" t="s">
        <v>19170</v>
      </c>
      <c r="L4997" s="136"/>
      <c r="M4997" s="136"/>
      <c r="N4997" s="136"/>
    </row>
    <row r="4998" spans="6:14">
      <c r="F4998" s="136" t="s">
        <v>19171</v>
      </c>
      <c r="G4998" s="136">
        <v>4995</v>
      </c>
      <c r="H4998" s="136" t="s">
        <v>1079</v>
      </c>
      <c r="I4998" s="136" t="s">
        <v>1079</v>
      </c>
      <c r="J4998" s="136" t="s">
        <v>19172</v>
      </c>
      <c r="L4998" s="136"/>
      <c r="M4998" s="136"/>
      <c r="N4998" s="136"/>
    </row>
    <row r="4999" spans="6:14">
      <c r="F4999" s="136" t="s">
        <v>19173</v>
      </c>
      <c r="G4999" s="136">
        <v>51552574768</v>
      </c>
      <c r="H4999" s="136" t="s">
        <v>1216</v>
      </c>
      <c r="I4999" s="136" t="s">
        <v>1216</v>
      </c>
      <c r="J4999" s="136" t="s">
        <v>19174</v>
      </c>
      <c r="L4999" s="136"/>
      <c r="M4999" s="136"/>
      <c r="N4999" s="136"/>
    </row>
    <row r="5000" spans="6:14">
      <c r="F5000" s="136" t="s">
        <v>19175</v>
      </c>
      <c r="G5000" s="136">
        <v>10484807471</v>
      </c>
      <c r="H5000" s="136" t="s">
        <v>883</v>
      </c>
      <c r="I5000" s="136" t="s">
        <v>883</v>
      </c>
      <c r="J5000" s="136" t="s">
        <v>19176</v>
      </c>
      <c r="L5000" s="136"/>
      <c r="M5000" s="136"/>
      <c r="N5000" s="136"/>
    </row>
    <row r="5001" spans="6:14">
      <c r="F5001" s="136" t="s">
        <v>19177</v>
      </c>
      <c r="G5001" s="136">
        <v>26657081839</v>
      </c>
      <c r="H5001" s="136" t="s">
        <v>4591</v>
      </c>
      <c r="I5001" s="136" t="s">
        <v>4592</v>
      </c>
      <c r="J5001" s="136" t="s">
        <v>19178</v>
      </c>
      <c r="L5001" s="136"/>
      <c r="M5001" s="136"/>
      <c r="N5001" s="136"/>
    </row>
    <row r="5002" spans="6:14">
      <c r="F5002" s="136" t="s">
        <v>19179</v>
      </c>
      <c r="G5002" s="136">
        <v>3055881419</v>
      </c>
      <c r="H5002" s="136" t="s">
        <v>345</v>
      </c>
      <c r="I5002" s="136" t="s">
        <v>346</v>
      </c>
      <c r="J5002" s="136" t="s">
        <v>19180</v>
      </c>
      <c r="L5002" s="136"/>
      <c r="M5002" s="136"/>
      <c r="N5002" s="136"/>
    </row>
    <row r="5003" spans="6:14">
      <c r="F5003" s="136" t="s">
        <v>19181</v>
      </c>
      <c r="G5003" s="136">
        <v>5000</v>
      </c>
      <c r="H5003" s="136" t="s">
        <v>3443</v>
      </c>
      <c r="I5003" s="136" t="s">
        <v>3443</v>
      </c>
      <c r="J5003" s="136" t="s">
        <v>19182</v>
      </c>
      <c r="L5003" s="136"/>
      <c r="M5003" s="136"/>
      <c r="N5003" s="136"/>
    </row>
    <row r="5004" spans="6:14">
      <c r="F5004" s="136" t="s">
        <v>19183</v>
      </c>
      <c r="G5004" s="136">
        <v>5001</v>
      </c>
      <c r="H5004" s="136" t="s">
        <v>8232</v>
      </c>
      <c r="I5004" s="136" t="s">
        <v>8233</v>
      </c>
      <c r="J5004" s="136" t="s">
        <v>19184</v>
      </c>
      <c r="L5004" s="136"/>
      <c r="M5004" s="136"/>
      <c r="N5004" s="136"/>
    </row>
    <row r="5005" spans="6:14">
      <c r="F5005" s="136" t="s">
        <v>19185</v>
      </c>
      <c r="G5005" s="136">
        <v>5581286701</v>
      </c>
      <c r="H5005" s="136" t="s">
        <v>3070</v>
      </c>
      <c r="I5005" s="136" t="s">
        <v>3070</v>
      </c>
      <c r="J5005" s="136" t="s">
        <v>19186</v>
      </c>
      <c r="L5005" s="136"/>
      <c r="M5005" s="136"/>
      <c r="N5005" s="136"/>
    </row>
    <row r="5006" spans="6:14">
      <c r="F5006" s="136" t="s">
        <v>19187</v>
      </c>
      <c r="G5006" s="136">
        <v>5003</v>
      </c>
      <c r="H5006" s="136" t="s">
        <v>19188</v>
      </c>
      <c r="I5006" s="136" t="s">
        <v>19189</v>
      </c>
      <c r="J5006" s="136" t="s">
        <v>19190</v>
      </c>
      <c r="L5006" s="136"/>
      <c r="M5006" s="136"/>
      <c r="N5006" s="136"/>
    </row>
    <row r="5007" spans="6:14">
      <c r="F5007" s="136" t="s">
        <v>19191</v>
      </c>
      <c r="G5007" s="136">
        <v>5004</v>
      </c>
      <c r="H5007" s="136" t="s">
        <v>1264</v>
      </c>
      <c r="I5007" s="136" t="s">
        <v>1265</v>
      </c>
      <c r="J5007" s="136" t="s">
        <v>19192</v>
      </c>
      <c r="L5007" s="136"/>
      <c r="M5007" s="136"/>
      <c r="N5007" s="136"/>
    </row>
    <row r="5008" spans="6:14">
      <c r="F5008" s="136" t="s">
        <v>19193</v>
      </c>
      <c r="G5008" s="136">
        <v>11669317730</v>
      </c>
      <c r="H5008" s="136" t="s">
        <v>3092</v>
      </c>
      <c r="I5008" s="136" t="s">
        <v>3092</v>
      </c>
      <c r="J5008" s="136" t="s">
        <v>19194</v>
      </c>
      <c r="L5008" s="136"/>
      <c r="M5008" s="136"/>
      <c r="N5008" s="136"/>
    </row>
    <row r="5009" spans="6:14">
      <c r="F5009" s="136" t="s">
        <v>19195</v>
      </c>
      <c r="G5009" s="136">
        <v>11312634995</v>
      </c>
      <c r="H5009" s="136" t="s">
        <v>4219</v>
      </c>
      <c r="I5009" s="136" t="s">
        <v>4219</v>
      </c>
      <c r="J5009" s="136" t="s">
        <v>19196</v>
      </c>
      <c r="L5009" s="136"/>
      <c r="M5009" s="136"/>
      <c r="N5009" s="136"/>
    </row>
    <row r="5010" spans="6:14">
      <c r="F5010" s="136" t="s">
        <v>19197</v>
      </c>
      <c r="G5010" s="136">
        <v>11302781669</v>
      </c>
      <c r="H5010" s="136" t="s">
        <v>3657</v>
      </c>
      <c r="I5010" s="136" t="s">
        <v>3657</v>
      </c>
      <c r="J5010" s="136" t="s">
        <v>19198</v>
      </c>
      <c r="L5010" s="136"/>
      <c r="M5010" s="136"/>
      <c r="N5010" s="136"/>
    </row>
    <row r="5011" spans="6:14">
      <c r="F5011" s="136" t="s">
        <v>19199</v>
      </c>
      <c r="G5011" s="136">
        <v>5008</v>
      </c>
      <c r="H5011" s="136" t="s">
        <v>19200</v>
      </c>
      <c r="I5011" s="136" t="s">
        <v>19201</v>
      </c>
      <c r="J5011" s="136" t="s">
        <v>19202</v>
      </c>
      <c r="L5011" s="136"/>
      <c r="M5011" s="136"/>
      <c r="N5011" s="136"/>
    </row>
    <row r="5012" spans="6:14">
      <c r="F5012" s="136" t="s">
        <v>19203</v>
      </c>
      <c r="G5012" s="136">
        <v>5009</v>
      </c>
      <c r="H5012" s="136" t="s">
        <v>19204</v>
      </c>
      <c r="I5012" s="136" t="s">
        <v>19205</v>
      </c>
      <c r="J5012" s="136" t="s">
        <v>19206</v>
      </c>
      <c r="L5012" s="136"/>
      <c r="M5012" s="136"/>
      <c r="N5012" s="136"/>
    </row>
    <row r="5013" spans="6:14">
      <c r="F5013" s="136" t="s">
        <v>19207</v>
      </c>
      <c r="G5013" s="136">
        <v>5010</v>
      </c>
      <c r="H5013" s="136" t="s">
        <v>19208</v>
      </c>
      <c r="I5013" s="136" t="s">
        <v>19209</v>
      </c>
      <c r="J5013" s="136" t="s">
        <v>19210</v>
      </c>
      <c r="L5013" s="136"/>
      <c r="M5013" s="136"/>
      <c r="N5013" s="136"/>
    </row>
    <row r="5014" spans="6:14">
      <c r="F5014" s="136" t="s">
        <v>19211</v>
      </c>
      <c r="G5014" s="136">
        <v>5011</v>
      </c>
      <c r="H5014" s="136" t="s">
        <v>291</v>
      </c>
      <c r="I5014" s="136" t="s">
        <v>292</v>
      </c>
      <c r="J5014" s="136" t="s">
        <v>19212</v>
      </c>
      <c r="L5014" s="136"/>
      <c r="M5014" s="136"/>
      <c r="N5014" s="136"/>
    </row>
    <row r="5015" spans="6:14">
      <c r="F5015" s="136" t="s">
        <v>19213</v>
      </c>
      <c r="G5015" s="136">
        <v>5012</v>
      </c>
      <c r="H5015" s="136" t="s">
        <v>19214</v>
      </c>
      <c r="I5015" s="136" t="s">
        <v>19215</v>
      </c>
      <c r="J5015" s="136" t="s">
        <v>19216</v>
      </c>
      <c r="L5015" s="136"/>
      <c r="M5015" s="136"/>
      <c r="N5015" s="136"/>
    </row>
    <row r="5016" spans="6:14">
      <c r="F5016" s="136" t="s">
        <v>19217</v>
      </c>
      <c r="G5016" s="136">
        <v>5013</v>
      </c>
      <c r="H5016" s="136" t="s">
        <v>19218</v>
      </c>
      <c r="I5016" s="136" t="s">
        <v>19219</v>
      </c>
      <c r="J5016" s="136" t="s">
        <v>19220</v>
      </c>
      <c r="L5016" s="136"/>
      <c r="M5016" s="136"/>
      <c r="N5016" s="136"/>
    </row>
    <row r="5017" spans="6:14">
      <c r="F5017" s="136" t="s">
        <v>19221</v>
      </c>
      <c r="G5017" s="136">
        <v>5014</v>
      </c>
      <c r="H5017" s="136" t="s">
        <v>180</v>
      </c>
      <c r="I5017" s="136" t="s">
        <v>180</v>
      </c>
      <c r="J5017" s="136" t="s">
        <v>19222</v>
      </c>
      <c r="L5017" s="136"/>
      <c r="M5017" s="136"/>
      <c r="N5017" s="136"/>
    </row>
    <row r="5018" spans="6:14">
      <c r="F5018" s="136" t="s">
        <v>19223</v>
      </c>
      <c r="G5018" s="136">
        <v>5015</v>
      </c>
      <c r="H5018" s="136" t="s">
        <v>19224</v>
      </c>
      <c r="I5018" s="136" t="s">
        <v>19225</v>
      </c>
      <c r="J5018" s="136" t="s">
        <v>19226</v>
      </c>
      <c r="L5018" s="136"/>
      <c r="M5018" s="136"/>
      <c r="N5018" s="136"/>
    </row>
    <row r="5019" spans="6:14">
      <c r="F5019" s="136" t="s">
        <v>19227</v>
      </c>
      <c r="G5019" s="136">
        <v>34540841807</v>
      </c>
      <c r="H5019" s="136" t="s">
        <v>2372</v>
      </c>
      <c r="I5019" s="136" t="s">
        <v>2373</v>
      </c>
      <c r="J5019" s="136" t="s">
        <v>19228</v>
      </c>
      <c r="L5019" s="136"/>
      <c r="M5019" s="136"/>
      <c r="N5019" s="136"/>
    </row>
    <row r="5020" spans="6:14">
      <c r="F5020" s="136" t="s">
        <v>19229</v>
      </c>
      <c r="G5020" s="136">
        <v>5017</v>
      </c>
      <c r="H5020" s="136" t="s">
        <v>19230</v>
      </c>
      <c r="I5020" s="136" t="s">
        <v>19231</v>
      </c>
      <c r="J5020" s="136" t="s">
        <v>19232</v>
      </c>
      <c r="L5020" s="136"/>
      <c r="M5020" s="136"/>
      <c r="N5020" s="136"/>
    </row>
    <row r="5021" spans="6:14">
      <c r="F5021" s="136" t="s">
        <v>19233</v>
      </c>
      <c r="G5021" s="136">
        <v>5018</v>
      </c>
      <c r="H5021" s="136" t="s">
        <v>19234</v>
      </c>
      <c r="I5021" s="136" t="s">
        <v>19235</v>
      </c>
      <c r="J5021" s="136" t="s">
        <v>19236</v>
      </c>
      <c r="L5021" s="136"/>
      <c r="M5021" s="136"/>
      <c r="N5021" s="136"/>
    </row>
    <row r="5022" spans="6:14">
      <c r="F5022" s="136" t="s">
        <v>19237</v>
      </c>
      <c r="G5022" s="136">
        <v>5019</v>
      </c>
      <c r="H5022" s="136" t="s">
        <v>3688</v>
      </c>
      <c r="I5022" s="136" t="s">
        <v>3689</v>
      </c>
      <c r="J5022" s="136" t="s">
        <v>19238</v>
      </c>
      <c r="L5022" s="136"/>
      <c r="M5022" s="136"/>
      <c r="N5022" s="136"/>
    </row>
    <row r="5023" spans="6:14">
      <c r="F5023" s="136" t="s">
        <v>19239</v>
      </c>
      <c r="G5023" s="136">
        <v>72196939153</v>
      </c>
      <c r="H5023" s="136" t="s">
        <v>695</v>
      </c>
      <c r="I5023" s="136" t="s">
        <v>695</v>
      </c>
      <c r="J5023" s="136" t="s">
        <v>19240</v>
      </c>
      <c r="L5023" s="136"/>
      <c r="M5023" s="136"/>
      <c r="N5023" s="136"/>
    </row>
    <row r="5024" spans="6:14">
      <c r="F5024" s="136" t="s">
        <v>19241</v>
      </c>
      <c r="G5024" s="136">
        <v>1543710689</v>
      </c>
      <c r="H5024" s="136" t="s">
        <v>5986</v>
      </c>
      <c r="I5024" s="136" t="s">
        <v>5987</v>
      </c>
      <c r="J5024" s="136" t="s">
        <v>19242</v>
      </c>
      <c r="L5024" s="136"/>
      <c r="M5024" s="136"/>
      <c r="N5024" s="136"/>
    </row>
    <row r="5025" spans="6:14">
      <c r="F5025" s="136" t="s">
        <v>19243</v>
      </c>
      <c r="G5025" s="136">
        <v>15131820804</v>
      </c>
      <c r="H5025" s="136" t="s">
        <v>1254</v>
      </c>
      <c r="I5025" s="136" t="s">
        <v>1254</v>
      </c>
      <c r="J5025" s="136" t="s">
        <v>19244</v>
      </c>
      <c r="L5025" s="136"/>
      <c r="M5025" s="136"/>
      <c r="N5025" s="136"/>
    </row>
    <row r="5026" spans="6:14">
      <c r="F5026" s="136" t="s">
        <v>19245</v>
      </c>
      <c r="G5026" s="136">
        <v>5744364137</v>
      </c>
      <c r="H5026" s="136" t="s">
        <v>2137</v>
      </c>
      <c r="I5026" s="136" t="s">
        <v>2137</v>
      </c>
      <c r="J5026" s="136" t="s">
        <v>19246</v>
      </c>
      <c r="L5026" s="136"/>
      <c r="M5026" s="136"/>
      <c r="N5026" s="136"/>
    </row>
    <row r="5027" spans="6:14">
      <c r="F5027" s="136" t="s">
        <v>19247</v>
      </c>
      <c r="G5027" s="136">
        <v>155891103</v>
      </c>
      <c r="H5027" s="136" t="s">
        <v>3236</v>
      </c>
      <c r="I5027" s="136" t="s">
        <v>3237</v>
      </c>
      <c r="J5027" s="136" t="s">
        <v>19248</v>
      </c>
      <c r="L5027" s="136"/>
      <c r="M5027" s="136"/>
      <c r="N5027" s="136"/>
    </row>
    <row r="5028" spans="6:14">
      <c r="F5028" s="136" t="s">
        <v>19249</v>
      </c>
      <c r="G5028" s="136">
        <v>5025</v>
      </c>
      <c r="H5028" s="136" t="s">
        <v>19250</v>
      </c>
      <c r="I5028" s="136" t="s">
        <v>19251</v>
      </c>
      <c r="J5028" s="136" t="s">
        <v>19252</v>
      </c>
      <c r="L5028" s="136"/>
      <c r="M5028" s="136"/>
      <c r="N5028" s="136"/>
    </row>
    <row r="5029" spans="6:14">
      <c r="F5029" s="136" t="s">
        <v>19253</v>
      </c>
      <c r="G5029" s="136">
        <v>13570672670</v>
      </c>
      <c r="H5029" s="136" t="s">
        <v>2435</v>
      </c>
      <c r="I5029" s="136" t="s">
        <v>2436</v>
      </c>
      <c r="J5029" s="136" t="s">
        <v>19254</v>
      </c>
      <c r="L5029" s="136"/>
      <c r="M5029" s="136"/>
      <c r="N5029" s="136"/>
    </row>
    <row r="5030" spans="6:14">
      <c r="F5030" s="136" t="s">
        <v>19255</v>
      </c>
      <c r="G5030" s="136">
        <v>8272961776</v>
      </c>
      <c r="H5030" s="136" t="s">
        <v>3239</v>
      </c>
      <c r="I5030" s="136" t="s">
        <v>3239</v>
      </c>
      <c r="J5030" s="136" t="s">
        <v>19256</v>
      </c>
      <c r="L5030" s="136"/>
      <c r="M5030" s="136"/>
      <c r="N5030" s="136"/>
    </row>
    <row r="5031" spans="6:14">
      <c r="F5031" s="136" t="s">
        <v>19257</v>
      </c>
      <c r="G5031" s="136">
        <v>3725049572</v>
      </c>
      <c r="H5031" s="136" t="s">
        <v>1615</v>
      </c>
      <c r="I5031" s="136" t="s">
        <v>1615</v>
      </c>
      <c r="J5031" s="136" t="s">
        <v>19258</v>
      </c>
      <c r="L5031" s="136"/>
      <c r="M5031" s="136"/>
      <c r="N5031" s="136"/>
    </row>
    <row r="5032" spans="6:14">
      <c r="F5032" s="136" t="s">
        <v>19259</v>
      </c>
      <c r="G5032" s="136">
        <v>7369376680</v>
      </c>
      <c r="H5032" s="136" t="s">
        <v>902</v>
      </c>
      <c r="I5032" s="136" t="s">
        <v>903</v>
      </c>
      <c r="J5032" s="136" t="s">
        <v>19260</v>
      </c>
      <c r="L5032" s="136"/>
      <c r="M5032" s="136"/>
      <c r="N5032" s="136"/>
    </row>
    <row r="5033" spans="6:14">
      <c r="F5033" s="136" t="s">
        <v>19261</v>
      </c>
      <c r="G5033" s="136">
        <v>27986012153</v>
      </c>
      <c r="H5033" s="136" t="s">
        <v>4091</v>
      </c>
      <c r="I5033" s="136" t="s">
        <v>4091</v>
      </c>
      <c r="J5033" s="136" t="s">
        <v>19262</v>
      </c>
      <c r="L5033" s="136"/>
      <c r="M5033" s="136"/>
      <c r="N5033" s="136"/>
    </row>
    <row r="5034" spans="6:14">
      <c r="F5034" s="136" t="s">
        <v>19263</v>
      </c>
      <c r="G5034" s="136">
        <v>5031</v>
      </c>
      <c r="H5034" s="136" t="s">
        <v>22298</v>
      </c>
      <c r="I5034" s="136" t="s">
        <v>22299</v>
      </c>
      <c r="J5034" s="136" t="s">
        <v>19264</v>
      </c>
      <c r="L5034" s="136"/>
      <c r="M5034" s="136"/>
      <c r="N5034" s="136"/>
    </row>
    <row r="5035" spans="6:14">
      <c r="F5035" s="136" t="s">
        <v>19265</v>
      </c>
      <c r="G5035" s="136">
        <v>11759985759</v>
      </c>
      <c r="H5035" s="136" t="s">
        <v>6034</v>
      </c>
      <c r="I5035" s="136" t="s">
        <v>6034</v>
      </c>
      <c r="J5035" s="136" t="s">
        <v>19266</v>
      </c>
      <c r="L5035" s="136"/>
      <c r="M5035" s="136"/>
      <c r="N5035" s="136"/>
    </row>
    <row r="5036" spans="6:14">
      <c r="F5036" s="136" t="s">
        <v>19267</v>
      </c>
      <c r="G5036" s="136">
        <v>45788497833</v>
      </c>
      <c r="H5036" s="136" t="s">
        <v>4377</v>
      </c>
      <c r="I5036" s="136" t="s">
        <v>4378</v>
      </c>
      <c r="J5036" s="136" t="s">
        <v>19268</v>
      </c>
      <c r="L5036" s="136"/>
      <c r="M5036" s="136"/>
      <c r="N5036" s="136"/>
    </row>
    <row r="5037" spans="6:14">
      <c r="F5037" s="136" t="s">
        <v>19269</v>
      </c>
      <c r="G5037" s="136">
        <v>35016480818</v>
      </c>
      <c r="H5037" s="136" t="s">
        <v>3204</v>
      </c>
      <c r="I5037" s="136" t="s">
        <v>3205</v>
      </c>
      <c r="J5037" s="136" t="s">
        <v>19270</v>
      </c>
      <c r="L5037" s="136"/>
      <c r="M5037" s="136"/>
      <c r="N5037" s="136"/>
    </row>
    <row r="5038" spans="6:14">
      <c r="F5038" s="136" t="s">
        <v>19271</v>
      </c>
      <c r="G5038" s="136">
        <v>7125405983</v>
      </c>
      <c r="H5038" s="136" t="s">
        <v>5032</v>
      </c>
      <c r="I5038" s="136" t="s">
        <v>5033</v>
      </c>
      <c r="J5038" s="136" t="s">
        <v>19272</v>
      </c>
      <c r="L5038" s="136"/>
      <c r="M5038" s="136"/>
      <c r="N5038" s="136"/>
    </row>
    <row r="5039" spans="6:14">
      <c r="F5039" s="136" t="s">
        <v>19273</v>
      </c>
      <c r="G5039" s="136">
        <v>11151573701</v>
      </c>
      <c r="H5039" s="136" t="s">
        <v>3358</v>
      </c>
      <c r="I5039" s="136" t="s">
        <v>3358</v>
      </c>
      <c r="J5039" s="136" t="s">
        <v>19274</v>
      </c>
      <c r="L5039" s="136"/>
      <c r="M5039" s="136"/>
      <c r="N5039" s="136"/>
    </row>
    <row r="5040" spans="6:14">
      <c r="F5040" s="136" t="s">
        <v>19275</v>
      </c>
      <c r="G5040" s="136">
        <v>9881104408</v>
      </c>
      <c r="H5040" s="136" t="s">
        <v>3557</v>
      </c>
      <c r="I5040" s="136" t="s">
        <v>3557</v>
      </c>
      <c r="J5040" s="136" t="s">
        <v>19276</v>
      </c>
      <c r="L5040" s="136"/>
      <c r="M5040" s="136"/>
      <c r="N5040" s="136"/>
    </row>
    <row r="5041" spans="6:14">
      <c r="F5041" s="136" t="s">
        <v>19277</v>
      </c>
      <c r="G5041" s="136">
        <v>654307946</v>
      </c>
      <c r="H5041" s="136" t="s">
        <v>3285</v>
      </c>
      <c r="I5041" s="136" t="s">
        <v>3286</v>
      </c>
      <c r="J5041" s="136" t="s">
        <v>19278</v>
      </c>
      <c r="L5041" s="136"/>
      <c r="M5041" s="136"/>
      <c r="N5041" s="136"/>
    </row>
    <row r="5042" spans="6:14">
      <c r="F5042" s="136" t="s">
        <v>19279</v>
      </c>
      <c r="G5042" s="136">
        <v>10473340623</v>
      </c>
      <c r="H5042" s="136" t="s">
        <v>4379</v>
      </c>
      <c r="I5042" s="136" t="s">
        <v>4380</v>
      </c>
      <c r="J5042" s="136" t="s">
        <v>19280</v>
      </c>
      <c r="L5042" s="136"/>
      <c r="M5042" s="136"/>
      <c r="N5042" s="136"/>
    </row>
    <row r="5043" spans="6:14">
      <c r="F5043" s="136" t="s">
        <v>19281</v>
      </c>
      <c r="G5043" s="136">
        <v>5040</v>
      </c>
      <c r="H5043" s="136" t="s">
        <v>19282</v>
      </c>
      <c r="I5043" s="136" t="s">
        <v>19283</v>
      </c>
      <c r="J5043" s="136" t="s">
        <v>19284</v>
      </c>
      <c r="L5043" s="136"/>
      <c r="M5043" s="136"/>
      <c r="N5043" s="136"/>
    </row>
    <row r="5044" spans="6:14">
      <c r="F5044" s="136" t="s">
        <v>19285</v>
      </c>
      <c r="G5044" s="136">
        <v>5041</v>
      </c>
      <c r="H5044" s="136" t="s">
        <v>548</v>
      </c>
      <c r="I5044" s="136" t="s">
        <v>595</v>
      </c>
      <c r="J5044" s="136" t="s">
        <v>19286</v>
      </c>
      <c r="L5044" s="136"/>
      <c r="M5044" s="136"/>
      <c r="N5044" s="136"/>
    </row>
    <row r="5045" spans="6:14">
      <c r="F5045" s="136" t="s">
        <v>19287</v>
      </c>
      <c r="G5045" s="136">
        <v>5042</v>
      </c>
      <c r="H5045" s="136" t="s">
        <v>19288</v>
      </c>
      <c r="I5045" s="136" t="s">
        <v>19289</v>
      </c>
      <c r="J5045" s="136" t="s">
        <v>19290</v>
      </c>
      <c r="L5045" s="136"/>
      <c r="M5045" s="136"/>
      <c r="N5045" s="136"/>
    </row>
    <row r="5046" spans="6:14">
      <c r="F5046" s="136" t="s">
        <v>19291</v>
      </c>
      <c r="G5046" s="136">
        <v>5043</v>
      </c>
      <c r="H5046" s="136" t="s">
        <v>3294</v>
      </c>
      <c r="I5046" s="136" t="s">
        <v>3295</v>
      </c>
      <c r="J5046" s="136" t="s">
        <v>19292</v>
      </c>
      <c r="L5046" s="136"/>
      <c r="M5046" s="136"/>
      <c r="N5046" s="136"/>
    </row>
    <row r="5047" spans="6:14">
      <c r="F5047" s="136" t="s">
        <v>19293</v>
      </c>
      <c r="G5047" s="136">
        <v>34442705852</v>
      </c>
      <c r="H5047" s="136" t="s">
        <v>2495</v>
      </c>
      <c r="I5047" s="136" t="s">
        <v>2495</v>
      </c>
      <c r="J5047" s="136" t="s">
        <v>19294</v>
      </c>
      <c r="L5047" s="136"/>
      <c r="M5047" s="136"/>
      <c r="N5047" s="136"/>
    </row>
    <row r="5048" spans="6:14">
      <c r="F5048" s="136" t="s">
        <v>19295</v>
      </c>
      <c r="G5048" s="136">
        <v>2078807516</v>
      </c>
      <c r="H5048" s="136" t="s">
        <v>4389</v>
      </c>
      <c r="I5048" s="136" t="s">
        <v>4390</v>
      </c>
      <c r="J5048" s="136" t="s">
        <v>19296</v>
      </c>
      <c r="L5048" s="136"/>
      <c r="M5048" s="136"/>
      <c r="N5048" s="136"/>
    </row>
    <row r="5049" spans="6:14">
      <c r="F5049" s="136" t="s">
        <v>19297</v>
      </c>
      <c r="G5049" s="136">
        <v>3422647619</v>
      </c>
      <c r="H5049" s="136" t="s">
        <v>5684</v>
      </c>
      <c r="I5049" s="136" t="s">
        <v>5685</v>
      </c>
      <c r="J5049" s="136" t="s">
        <v>19298</v>
      </c>
      <c r="L5049" s="136"/>
      <c r="M5049" s="136"/>
      <c r="N5049" s="136"/>
    </row>
    <row r="5050" spans="6:14">
      <c r="F5050" s="136" t="s">
        <v>19299</v>
      </c>
      <c r="G5050" s="136">
        <v>5047</v>
      </c>
      <c r="H5050" s="136" t="s">
        <v>19300</v>
      </c>
      <c r="I5050" s="136" t="s">
        <v>19301</v>
      </c>
      <c r="J5050" s="136" t="s">
        <v>19302</v>
      </c>
      <c r="L5050" s="136"/>
      <c r="M5050" s="136"/>
      <c r="N5050" s="136"/>
    </row>
    <row r="5051" spans="6:14">
      <c r="F5051" s="136" t="s">
        <v>19303</v>
      </c>
      <c r="G5051" s="136">
        <v>26514592830</v>
      </c>
      <c r="H5051" s="136" t="s">
        <v>3925</v>
      </c>
      <c r="I5051" s="136" t="s">
        <v>3925</v>
      </c>
      <c r="J5051" s="136" t="s">
        <v>19304</v>
      </c>
      <c r="L5051" s="136"/>
      <c r="M5051" s="136"/>
      <c r="N5051" s="136"/>
    </row>
    <row r="5052" spans="6:14">
      <c r="F5052" s="136" t="s">
        <v>19305</v>
      </c>
      <c r="G5052" s="136">
        <v>297263102</v>
      </c>
      <c r="H5052" s="136" t="s">
        <v>5686</v>
      </c>
      <c r="I5052" s="136" t="s">
        <v>5686</v>
      </c>
      <c r="J5052" s="136" t="s">
        <v>19306</v>
      </c>
      <c r="L5052" s="136"/>
      <c r="M5052" s="136"/>
      <c r="N5052" s="136"/>
    </row>
    <row r="5053" spans="6:14">
      <c r="F5053" s="136" t="s">
        <v>19307</v>
      </c>
      <c r="G5053" s="136">
        <v>16350914708</v>
      </c>
      <c r="H5053" s="136" t="s">
        <v>1063</v>
      </c>
      <c r="I5053" s="136" t="s">
        <v>1063</v>
      </c>
      <c r="J5053" s="136" t="s">
        <v>19308</v>
      </c>
      <c r="L5053" s="136"/>
      <c r="M5053" s="136"/>
      <c r="N5053" s="136"/>
    </row>
    <row r="5054" spans="6:14">
      <c r="F5054" s="136" t="s">
        <v>19309</v>
      </c>
      <c r="G5054" s="136">
        <v>55006485272</v>
      </c>
      <c r="H5054" s="136" t="s">
        <v>3250</v>
      </c>
      <c r="I5054" s="136" t="s">
        <v>3250</v>
      </c>
      <c r="J5054" s="136" t="s">
        <v>19310</v>
      </c>
      <c r="L5054" s="136"/>
      <c r="M5054" s="136"/>
      <c r="N5054" s="136"/>
    </row>
    <row r="5055" spans="6:14">
      <c r="F5055" s="136" t="s">
        <v>19311</v>
      </c>
      <c r="G5055" s="136">
        <v>4831592986</v>
      </c>
      <c r="H5055" s="136" t="s">
        <v>6129</v>
      </c>
      <c r="I5055" s="136" t="s">
        <v>6130</v>
      </c>
      <c r="J5055" s="136" t="s">
        <v>19312</v>
      </c>
      <c r="L5055" s="136"/>
      <c r="M5055" s="136"/>
      <c r="N5055" s="136"/>
    </row>
    <row r="5056" spans="6:14">
      <c r="F5056" s="136" t="s">
        <v>19313</v>
      </c>
      <c r="G5056" s="136">
        <v>7483444541</v>
      </c>
      <c r="H5056" s="136" t="s">
        <v>2526</v>
      </c>
      <c r="I5056" s="136" t="s">
        <v>2527</v>
      </c>
      <c r="J5056" s="136" t="s">
        <v>19314</v>
      </c>
      <c r="L5056" s="136"/>
      <c r="M5056" s="136"/>
      <c r="N5056" s="136"/>
    </row>
    <row r="5057" spans="6:14">
      <c r="F5057" s="136" t="s">
        <v>19315</v>
      </c>
      <c r="G5057" s="136">
        <v>8004123708</v>
      </c>
      <c r="H5057" s="136" t="s">
        <v>3470</v>
      </c>
      <c r="I5057" s="136" t="s">
        <v>3471</v>
      </c>
      <c r="J5057" s="136" t="s">
        <v>19316</v>
      </c>
      <c r="L5057" s="136"/>
      <c r="M5057" s="136"/>
      <c r="N5057" s="136"/>
    </row>
    <row r="5058" spans="6:14">
      <c r="F5058" s="136" t="s">
        <v>19317</v>
      </c>
      <c r="G5058" s="136">
        <v>80282113720</v>
      </c>
      <c r="H5058" s="136" t="s">
        <v>5981</v>
      </c>
      <c r="I5058" s="136" t="s">
        <v>5981</v>
      </c>
      <c r="J5058" s="136" t="s">
        <v>19318</v>
      </c>
      <c r="L5058" s="136"/>
      <c r="M5058" s="136"/>
      <c r="N5058" s="136"/>
    </row>
    <row r="5059" spans="6:14">
      <c r="F5059" s="136" t="s">
        <v>19319</v>
      </c>
      <c r="G5059" s="136">
        <v>1285166310</v>
      </c>
      <c r="H5059" s="136" t="s">
        <v>3999</v>
      </c>
      <c r="I5059" s="136" t="s">
        <v>3999</v>
      </c>
      <c r="J5059" s="136" t="s">
        <v>19320</v>
      </c>
      <c r="L5059" s="136"/>
      <c r="M5059" s="136"/>
      <c r="N5059" s="136"/>
    </row>
    <row r="5060" spans="6:14">
      <c r="F5060" s="136" t="s">
        <v>19321</v>
      </c>
      <c r="G5060" s="136">
        <v>10775467421</v>
      </c>
      <c r="H5060" s="136" t="s">
        <v>2052</v>
      </c>
      <c r="I5060" s="136" t="s">
        <v>2052</v>
      </c>
      <c r="J5060" s="136" t="s">
        <v>19322</v>
      </c>
      <c r="L5060" s="136"/>
      <c r="M5060" s="136"/>
      <c r="N5060" s="136"/>
    </row>
    <row r="5061" spans="6:14">
      <c r="F5061" s="136" t="s">
        <v>19323</v>
      </c>
      <c r="G5061" s="136">
        <v>13268683657</v>
      </c>
      <c r="H5061" s="136" t="s">
        <v>3124</v>
      </c>
      <c r="I5061" s="136" t="s">
        <v>3125</v>
      </c>
      <c r="J5061" s="136" t="s">
        <v>19324</v>
      </c>
      <c r="L5061" s="136"/>
      <c r="M5061" s="136"/>
      <c r="N5061" s="136"/>
    </row>
    <row r="5062" spans="6:14">
      <c r="F5062" s="136" t="s">
        <v>19325</v>
      </c>
      <c r="G5062" s="136">
        <v>22891797876</v>
      </c>
      <c r="H5062" s="136" t="s">
        <v>2130</v>
      </c>
      <c r="I5062" s="136" t="s">
        <v>2131</v>
      </c>
      <c r="J5062" s="136" t="s">
        <v>19326</v>
      </c>
      <c r="L5062" s="136"/>
      <c r="M5062" s="136"/>
      <c r="N5062" s="136"/>
    </row>
    <row r="5063" spans="6:14">
      <c r="F5063" s="136" t="s">
        <v>19327</v>
      </c>
      <c r="G5063" s="136">
        <v>5060</v>
      </c>
      <c r="H5063" s="136" t="s">
        <v>4257</v>
      </c>
      <c r="I5063" s="136" t="s">
        <v>4257</v>
      </c>
      <c r="J5063" s="136" t="s">
        <v>19328</v>
      </c>
      <c r="L5063" s="136"/>
      <c r="M5063" s="136"/>
      <c r="N5063" s="136"/>
    </row>
    <row r="5064" spans="6:14">
      <c r="F5064" s="136" t="s">
        <v>19329</v>
      </c>
      <c r="G5064" s="136">
        <v>8757908443</v>
      </c>
      <c r="H5064" s="136" t="s">
        <v>3087</v>
      </c>
      <c r="I5064" s="136" t="s">
        <v>3088</v>
      </c>
      <c r="J5064" s="136" t="s">
        <v>19330</v>
      </c>
      <c r="L5064" s="136"/>
      <c r="M5064" s="136"/>
      <c r="N5064" s="136"/>
    </row>
    <row r="5065" spans="6:14">
      <c r="F5065" s="136" t="s">
        <v>19331</v>
      </c>
      <c r="G5065" s="136">
        <v>5062</v>
      </c>
      <c r="H5065" s="136" t="s">
        <v>1943</v>
      </c>
      <c r="I5065" s="136" t="s">
        <v>1943</v>
      </c>
      <c r="J5065" s="136" t="s">
        <v>19332</v>
      </c>
      <c r="L5065" s="136"/>
      <c r="M5065" s="136"/>
      <c r="N5065" s="136"/>
    </row>
    <row r="5066" spans="6:14">
      <c r="F5066" s="136" t="s">
        <v>19333</v>
      </c>
      <c r="G5066" s="136">
        <v>5063</v>
      </c>
      <c r="H5066" s="136" t="s">
        <v>187</v>
      </c>
      <c r="I5066" s="136" t="s">
        <v>187</v>
      </c>
      <c r="J5066" s="136" t="s">
        <v>19334</v>
      </c>
      <c r="L5066" s="136"/>
      <c r="M5066" s="136"/>
      <c r="N5066" s="136"/>
    </row>
    <row r="5067" spans="6:14">
      <c r="F5067" s="136" t="s">
        <v>19335</v>
      </c>
      <c r="G5067" s="136">
        <v>5064</v>
      </c>
      <c r="H5067" s="136" t="s">
        <v>63</v>
      </c>
      <c r="I5067" s="136" t="s">
        <v>63</v>
      </c>
      <c r="J5067" s="136" t="s">
        <v>19336</v>
      </c>
      <c r="L5067" s="136"/>
      <c r="M5067" s="136"/>
      <c r="N5067" s="136"/>
    </row>
    <row r="5068" spans="6:14">
      <c r="F5068" s="136" t="s">
        <v>19337</v>
      </c>
      <c r="G5068" s="136">
        <v>5065</v>
      </c>
      <c r="H5068" s="136" t="s">
        <v>12671</v>
      </c>
      <c r="I5068" s="136" t="s">
        <v>19338</v>
      </c>
      <c r="J5068" s="136" t="s">
        <v>19339</v>
      </c>
      <c r="L5068" s="136"/>
      <c r="M5068" s="136"/>
      <c r="N5068" s="136"/>
    </row>
    <row r="5069" spans="6:14">
      <c r="F5069" s="136" t="s">
        <v>19340</v>
      </c>
      <c r="G5069" s="136">
        <v>5066</v>
      </c>
      <c r="H5069" s="136" t="s">
        <v>4050</v>
      </c>
      <c r="I5069" s="136" t="s">
        <v>4051</v>
      </c>
      <c r="J5069" s="136" t="s">
        <v>19341</v>
      </c>
      <c r="L5069" s="136"/>
      <c r="M5069" s="136"/>
      <c r="N5069" s="136"/>
    </row>
    <row r="5070" spans="6:14">
      <c r="F5070" s="136" t="s">
        <v>19342</v>
      </c>
      <c r="G5070" s="136">
        <v>8093583440</v>
      </c>
      <c r="H5070" s="136" t="s">
        <v>297</v>
      </c>
      <c r="I5070" s="136" t="s">
        <v>297</v>
      </c>
      <c r="J5070" s="136" t="s">
        <v>19343</v>
      </c>
      <c r="L5070" s="136"/>
      <c r="M5070" s="136"/>
      <c r="N5070" s="136"/>
    </row>
    <row r="5071" spans="6:14">
      <c r="F5071" s="136" t="s">
        <v>19344</v>
      </c>
      <c r="G5071" s="136">
        <v>5068</v>
      </c>
      <c r="H5071" s="136" t="s">
        <v>19345</v>
      </c>
      <c r="I5071" s="136" t="s">
        <v>19346</v>
      </c>
      <c r="J5071" s="136" t="s">
        <v>19347</v>
      </c>
      <c r="L5071" s="136"/>
      <c r="M5071" s="136"/>
      <c r="N5071" s="136"/>
    </row>
    <row r="5072" spans="6:14">
      <c r="F5072" s="136" t="s">
        <v>19348</v>
      </c>
      <c r="G5072" s="136">
        <v>5069</v>
      </c>
      <c r="H5072" s="136" t="s">
        <v>1636</v>
      </c>
      <c r="I5072" s="136" t="s">
        <v>24596</v>
      </c>
      <c r="J5072" s="136" t="s">
        <v>19349</v>
      </c>
      <c r="L5072" s="136"/>
      <c r="M5072" s="136"/>
      <c r="N5072" s="136"/>
    </row>
    <row r="5073" spans="6:14">
      <c r="F5073" s="136" t="s">
        <v>19350</v>
      </c>
      <c r="G5073" s="136">
        <v>5070</v>
      </c>
      <c r="H5073" s="136" t="s">
        <v>3702</v>
      </c>
      <c r="I5073" s="136" t="s">
        <v>3703</v>
      </c>
      <c r="J5073" s="136" t="s">
        <v>19351</v>
      </c>
      <c r="L5073" s="136"/>
      <c r="M5073" s="136"/>
      <c r="N5073" s="136"/>
    </row>
    <row r="5074" spans="6:14">
      <c r="F5074" s="136" t="s">
        <v>19352</v>
      </c>
      <c r="G5074" s="136">
        <v>5071</v>
      </c>
      <c r="H5074" s="136" t="s">
        <v>198</v>
      </c>
      <c r="I5074" s="136" t="s">
        <v>198</v>
      </c>
      <c r="J5074" s="136" t="s">
        <v>19353</v>
      </c>
      <c r="L5074" s="136"/>
      <c r="M5074" s="136"/>
      <c r="N5074" s="136"/>
    </row>
    <row r="5075" spans="6:14">
      <c r="F5075" s="136" t="s">
        <v>19354</v>
      </c>
      <c r="G5075" s="136">
        <v>5072</v>
      </c>
      <c r="H5075" s="136" t="s">
        <v>5157</v>
      </c>
      <c r="I5075" s="136" t="s">
        <v>5158</v>
      </c>
      <c r="J5075" s="136" t="s">
        <v>19355</v>
      </c>
      <c r="L5075" s="136"/>
      <c r="M5075" s="136"/>
      <c r="N5075" s="136"/>
    </row>
    <row r="5076" spans="6:14">
      <c r="F5076" s="136" t="s">
        <v>19356</v>
      </c>
      <c r="G5076" s="136">
        <v>5073</v>
      </c>
      <c r="H5076" s="136" t="s">
        <v>4014</v>
      </c>
      <c r="I5076" s="136" t="s">
        <v>4015</v>
      </c>
      <c r="J5076" s="136" t="s">
        <v>19357</v>
      </c>
      <c r="L5076" s="136"/>
      <c r="M5076" s="136"/>
      <c r="N5076" s="136"/>
    </row>
    <row r="5077" spans="6:14">
      <c r="F5077" s="136" t="s">
        <v>19358</v>
      </c>
      <c r="G5077" s="136">
        <v>10548209707</v>
      </c>
      <c r="H5077" s="136" t="s">
        <v>4266</v>
      </c>
      <c r="I5077" s="136" t="s">
        <v>4267</v>
      </c>
      <c r="J5077" s="136" t="s">
        <v>19359</v>
      </c>
      <c r="L5077" s="136"/>
      <c r="M5077" s="136"/>
      <c r="N5077" s="136"/>
    </row>
    <row r="5078" spans="6:14">
      <c r="F5078" s="136" t="s">
        <v>19360</v>
      </c>
      <c r="G5078" s="136">
        <v>40929994884</v>
      </c>
      <c r="H5078" s="136" t="s">
        <v>4355</v>
      </c>
      <c r="I5078" s="136" t="s">
        <v>4355</v>
      </c>
      <c r="J5078" s="136" t="s">
        <v>19361</v>
      </c>
      <c r="L5078" s="136"/>
      <c r="M5078" s="136"/>
      <c r="N5078" s="136"/>
    </row>
    <row r="5079" spans="6:14">
      <c r="F5079" s="136" t="s">
        <v>19362</v>
      </c>
      <c r="G5079" s="136">
        <v>29891661814</v>
      </c>
      <c r="H5079" s="136" t="s">
        <v>3562</v>
      </c>
      <c r="I5079" s="136" t="s">
        <v>3562</v>
      </c>
      <c r="J5079" s="136" t="s">
        <v>19363</v>
      </c>
      <c r="L5079" s="136"/>
      <c r="M5079" s="136"/>
      <c r="N5079" s="136"/>
    </row>
    <row r="5080" spans="6:14">
      <c r="F5080" s="136" t="s">
        <v>19364</v>
      </c>
      <c r="G5080" s="136">
        <v>13210099847</v>
      </c>
      <c r="H5080" s="136" t="s">
        <v>1781</v>
      </c>
      <c r="I5080" s="136" t="s">
        <v>1781</v>
      </c>
      <c r="J5080" s="136" t="s">
        <v>19365</v>
      </c>
      <c r="L5080" s="136"/>
      <c r="M5080" s="136"/>
      <c r="N5080" s="136"/>
    </row>
    <row r="5081" spans="6:14">
      <c r="F5081" s="136" t="s">
        <v>19366</v>
      </c>
      <c r="G5081" s="136">
        <v>5078</v>
      </c>
      <c r="H5081" s="136" t="s">
        <v>881</v>
      </c>
      <c r="I5081" s="136" t="s">
        <v>881</v>
      </c>
      <c r="J5081" s="136" t="s">
        <v>19367</v>
      </c>
      <c r="L5081" s="136"/>
      <c r="M5081" s="136"/>
      <c r="N5081" s="136"/>
    </row>
    <row r="5082" spans="6:14">
      <c r="F5082" s="136" t="s">
        <v>19368</v>
      </c>
      <c r="G5082" s="136">
        <v>5079</v>
      </c>
      <c r="H5082" s="136" t="s">
        <v>2528</v>
      </c>
      <c r="I5082" s="136" t="s">
        <v>2528</v>
      </c>
      <c r="J5082" s="136" t="s">
        <v>19369</v>
      </c>
      <c r="L5082" s="136"/>
      <c r="M5082" s="136"/>
      <c r="N5082" s="136"/>
    </row>
    <row r="5083" spans="6:14">
      <c r="F5083" s="136" t="s">
        <v>19370</v>
      </c>
      <c r="G5083" s="136">
        <v>39833208487</v>
      </c>
      <c r="H5083" s="136" t="s">
        <v>5398</v>
      </c>
      <c r="I5083" s="136" t="s">
        <v>5398</v>
      </c>
      <c r="J5083" s="136" t="s">
        <v>19371</v>
      </c>
      <c r="L5083" s="136"/>
      <c r="M5083" s="136"/>
      <c r="N5083" s="136"/>
    </row>
    <row r="5084" spans="6:14">
      <c r="F5084" s="136" t="s">
        <v>19372</v>
      </c>
      <c r="G5084" s="136">
        <v>5081</v>
      </c>
      <c r="H5084" s="136" t="s">
        <v>1790</v>
      </c>
      <c r="I5084" s="136" t="s">
        <v>1790</v>
      </c>
      <c r="J5084" s="136" t="s">
        <v>19373</v>
      </c>
      <c r="L5084" s="136"/>
      <c r="M5084" s="136"/>
      <c r="N5084" s="136"/>
    </row>
    <row r="5085" spans="6:14">
      <c r="F5085" s="136" t="s">
        <v>19374</v>
      </c>
      <c r="G5085" s="136">
        <v>43733611691</v>
      </c>
      <c r="H5085" s="136" t="s">
        <v>5249</v>
      </c>
      <c r="I5085" s="136" t="s">
        <v>5249</v>
      </c>
      <c r="J5085" s="136" t="s">
        <v>19375</v>
      </c>
      <c r="L5085" s="136"/>
      <c r="M5085" s="136"/>
      <c r="N5085" s="136"/>
    </row>
    <row r="5086" spans="6:14">
      <c r="F5086" s="136" t="s">
        <v>19376</v>
      </c>
      <c r="G5086" s="136">
        <v>5083</v>
      </c>
      <c r="H5086" s="136" t="s">
        <v>4656</v>
      </c>
      <c r="I5086" s="136" t="s">
        <v>4657</v>
      </c>
      <c r="J5086" s="136" t="s">
        <v>19377</v>
      </c>
      <c r="L5086" s="136"/>
      <c r="M5086" s="136"/>
      <c r="N5086" s="136"/>
    </row>
    <row r="5087" spans="6:14">
      <c r="F5087" s="136" t="s">
        <v>19378</v>
      </c>
      <c r="G5087" s="136">
        <v>5084</v>
      </c>
      <c r="H5087" s="136" t="s">
        <v>1633</v>
      </c>
      <c r="I5087" s="136" t="s">
        <v>1635</v>
      </c>
      <c r="J5087" s="136" t="s">
        <v>19379</v>
      </c>
      <c r="L5087" s="136"/>
      <c r="M5087" s="136"/>
      <c r="N5087" s="136"/>
    </row>
    <row r="5088" spans="6:14">
      <c r="F5088" s="136" t="s">
        <v>19380</v>
      </c>
      <c r="G5088" s="136">
        <v>5085</v>
      </c>
      <c r="H5088" s="136" t="s">
        <v>3930</v>
      </c>
      <c r="I5088" s="136" t="s">
        <v>3931</v>
      </c>
      <c r="J5088" s="136" t="s">
        <v>19381</v>
      </c>
      <c r="L5088" s="136"/>
      <c r="M5088" s="136"/>
      <c r="N5088" s="136"/>
    </row>
    <row r="5089" spans="6:14">
      <c r="F5089" s="136" t="s">
        <v>19382</v>
      </c>
      <c r="G5089" s="136">
        <v>5086</v>
      </c>
      <c r="H5089" s="136" t="s">
        <v>19383</v>
      </c>
      <c r="I5089" s="136" t="s">
        <v>19383</v>
      </c>
      <c r="J5089" s="136" t="s">
        <v>19384</v>
      </c>
      <c r="L5089" s="136"/>
      <c r="M5089" s="136"/>
      <c r="N5089" s="136"/>
    </row>
    <row r="5090" spans="6:14">
      <c r="F5090" s="136" t="s">
        <v>19385</v>
      </c>
      <c r="G5090" s="136">
        <v>5087</v>
      </c>
      <c r="H5090" s="136" t="s">
        <v>1361</v>
      </c>
      <c r="I5090" s="136" t="s">
        <v>1362</v>
      </c>
      <c r="J5090" s="136" t="s">
        <v>19386</v>
      </c>
      <c r="L5090" s="136"/>
      <c r="M5090" s="136"/>
      <c r="N5090" s="136"/>
    </row>
    <row r="5091" spans="6:14">
      <c r="F5091" s="136" t="s">
        <v>19387</v>
      </c>
      <c r="G5091" s="136">
        <v>14981108605</v>
      </c>
      <c r="H5091" s="136" t="s">
        <v>5434</v>
      </c>
      <c r="I5091" s="136" t="s">
        <v>5435</v>
      </c>
      <c r="J5091" s="136" t="s">
        <v>19388</v>
      </c>
      <c r="L5091" s="136"/>
      <c r="M5091" s="136"/>
      <c r="N5091" s="136"/>
    </row>
    <row r="5092" spans="6:14">
      <c r="F5092" s="136" t="s">
        <v>19389</v>
      </c>
      <c r="G5092" s="136">
        <v>74609300320</v>
      </c>
      <c r="H5092" s="136" t="s">
        <v>168</v>
      </c>
      <c r="I5092" s="136" t="s">
        <v>169</v>
      </c>
      <c r="J5092" s="136" t="s">
        <v>19390</v>
      </c>
      <c r="L5092" s="136"/>
      <c r="M5092" s="136"/>
      <c r="N5092" s="136"/>
    </row>
    <row r="5093" spans="6:14">
      <c r="F5093" s="136" t="s">
        <v>19391</v>
      </c>
      <c r="G5093" s="136">
        <v>6193885609</v>
      </c>
      <c r="H5093" s="136" t="s">
        <v>1818</v>
      </c>
      <c r="I5093" s="136" t="s">
        <v>1819</v>
      </c>
      <c r="J5093" s="136" t="s">
        <v>19392</v>
      </c>
      <c r="L5093" s="136"/>
      <c r="M5093" s="136"/>
      <c r="N5093" s="136"/>
    </row>
    <row r="5094" spans="6:14">
      <c r="F5094" s="136" t="s">
        <v>19393</v>
      </c>
      <c r="G5094" s="136">
        <v>10012090441</v>
      </c>
      <c r="H5094" s="136" t="s">
        <v>386</v>
      </c>
      <c r="I5094" s="136" t="s">
        <v>386</v>
      </c>
      <c r="J5094" s="136" t="s">
        <v>19394</v>
      </c>
      <c r="L5094" s="136"/>
      <c r="M5094" s="136"/>
      <c r="N5094" s="136"/>
    </row>
    <row r="5095" spans="6:14">
      <c r="F5095" s="136" t="s">
        <v>19395</v>
      </c>
      <c r="G5095" s="136">
        <v>98688740178</v>
      </c>
      <c r="H5095" s="136" t="s">
        <v>2867</v>
      </c>
      <c r="I5095" s="136" t="s">
        <v>2868</v>
      </c>
      <c r="J5095" s="136" t="s">
        <v>19396</v>
      </c>
      <c r="L5095" s="136"/>
      <c r="M5095" s="136"/>
      <c r="N5095" s="136"/>
    </row>
    <row r="5096" spans="6:14">
      <c r="F5096" s="136" t="s">
        <v>19397</v>
      </c>
      <c r="G5096" s="136">
        <v>11312118717</v>
      </c>
      <c r="H5096" s="136" t="s">
        <v>3329</v>
      </c>
      <c r="I5096" s="136" t="s">
        <v>3330</v>
      </c>
      <c r="J5096" s="136" t="s">
        <v>19398</v>
      </c>
      <c r="L5096" s="136"/>
      <c r="M5096" s="136"/>
      <c r="N5096" s="136"/>
    </row>
    <row r="5097" spans="6:14">
      <c r="F5097" s="136" t="s">
        <v>19399</v>
      </c>
      <c r="G5097" s="136">
        <v>2555243585</v>
      </c>
      <c r="H5097" s="136" t="s">
        <v>1886</v>
      </c>
      <c r="I5097" s="136" t="s">
        <v>1886</v>
      </c>
      <c r="J5097" s="136" t="s">
        <v>19400</v>
      </c>
      <c r="L5097" s="136"/>
      <c r="M5097" s="136"/>
      <c r="N5097" s="136"/>
    </row>
    <row r="5098" spans="6:14">
      <c r="F5098" s="136" t="s">
        <v>19401</v>
      </c>
      <c r="G5098" s="136">
        <v>2633397182</v>
      </c>
      <c r="H5098" s="136" t="s">
        <v>93</v>
      </c>
      <c r="I5098" s="136" t="s">
        <v>94</v>
      </c>
      <c r="J5098" s="136" t="s">
        <v>19402</v>
      </c>
      <c r="L5098" s="136"/>
      <c r="M5098" s="136"/>
      <c r="N5098" s="136"/>
    </row>
    <row r="5099" spans="6:14">
      <c r="F5099" s="136" t="s">
        <v>19403</v>
      </c>
      <c r="G5099" s="136">
        <v>7981472709</v>
      </c>
      <c r="H5099" s="136" t="s">
        <v>3885</v>
      </c>
      <c r="I5099" s="136" t="s">
        <v>3885</v>
      </c>
      <c r="J5099" s="136" t="s">
        <v>19404</v>
      </c>
      <c r="L5099" s="136"/>
      <c r="M5099" s="136"/>
      <c r="N5099" s="136"/>
    </row>
    <row r="5100" spans="6:14">
      <c r="F5100" s="136" t="s">
        <v>19405</v>
      </c>
      <c r="G5100" s="136">
        <v>5097</v>
      </c>
      <c r="H5100" s="136" t="s">
        <v>12671</v>
      </c>
      <c r="I5100" s="136" t="s">
        <v>12672</v>
      </c>
      <c r="J5100" s="136" t="s">
        <v>19406</v>
      </c>
      <c r="L5100" s="136"/>
      <c r="M5100" s="136"/>
      <c r="N5100" s="136"/>
    </row>
    <row r="5101" spans="6:14">
      <c r="F5101" s="136" t="s">
        <v>19407</v>
      </c>
      <c r="G5101" s="136">
        <v>15922076779</v>
      </c>
      <c r="H5101" s="136" t="s">
        <v>340</v>
      </c>
      <c r="I5101" s="136" t="s">
        <v>341</v>
      </c>
      <c r="J5101" s="136" t="s">
        <v>19408</v>
      </c>
      <c r="L5101" s="136"/>
      <c r="M5101" s="136"/>
      <c r="N5101" s="136"/>
    </row>
    <row r="5102" spans="6:14">
      <c r="F5102" s="136" t="s">
        <v>19409</v>
      </c>
      <c r="G5102" s="136">
        <v>5666814710</v>
      </c>
      <c r="H5102" s="136" t="s">
        <v>1174</v>
      </c>
      <c r="I5102" s="136" t="s">
        <v>1174</v>
      </c>
      <c r="J5102" s="136" t="s">
        <v>19410</v>
      </c>
      <c r="L5102" s="136"/>
      <c r="M5102" s="136"/>
      <c r="N5102" s="136"/>
    </row>
    <row r="5103" spans="6:14">
      <c r="F5103" s="136" t="s">
        <v>19411</v>
      </c>
      <c r="G5103" s="136">
        <v>5100</v>
      </c>
      <c r="H5103" s="136" t="s">
        <v>1092</v>
      </c>
      <c r="I5103" s="136" t="s">
        <v>1092</v>
      </c>
      <c r="J5103" s="136" t="s">
        <v>19412</v>
      </c>
      <c r="L5103" s="136"/>
      <c r="M5103" s="136"/>
      <c r="N5103" s="136"/>
    </row>
    <row r="5104" spans="6:14">
      <c r="F5104" s="136" t="s">
        <v>19413</v>
      </c>
      <c r="G5104" s="136">
        <v>74292889015</v>
      </c>
      <c r="H5104" s="136" t="s">
        <v>5214</v>
      </c>
      <c r="I5104" s="136" t="s">
        <v>5215</v>
      </c>
      <c r="J5104" s="136" t="s">
        <v>19414</v>
      </c>
      <c r="L5104" s="136"/>
      <c r="M5104" s="136"/>
      <c r="N5104" s="136"/>
    </row>
    <row r="5105" spans="6:14">
      <c r="F5105" s="136" t="s">
        <v>19415</v>
      </c>
      <c r="G5105" s="136">
        <v>5102</v>
      </c>
      <c r="H5105" s="136" t="s">
        <v>1988</v>
      </c>
      <c r="I5105" s="136" t="s">
        <v>1988</v>
      </c>
      <c r="J5105" s="136" t="s">
        <v>19416</v>
      </c>
      <c r="L5105" s="136"/>
      <c r="M5105" s="136"/>
      <c r="N5105" s="136"/>
    </row>
    <row r="5106" spans="6:14">
      <c r="F5106" s="136" t="s">
        <v>19417</v>
      </c>
      <c r="G5106" s="136">
        <v>5103</v>
      </c>
      <c r="H5106" s="136" t="s">
        <v>2936</v>
      </c>
      <c r="I5106" s="136" t="s">
        <v>2936</v>
      </c>
      <c r="J5106" s="136" t="s">
        <v>19418</v>
      </c>
      <c r="L5106" s="136"/>
      <c r="M5106" s="136"/>
      <c r="N5106" s="136"/>
    </row>
    <row r="5107" spans="6:14">
      <c r="F5107" s="136" t="s">
        <v>19419</v>
      </c>
      <c r="G5107" s="136">
        <v>5104</v>
      </c>
      <c r="H5107" s="136" t="s">
        <v>5761</v>
      </c>
      <c r="I5107" s="136" t="s">
        <v>5762</v>
      </c>
      <c r="J5107" s="136" t="s">
        <v>19420</v>
      </c>
      <c r="L5107" s="136"/>
      <c r="M5107" s="136"/>
      <c r="N5107" s="136"/>
    </row>
    <row r="5108" spans="6:14">
      <c r="F5108" s="136" t="s">
        <v>19421</v>
      </c>
      <c r="G5108" s="136">
        <v>5105</v>
      </c>
      <c r="H5108" s="136" t="s">
        <v>3478</v>
      </c>
      <c r="I5108" s="136" t="s">
        <v>3479</v>
      </c>
      <c r="J5108" s="136" t="s">
        <v>19422</v>
      </c>
      <c r="L5108" s="136"/>
      <c r="M5108" s="136"/>
      <c r="N5108" s="136"/>
    </row>
    <row r="5109" spans="6:14">
      <c r="F5109" s="136" t="s">
        <v>19423</v>
      </c>
      <c r="G5109" s="136">
        <v>5106</v>
      </c>
      <c r="H5109" s="136" t="s">
        <v>876</v>
      </c>
      <c r="I5109" s="136" t="s">
        <v>876</v>
      </c>
      <c r="J5109" s="136" t="s">
        <v>19424</v>
      </c>
      <c r="L5109" s="136"/>
      <c r="M5109" s="136"/>
      <c r="N5109" s="136"/>
    </row>
    <row r="5110" spans="6:14">
      <c r="F5110" s="136" t="s">
        <v>19425</v>
      </c>
      <c r="G5110" s="136">
        <v>5107</v>
      </c>
      <c r="H5110" s="136" t="s">
        <v>633</v>
      </c>
      <c r="I5110" s="136" t="s">
        <v>633</v>
      </c>
      <c r="J5110" s="136" t="s">
        <v>19426</v>
      </c>
      <c r="L5110" s="136"/>
      <c r="M5110" s="136"/>
      <c r="N5110" s="136"/>
    </row>
    <row r="5111" spans="6:14">
      <c r="F5111" s="136" t="s">
        <v>19427</v>
      </c>
      <c r="G5111" s="136">
        <v>5108</v>
      </c>
      <c r="H5111" s="136" t="s">
        <v>3123</v>
      </c>
      <c r="I5111" s="136" t="s">
        <v>3123</v>
      </c>
      <c r="J5111" s="136" t="s">
        <v>19428</v>
      </c>
      <c r="L5111" s="136"/>
      <c r="M5111" s="136"/>
      <c r="N5111" s="136"/>
    </row>
    <row r="5112" spans="6:14">
      <c r="F5112" s="136" t="s">
        <v>19429</v>
      </c>
      <c r="G5112" s="136">
        <v>5109</v>
      </c>
      <c r="H5112" s="136" t="s">
        <v>3085</v>
      </c>
      <c r="I5112" s="136" t="s">
        <v>3085</v>
      </c>
      <c r="J5112" s="136" t="s">
        <v>19430</v>
      </c>
      <c r="L5112" s="136"/>
      <c r="M5112" s="136"/>
      <c r="N5112" s="136"/>
    </row>
    <row r="5113" spans="6:14">
      <c r="F5113" s="136" t="s">
        <v>19431</v>
      </c>
      <c r="G5113" s="136">
        <v>5110</v>
      </c>
      <c r="H5113" s="136" t="s">
        <v>2272</v>
      </c>
      <c r="I5113" s="136" t="s">
        <v>2272</v>
      </c>
      <c r="J5113" s="136" t="s">
        <v>19432</v>
      </c>
      <c r="L5113" s="136"/>
      <c r="M5113" s="136"/>
      <c r="N5113" s="136"/>
    </row>
    <row r="5114" spans="6:14">
      <c r="F5114" s="136" t="s">
        <v>19433</v>
      </c>
      <c r="G5114" s="136">
        <v>5111</v>
      </c>
      <c r="H5114" s="136" t="s">
        <v>6026</v>
      </c>
      <c r="I5114" s="136" t="s">
        <v>6026</v>
      </c>
      <c r="J5114" s="136" t="s">
        <v>19434</v>
      </c>
      <c r="L5114" s="136"/>
      <c r="M5114" s="136"/>
      <c r="N5114" s="136"/>
    </row>
    <row r="5115" spans="6:14">
      <c r="F5115" s="136" t="s">
        <v>19435</v>
      </c>
      <c r="G5115" s="136">
        <v>5112</v>
      </c>
      <c r="H5115" s="136" t="s">
        <v>417</v>
      </c>
      <c r="I5115" s="136" t="s">
        <v>417</v>
      </c>
      <c r="J5115" s="136" t="s">
        <v>19436</v>
      </c>
      <c r="L5115" s="136"/>
      <c r="M5115" s="136"/>
      <c r="N5115" s="136"/>
    </row>
    <row r="5116" spans="6:14">
      <c r="F5116" s="136" t="s">
        <v>19437</v>
      </c>
      <c r="G5116" s="136">
        <v>27989337819</v>
      </c>
      <c r="H5116" s="136" t="s">
        <v>3248</v>
      </c>
      <c r="I5116" s="136" t="s">
        <v>3249</v>
      </c>
      <c r="J5116" s="136" t="s">
        <v>19438</v>
      </c>
      <c r="L5116" s="136"/>
      <c r="M5116" s="136"/>
      <c r="N5116" s="136"/>
    </row>
    <row r="5117" spans="6:14">
      <c r="F5117" s="136" t="s">
        <v>19439</v>
      </c>
      <c r="G5117" s="136">
        <v>89871090706</v>
      </c>
      <c r="H5117" s="136" t="s">
        <v>358</v>
      </c>
      <c r="I5117" s="136" t="s">
        <v>359</v>
      </c>
      <c r="J5117" s="136" t="s">
        <v>19440</v>
      </c>
      <c r="L5117" s="136"/>
      <c r="M5117" s="136"/>
      <c r="N5117" s="136"/>
    </row>
    <row r="5118" spans="6:14">
      <c r="F5118" s="136" t="s">
        <v>19441</v>
      </c>
      <c r="G5118" s="136">
        <v>42390114857</v>
      </c>
      <c r="H5118" s="136" t="s">
        <v>1655</v>
      </c>
      <c r="I5118" s="136" t="s">
        <v>1656</v>
      </c>
      <c r="J5118" s="136" t="s">
        <v>19442</v>
      </c>
      <c r="L5118" s="136"/>
      <c r="M5118" s="136"/>
      <c r="N5118" s="136"/>
    </row>
    <row r="5119" spans="6:14">
      <c r="F5119" s="136" t="s">
        <v>19443</v>
      </c>
      <c r="G5119" s="136">
        <v>1289754071</v>
      </c>
      <c r="H5119" s="136" t="s">
        <v>3318</v>
      </c>
      <c r="I5119" s="136" t="s">
        <v>3318</v>
      </c>
      <c r="J5119" s="136" t="s">
        <v>19444</v>
      </c>
      <c r="L5119" s="136"/>
      <c r="M5119" s="136"/>
      <c r="N5119" s="136"/>
    </row>
    <row r="5120" spans="6:14">
      <c r="F5120" s="136" t="s">
        <v>19445</v>
      </c>
      <c r="G5120" s="136">
        <v>47582269896</v>
      </c>
      <c r="H5120" s="136" t="s">
        <v>3539</v>
      </c>
      <c r="I5120" s="136" t="s">
        <v>3540</v>
      </c>
      <c r="J5120" s="136" t="s">
        <v>19446</v>
      </c>
      <c r="L5120" s="136"/>
      <c r="M5120" s="136"/>
      <c r="N5120" s="136"/>
    </row>
    <row r="5121" spans="6:14">
      <c r="F5121" s="136" t="s">
        <v>19447</v>
      </c>
      <c r="G5121" s="136">
        <v>7780335976</v>
      </c>
      <c r="H5121" s="136" t="s">
        <v>4207</v>
      </c>
      <c r="I5121" s="136" t="s">
        <v>4207</v>
      </c>
      <c r="J5121" s="136" t="s">
        <v>19448</v>
      </c>
      <c r="L5121" s="136"/>
      <c r="M5121" s="136"/>
      <c r="N5121" s="136"/>
    </row>
    <row r="5122" spans="6:14">
      <c r="F5122" s="136" t="s">
        <v>19449</v>
      </c>
      <c r="G5122" s="136">
        <v>29939382820</v>
      </c>
      <c r="H5122" s="136" t="s">
        <v>2148</v>
      </c>
      <c r="I5122" s="136" t="s">
        <v>2148</v>
      </c>
      <c r="J5122" s="136" t="s">
        <v>19450</v>
      </c>
      <c r="L5122" s="136"/>
      <c r="M5122" s="136"/>
      <c r="N5122" s="136"/>
    </row>
    <row r="5123" spans="6:14">
      <c r="F5123" s="136" t="s">
        <v>19451</v>
      </c>
      <c r="G5123" s="136">
        <v>28419464791</v>
      </c>
      <c r="H5123" s="136" t="s">
        <v>809</v>
      </c>
      <c r="I5123" s="136" t="s">
        <v>810</v>
      </c>
      <c r="J5123" s="136" t="s">
        <v>19452</v>
      </c>
      <c r="L5123" s="136"/>
      <c r="M5123" s="136"/>
      <c r="N5123" s="136"/>
    </row>
    <row r="5124" spans="6:14">
      <c r="F5124" s="136" t="s">
        <v>19453</v>
      </c>
      <c r="G5124" s="136">
        <v>13370683814</v>
      </c>
      <c r="H5124" s="136" t="s">
        <v>5213</v>
      </c>
      <c r="I5124" s="136" t="s">
        <v>5213</v>
      </c>
      <c r="J5124" s="136" t="s">
        <v>19454</v>
      </c>
      <c r="L5124" s="136"/>
      <c r="M5124" s="136"/>
      <c r="N5124" s="136"/>
    </row>
    <row r="5125" spans="6:14">
      <c r="F5125" s="136" t="s">
        <v>19455</v>
      </c>
      <c r="G5125" s="136">
        <v>5122</v>
      </c>
      <c r="H5125" s="136" t="s">
        <v>4632</v>
      </c>
      <c r="I5125" s="136" t="s">
        <v>4634</v>
      </c>
      <c r="J5125" s="136" t="s">
        <v>19456</v>
      </c>
      <c r="L5125" s="136"/>
      <c r="M5125" s="136"/>
      <c r="N5125" s="136"/>
    </row>
    <row r="5126" spans="6:14">
      <c r="F5126" s="136" t="s">
        <v>19457</v>
      </c>
      <c r="G5126" s="136">
        <v>5123</v>
      </c>
      <c r="H5126" s="136" t="s">
        <v>4632</v>
      </c>
      <c r="I5126" s="136" t="s">
        <v>4635</v>
      </c>
      <c r="J5126" s="136" t="s">
        <v>19458</v>
      </c>
      <c r="L5126" s="136"/>
      <c r="M5126" s="136"/>
      <c r="N5126" s="136"/>
    </row>
    <row r="5127" spans="6:14">
      <c r="F5127" s="136" t="s">
        <v>19459</v>
      </c>
      <c r="G5127" s="136">
        <v>27833620823</v>
      </c>
      <c r="H5127" s="136" t="s">
        <v>974</v>
      </c>
      <c r="I5127" s="136" t="s">
        <v>975</v>
      </c>
      <c r="J5127" s="136" t="s">
        <v>19460</v>
      </c>
      <c r="L5127" s="136"/>
      <c r="M5127" s="136"/>
      <c r="N5127" s="136"/>
    </row>
    <row r="5128" spans="6:14">
      <c r="F5128" s="136" t="s">
        <v>19461</v>
      </c>
      <c r="G5128" s="136">
        <v>3359967950</v>
      </c>
      <c r="H5128" s="136" t="s">
        <v>1281</v>
      </c>
      <c r="I5128" s="136" t="s">
        <v>1282</v>
      </c>
      <c r="J5128" s="136" t="s">
        <v>19462</v>
      </c>
      <c r="L5128" s="136"/>
      <c r="M5128" s="136"/>
      <c r="N5128" s="136"/>
    </row>
    <row r="5129" spans="6:14">
      <c r="F5129" s="136" t="s">
        <v>19463</v>
      </c>
      <c r="G5129" s="136">
        <v>5126</v>
      </c>
      <c r="H5129" s="136" t="s">
        <v>2985</v>
      </c>
      <c r="I5129" s="136" t="s">
        <v>2985</v>
      </c>
      <c r="J5129" s="136" t="s">
        <v>19464</v>
      </c>
      <c r="L5129" s="136"/>
      <c r="M5129" s="136"/>
      <c r="N5129" s="136"/>
    </row>
    <row r="5130" spans="6:14">
      <c r="F5130" s="136" t="s">
        <v>19465</v>
      </c>
      <c r="G5130" s="136">
        <v>5127</v>
      </c>
      <c r="H5130" s="136" t="s">
        <v>3943</v>
      </c>
      <c r="I5130" s="136" t="s">
        <v>3943</v>
      </c>
      <c r="J5130" s="136" t="s">
        <v>19466</v>
      </c>
      <c r="L5130" s="136"/>
      <c r="M5130" s="136"/>
      <c r="N5130" s="136"/>
    </row>
    <row r="5131" spans="6:14">
      <c r="F5131" s="136" t="s">
        <v>19467</v>
      </c>
      <c r="G5131" s="136">
        <v>5128</v>
      </c>
      <c r="H5131" s="136" t="s">
        <v>3955</v>
      </c>
      <c r="I5131" s="136" t="s">
        <v>3956</v>
      </c>
      <c r="J5131" s="136" t="s">
        <v>19468</v>
      </c>
      <c r="L5131" s="136"/>
      <c r="M5131" s="136"/>
      <c r="N5131" s="136"/>
    </row>
    <row r="5132" spans="6:14">
      <c r="F5132" s="136" t="s">
        <v>19469</v>
      </c>
      <c r="G5132" s="136">
        <v>5129</v>
      </c>
      <c r="H5132" s="136" t="s">
        <v>5029</v>
      </c>
      <c r="I5132" s="136" t="s">
        <v>5030</v>
      </c>
      <c r="J5132" s="136" t="s">
        <v>19470</v>
      </c>
      <c r="L5132" s="136"/>
      <c r="M5132" s="136"/>
      <c r="N5132" s="136"/>
    </row>
    <row r="5133" spans="6:14">
      <c r="F5133" s="136" t="s">
        <v>19471</v>
      </c>
      <c r="G5133" s="136">
        <v>5130</v>
      </c>
      <c r="H5133" s="136" t="s">
        <v>19472</v>
      </c>
      <c r="I5133" s="136" t="s">
        <v>19473</v>
      </c>
      <c r="J5133" s="136" t="s">
        <v>19474</v>
      </c>
      <c r="L5133" s="136"/>
      <c r="M5133" s="136"/>
      <c r="N5133" s="136"/>
    </row>
    <row r="5134" spans="6:14">
      <c r="F5134" s="136" t="s">
        <v>19475</v>
      </c>
      <c r="G5134" s="136">
        <v>5131</v>
      </c>
      <c r="H5134" s="136" t="s">
        <v>19476</v>
      </c>
      <c r="I5134" s="136" t="s">
        <v>19477</v>
      </c>
      <c r="J5134" s="136" t="s">
        <v>19478</v>
      </c>
      <c r="L5134" s="136"/>
      <c r="M5134" s="136"/>
      <c r="N5134" s="136"/>
    </row>
    <row r="5135" spans="6:14">
      <c r="F5135" s="136" t="s">
        <v>19479</v>
      </c>
      <c r="G5135" s="136">
        <v>5132</v>
      </c>
      <c r="H5135" s="136" t="s">
        <v>1868</v>
      </c>
      <c r="I5135" s="136" t="s">
        <v>1869</v>
      </c>
      <c r="J5135" s="136" t="s">
        <v>19480</v>
      </c>
      <c r="L5135" s="136"/>
      <c r="M5135" s="136"/>
      <c r="N5135" s="136"/>
    </row>
    <row r="5136" spans="6:14">
      <c r="F5136" s="136" t="s">
        <v>19481</v>
      </c>
      <c r="G5136" s="136">
        <v>5133</v>
      </c>
      <c r="H5136" s="136" t="s">
        <v>3281</v>
      </c>
      <c r="I5136" s="136" t="s">
        <v>3281</v>
      </c>
      <c r="J5136" s="136" t="s">
        <v>19482</v>
      </c>
      <c r="L5136" s="136"/>
      <c r="M5136" s="136"/>
      <c r="N5136" s="136"/>
    </row>
    <row r="5137" spans="6:14">
      <c r="F5137" s="136" t="s">
        <v>19483</v>
      </c>
      <c r="G5137" s="136">
        <v>5134</v>
      </c>
      <c r="H5137" s="136" t="s">
        <v>3253</v>
      </c>
      <c r="I5137" s="136" t="s">
        <v>3253</v>
      </c>
      <c r="J5137" s="136" t="s">
        <v>19484</v>
      </c>
      <c r="L5137" s="136"/>
      <c r="M5137" s="136"/>
      <c r="N5137" s="136"/>
    </row>
    <row r="5138" spans="6:14">
      <c r="F5138" s="136" t="s">
        <v>19485</v>
      </c>
      <c r="G5138" s="136">
        <v>5135</v>
      </c>
      <c r="H5138" s="136" t="s">
        <v>5014</v>
      </c>
      <c r="I5138" s="136" t="s">
        <v>5014</v>
      </c>
      <c r="J5138" s="136" t="s">
        <v>19486</v>
      </c>
      <c r="L5138" s="136"/>
      <c r="M5138" s="136"/>
      <c r="N5138" s="136"/>
    </row>
    <row r="5139" spans="6:14">
      <c r="F5139" s="136" t="s">
        <v>19487</v>
      </c>
      <c r="G5139" s="136">
        <v>3699912655</v>
      </c>
      <c r="H5139" s="136" t="s">
        <v>4400</v>
      </c>
      <c r="I5139" s="136" t="s">
        <v>4400</v>
      </c>
      <c r="J5139" s="136" t="s">
        <v>19488</v>
      </c>
      <c r="L5139" s="136"/>
      <c r="M5139" s="136"/>
      <c r="N5139" s="136"/>
    </row>
    <row r="5140" spans="6:14">
      <c r="F5140" s="136" t="s">
        <v>19489</v>
      </c>
      <c r="G5140" s="136">
        <v>5137</v>
      </c>
      <c r="H5140" s="136" t="s">
        <v>19490</v>
      </c>
      <c r="I5140" s="136" t="s">
        <v>19491</v>
      </c>
      <c r="J5140" s="136" t="s">
        <v>19492</v>
      </c>
      <c r="L5140" s="136"/>
      <c r="M5140" s="136"/>
      <c r="N5140" s="136"/>
    </row>
    <row r="5141" spans="6:14">
      <c r="F5141" s="136" t="s">
        <v>19493</v>
      </c>
      <c r="G5141" s="136">
        <v>46526952844</v>
      </c>
      <c r="H5141" s="136" t="s">
        <v>1958</v>
      </c>
      <c r="I5141" s="136" t="s">
        <v>1958</v>
      </c>
      <c r="J5141" s="136" t="s">
        <v>19494</v>
      </c>
      <c r="L5141" s="136"/>
      <c r="M5141" s="136"/>
      <c r="N5141" s="136"/>
    </row>
    <row r="5142" spans="6:14">
      <c r="F5142" s="136" t="s">
        <v>19495</v>
      </c>
      <c r="G5142" s="136">
        <v>7436694448</v>
      </c>
      <c r="H5142" s="136" t="s">
        <v>3734</v>
      </c>
      <c r="I5142" s="136" t="s">
        <v>3734</v>
      </c>
      <c r="J5142" s="136" t="s">
        <v>19496</v>
      </c>
      <c r="L5142" s="136"/>
      <c r="M5142" s="136"/>
      <c r="N5142" s="136"/>
    </row>
    <row r="5143" spans="6:14">
      <c r="F5143" s="136" t="s">
        <v>19497</v>
      </c>
      <c r="G5143" s="136">
        <v>1258738830</v>
      </c>
      <c r="H5143" s="136" t="s">
        <v>140</v>
      </c>
      <c r="I5143" s="136" t="s">
        <v>140</v>
      </c>
      <c r="J5143" s="136" t="s">
        <v>19498</v>
      </c>
      <c r="L5143" s="136"/>
      <c r="M5143" s="136"/>
      <c r="N5143" s="136"/>
    </row>
    <row r="5144" spans="6:14">
      <c r="F5144" s="136" t="s">
        <v>19499</v>
      </c>
      <c r="G5144" s="136">
        <v>6799670443</v>
      </c>
      <c r="H5144" s="136" t="s">
        <v>5995</v>
      </c>
      <c r="I5144" s="136" t="s">
        <v>5995</v>
      </c>
      <c r="J5144" s="136" t="s">
        <v>19500</v>
      </c>
      <c r="L5144" s="136"/>
      <c r="M5144" s="136"/>
      <c r="N5144" s="136"/>
    </row>
    <row r="5145" spans="6:14">
      <c r="F5145" s="136" t="s">
        <v>19501</v>
      </c>
      <c r="G5145" s="136">
        <v>679078142</v>
      </c>
      <c r="H5145" s="136" t="s">
        <v>1569</v>
      </c>
      <c r="I5145" s="136" t="s">
        <v>1570</v>
      </c>
      <c r="J5145" s="136" t="s">
        <v>19502</v>
      </c>
      <c r="L5145" s="136"/>
      <c r="M5145" s="136"/>
      <c r="N5145" s="136"/>
    </row>
    <row r="5146" spans="6:14">
      <c r="F5146" s="136" t="s">
        <v>19503</v>
      </c>
      <c r="G5146" s="136">
        <v>44638205020</v>
      </c>
      <c r="H5146" s="136" t="s">
        <v>1725</v>
      </c>
      <c r="I5146" s="136" t="s">
        <v>1725</v>
      </c>
      <c r="J5146" s="136" t="s">
        <v>19504</v>
      </c>
      <c r="L5146" s="136"/>
      <c r="M5146" s="136"/>
      <c r="N5146" s="136"/>
    </row>
    <row r="5147" spans="6:14">
      <c r="F5147" s="136" t="s">
        <v>19505</v>
      </c>
      <c r="G5147" s="136">
        <v>9898553170</v>
      </c>
      <c r="H5147" s="136" t="s">
        <v>856</v>
      </c>
      <c r="I5147" s="136" t="s">
        <v>856</v>
      </c>
      <c r="J5147" s="136" t="s">
        <v>19506</v>
      </c>
      <c r="L5147" s="136"/>
      <c r="M5147" s="136"/>
      <c r="N5147" s="136"/>
    </row>
    <row r="5148" spans="6:14">
      <c r="F5148" s="136" t="s">
        <v>19507</v>
      </c>
      <c r="G5148" s="136">
        <v>5145</v>
      </c>
      <c r="H5148" s="136" t="s">
        <v>723</v>
      </c>
      <c r="I5148" s="136" t="s">
        <v>724</v>
      </c>
      <c r="J5148" s="136" t="s">
        <v>19508</v>
      </c>
      <c r="L5148" s="136"/>
      <c r="M5148" s="136"/>
      <c r="N5148" s="136"/>
    </row>
    <row r="5149" spans="6:14">
      <c r="F5149" s="136" t="s">
        <v>19509</v>
      </c>
      <c r="G5149" s="136">
        <v>5146</v>
      </c>
      <c r="H5149" s="136" t="s">
        <v>19510</v>
      </c>
      <c r="I5149" s="136" t="s">
        <v>19511</v>
      </c>
      <c r="J5149" s="136" t="s">
        <v>19512</v>
      </c>
      <c r="L5149" s="136"/>
      <c r="M5149" s="136"/>
      <c r="N5149" s="136"/>
    </row>
    <row r="5150" spans="6:14">
      <c r="F5150" s="136" t="s">
        <v>19513</v>
      </c>
      <c r="G5150" s="136">
        <v>3780539900</v>
      </c>
      <c r="H5150" s="136" t="s">
        <v>3206</v>
      </c>
      <c r="I5150" s="136" t="s">
        <v>3207</v>
      </c>
      <c r="J5150" s="136" t="s">
        <v>19514</v>
      </c>
      <c r="L5150" s="136"/>
      <c r="M5150" s="136"/>
      <c r="N5150" s="136"/>
    </row>
    <row r="5151" spans="6:14">
      <c r="F5151" s="136" t="s">
        <v>19515</v>
      </c>
      <c r="G5151" s="136">
        <v>12597801985</v>
      </c>
      <c r="H5151" s="136" t="s">
        <v>121</v>
      </c>
      <c r="I5151" s="136" t="s">
        <v>121</v>
      </c>
      <c r="J5151" s="136" t="s">
        <v>19516</v>
      </c>
      <c r="L5151" s="136"/>
      <c r="M5151" s="136"/>
      <c r="N5151" s="136"/>
    </row>
    <row r="5152" spans="6:14">
      <c r="F5152" s="136" t="s">
        <v>19517</v>
      </c>
      <c r="G5152" s="136">
        <v>5149</v>
      </c>
      <c r="H5152" s="136" t="s">
        <v>4264</v>
      </c>
      <c r="I5152" s="136" t="s">
        <v>4264</v>
      </c>
      <c r="J5152" s="136" t="s">
        <v>19518</v>
      </c>
      <c r="L5152" s="136"/>
      <c r="M5152" s="136"/>
      <c r="N5152" s="136"/>
    </row>
    <row r="5153" spans="6:14">
      <c r="F5153" s="136" t="s">
        <v>19519</v>
      </c>
      <c r="G5153" s="136">
        <v>5150</v>
      </c>
      <c r="H5153" s="136" t="s">
        <v>4098</v>
      </c>
      <c r="I5153" s="136" t="s">
        <v>4099</v>
      </c>
      <c r="J5153" s="136" t="s">
        <v>19520</v>
      </c>
      <c r="L5153" s="136"/>
      <c r="M5153" s="136"/>
      <c r="N5153" s="136"/>
    </row>
    <row r="5154" spans="6:14">
      <c r="F5154" s="136" t="s">
        <v>19521</v>
      </c>
      <c r="G5154" s="136">
        <v>5151</v>
      </c>
      <c r="H5154" s="136" t="s">
        <v>19522</v>
      </c>
      <c r="I5154" s="136" t="s">
        <v>19523</v>
      </c>
      <c r="J5154" s="136" t="s">
        <v>19524</v>
      </c>
      <c r="L5154" s="136"/>
      <c r="M5154" s="136"/>
      <c r="N5154" s="136"/>
    </row>
    <row r="5155" spans="6:14">
      <c r="F5155" s="136" t="s">
        <v>19525</v>
      </c>
      <c r="G5155" s="136">
        <v>5152</v>
      </c>
      <c r="H5155" s="136" t="s">
        <v>19526</v>
      </c>
      <c r="I5155" s="136" t="s">
        <v>19527</v>
      </c>
      <c r="J5155" s="136" t="s">
        <v>19528</v>
      </c>
      <c r="L5155" s="136"/>
      <c r="M5155" s="136"/>
      <c r="N5155" s="136"/>
    </row>
    <row r="5156" spans="6:14">
      <c r="F5156" s="136" t="s">
        <v>19529</v>
      </c>
      <c r="G5156" s="136">
        <v>5153</v>
      </c>
      <c r="H5156" s="136" t="s">
        <v>19530</v>
      </c>
      <c r="I5156" s="136" t="s">
        <v>19531</v>
      </c>
      <c r="J5156" s="136" t="s">
        <v>19532</v>
      </c>
      <c r="L5156" s="136"/>
      <c r="M5156" s="136"/>
      <c r="N5156" s="136"/>
    </row>
    <row r="5157" spans="6:14">
      <c r="F5157" s="136" t="s">
        <v>19533</v>
      </c>
      <c r="G5157" s="136">
        <v>5154</v>
      </c>
      <c r="H5157" s="136" t="s">
        <v>19534</v>
      </c>
      <c r="I5157" s="136" t="s">
        <v>19534</v>
      </c>
      <c r="J5157" s="136" t="s">
        <v>19535</v>
      </c>
      <c r="L5157" s="136"/>
      <c r="M5157" s="136"/>
      <c r="N5157" s="136"/>
    </row>
    <row r="5158" spans="6:14">
      <c r="F5158" s="136" t="s">
        <v>19536</v>
      </c>
      <c r="G5158" s="136">
        <v>5155</v>
      </c>
      <c r="H5158" s="136" t="s">
        <v>19537</v>
      </c>
      <c r="I5158" s="136" t="s">
        <v>19538</v>
      </c>
      <c r="J5158" s="136" t="s">
        <v>19539</v>
      </c>
      <c r="L5158" s="136"/>
      <c r="M5158" s="136"/>
      <c r="N5158" s="136"/>
    </row>
    <row r="5159" spans="6:14">
      <c r="F5159" s="136" t="s">
        <v>19540</v>
      </c>
      <c r="G5159" s="136">
        <v>5156</v>
      </c>
      <c r="H5159" s="136" t="s">
        <v>19541</v>
      </c>
      <c r="I5159" s="136" t="s">
        <v>19542</v>
      </c>
      <c r="J5159" s="136" t="s">
        <v>19543</v>
      </c>
      <c r="L5159" s="136"/>
      <c r="M5159" s="136"/>
      <c r="N5159" s="136"/>
    </row>
    <row r="5160" spans="6:14">
      <c r="F5160" s="136" t="s">
        <v>19544</v>
      </c>
      <c r="G5160" s="136">
        <v>13597276636</v>
      </c>
      <c r="H5160" s="136" t="s">
        <v>3544</v>
      </c>
      <c r="I5160" s="136" t="s">
        <v>3544</v>
      </c>
      <c r="J5160" s="136" t="s">
        <v>19545</v>
      </c>
      <c r="L5160" s="136"/>
      <c r="M5160" s="136"/>
      <c r="N5160" s="136"/>
    </row>
    <row r="5161" spans="6:14">
      <c r="F5161" s="136" t="s">
        <v>19546</v>
      </c>
      <c r="G5161" s="136">
        <v>1146325703</v>
      </c>
      <c r="H5161" s="136" t="s">
        <v>877</v>
      </c>
      <c r="I5161" s="136" t="s">
        <v>878</v>
      </c>
      <c r="J5161" s="136" t="s">
        <v>19547</v>
      </c>
      <c r="L5161" s="136"/>
      <c r="M5161" s="136"/>
      <c r="N5161" s="136"/>
    </row>
    <row r="5162" spans="6:14">
      <c r="F5162" s="136" t="s">
        <v>19548</v>
      </c>
      <c r="G5162" s="136">
        <v>70875715753</v>
      </c>
      <c r="H5162" s="136" t="s">
        <v>4007</v>
      </c>
      <c r="I5162" s="136" t="s">
        <v>4007</v>
      </c>
      <c r="J5162" s="136" t="s">
        <v>19549</v>
      </c>
      <c r="L5162" s="136"/>
      <c r="M5162" s="136"/>
      <c r="N5162" s="136"/>
    </row>
    <row r="5163" spans="6:14">
      <c r="F5163" s="136" t="s">
        <v>19550</v>
      </c>
      <c r="G5163" s="136">
        <v>8078418469</v>
      </c>
      <c r="H5163" s="136" t="s">
        <v>2543</v>
      </c>
      <c r="I5163" s="136" t="s">
        <v>2543</v>
      </c>
      <c r="J5163" s="136" t="s">
        <v>19551</v>
      </c>
      <c r="L5163" s="136"/>
      <c r="M5163" s="136"/>
      <c r="N5163" s="136"/>
    </row>
    <row r="5164" spans="6:14">
      <c r="F5164" s="136" t="s">
        <v>19552</v>
      </c>
      <c r="G5164" s="136">
        <v>5161</v>
      </c>
      <c r="H5164" s="136" t="s">
        <v>3896</v>
      </c>
      <c r="I5164" s="136" t="s">
        <v>3896</v>
      </c>
      <c r="J5164" s="136" t="s">
        <v>19553</v>
      </c>
      <c r="L5164" s="136"/>
      <c r="M5164" s="136"/>
      <c r="N5164" s="136"/>
    </row>
    <row r="5165" spans="6:14">
      <c r="F5165" s="136" t="s">
        <v>19554</v>
      </c>
      <c r="G5165" s="136">
        <v>5162</v>
      </c>
      <c r="H5165" s="136" t="s">
        <v>327</v>
      </c>
      <c r="I5165" s="136" t="s">
        <v>328</v>
      </c>
      <c r="J5165" s="136" t="s">
        <v>19555</v>
      </c>
      <c r="L5165" s="136"/>
      <c r="M5165" s="136"/>
      <c r="N5165" s="136"/>
    </row>
    <row r="5166" spans="6:14">
      <c r="F5166" s="136" t="s">
        <v>19556</v>
      </c>
      <c r="G5166" s="136">
        <v>5163</v>
      </c>
      <c r="H5166" s="136" t="s">
        <v>3086</v>
      </c>
      <c r="I5166" s="136" t="s">
        <v>3086</v>
      </c>
      <c r="J5166" s="136" t="s">
        <v>19557</v>
      </c>
      <c r="L5166" s="136"/>
      <c r="M5166" s="136"/>
      <c r="N5166" s="136"/>
    </row>
    <row r="5167" spans="6:14">
      <c r="F5167" s="136" t="s">
        <v>19558</v>
      </c>
      <c r="G5167" s="136">
        <v>5164</v>
      </c>
      <c r="H5167" s="136" t="s">
        <v>3879</v>
      </c>
      <c r="I5167" s="136" t="s">
        <v>3880</v>
      </c>
      <c r="J5167" s="136" t="s">
        <v>19559</v>
      </c>
      <c r="L5167" s="136"/>
      <c r="M5167" s="136"/>
      <c r="N5167" s="136"/>
    </row>
    <row r="5168" spans="6:14">
      <c r="F5168" s="136" t="s">
        <v>19560</v>
      </c>
      <c r="G5168" s="136">
        <v>5549574772</v>
      </c>
      <c r="H5168" s="136" t="s">
        <v>1896</v>
      </c>
      <c r="I5168" s="136" t="s">
        <v>1896</v>
      </c>
      <c r="J5168" s="136" t="s">
        <v>19561</v>
      </c>
      <c r="L5168" s="136"/>
      <c r="M5168" s="136"/>
      <c r="N5168" s="136"/>
    </row>
    <row r="5169" spans="6:14">
      <c r="F5169" s="136" t="s">
        <v>19562</v>
      </c>
      <c r="G5169" s="136">
        <v>8025024660</v>
      </c>
      <c r="H5169" s="136" t="s">
        <v>984</v>
      </c>
      <c r="I5169" s="136" t="s">
        <v>984</v>
      </c>
      <c r="J5169" s="136" t="s">
        <v>19563</v>
      </c>
      <c r="L5169" s="136"/>
      <c r="M5169" s="136"/>
      <c r="N5169" s="136"/>
    </row>
    <row r="5170" spans="6:14">
      <c r="F5170" s="136" t="s">
        <v>19564</v>
      </c>
      <c r="G5170" s="136">
        <v>5167</v>
      </c>
      <c r="H5170" s="136" t="s">
        <v>942</v>
      </c>
      <c r="I5170" s="136" t="s">
        <v>943</v>
      </c>
      <c r="J5170" s="136" t="s">
        <v>19565</v>
      </c>
      <c r="L5170" s="136"/>
      <c r="M5170" s="136"/>
      <c r="N5170" s="136"/>
    </row>
    <row r="5171" spans="6:14">
      <c r="F5171" s="136" t="s">
        <v>19566</v>
      </c>
      <c r="G5171" s="136">
        <v>5168</v>
      </c>
      <c r="H5171" s="136" t="s">
        <v>19567</v>
      </c>
      <c r="I5171" s="136" t="s">
        <v>19568</v>
      </c>
      <c r="J5171" s="136" t="s">
        <v>19569</v>
      </c>
      <c r="L5171" s="136"/>
      <c r="M5171" s="136"/>
      <c r="N5171" s="136"/>
    </row>
    <row r="5172" spans="6:14">
      <c r="F5172" s="136" t="s">
        <v>19570</v>
      </c>
      <c r="G5172" s="136">
        <v>99359243868</v>
      </c>
      <c r="H5172" s="136" t="s">
        <v>5980</v>
      </c>
      <c r="I5172" s="136" t="s">
        <v>5980</v>
      </c>
      <c r="J5172" s="136" t="s">
        <v>19571</v>
      </c>
      <c r="L5172" s="136"/>
      <c r="M5172" s="136"/>
      <c r="N5172" s="136"/>
    </row>
    <row r="5173" spans="6:14">
      <c r="F5173" s="136" t="s">
        <v>19572</v>
      </c>
      <c r="G5173" s="136">
        <v>9019814605</v>
      </c>
      <c r="H5173" s="136" t="s">
        <v>3184</v>
      </c>
      <c r="I5173" s="136" t="s">
        <v>3184</v>
      </c>
      <c r="J5173" s="136" t="s">
        <v>19573</v>
      </c>
      <c r="L5173" s="136"/>
      <c r="M5173" s="136"/>
      <c r="N5173" s="136"/>
    </row>
    <row r="5174" spans="6:14">
      <c r="F5174" s="136" t="s">
        <v>19574</v>
      </c>
      <c r="G5174" s="136">
        <v>5171</v>
      </c>
      <c r="H5174" s="136" t="s">
        <v>19575</v>
      </c>
      <c r="I5174" s="136" t="s">
        <v>19576</v>
      </c>
      <c r="J5174" s="136" t="s">
        <v>19577</v>
      </c>
      <c r="L5174" s="136"/>
      <c r="M5174" s="136"/>
      <c r="N5174" s="136"/>
    </row>
    <row r="5175" spans="6:14">
      <c r="F5175" s="136" t="s">
        <v>19578</v>
      </c>
      <c r="G5175" s="136">
        <v>40949739820</v>
      </c>
      <c r="H5175" s="136" t="s">
        <v>3662</v>
      </c>
      <c r="I5175" s="136" t="s">
        <v>3663</v>
      </c>
      <c r="J5175" s="136" t="s">
        <v>19579</v>
      </c>
      <c r="L5175" s="136"/>
      <c r="M5175" s="136"/>
      <c r="N5175" s="136"/>
    </row>
    <row r="5176" spans="6:14">
      <c r="F5176" s="136" t="s">
        <v>19580</v>
      </c>
      <c r="G5176" s="136">
        <v>78224128504</v>
      </c>
      <c r="H5176" s="136" t="s">
        <v>1601</v>
      </c>
      <c r="I5176" s="136" t="s">
        <v>1602</v>
      </c>
      <c r="J5176" s="136" t="s">
        <v>19581</v>
      </c>
      <c r="L5176" s="136"/>
      <c r="M5176" s="136"/>
      <c r="N5176" s="136"/>
    </row>
    <row r="5177" spans="6:14">
      <c r="F5177" s="136" t="s">
        <v>19582</v>
      </c>
      <c r="G5177" s="136">
        <v>5174</v>
      </c>
      <c r="H5177" s="136" t="s">
        <v>2261</v>
      </c>
      <c r="I5177" s="136" t="s">
        <v>2261</v>
      </c>
      <c r="J5177" s="136" t="s">
        <v>19583</v>
      </c>
      <c r="L5177" s="136"/>
      <c r="M5177" s="136"/>
      <c r="N5177" s="136"/>
    </row>
    <row r="5178" spans="6:14">
      <c r="F5178" s="136" t="s">
        <v>19584</v>
      </c>
      <c r="G5178" s="136">
        <v>33953791591</v>
      </c>
      <c r="H5178" s="136" t="s">
        <v>1838</v>
      </c>
      <c r="I5178" s="136" t="s">
        <v>1839</v>
      </c>
      <c r="J5178" s="136" t="s">
        <v>19585</v>
      </c>
      <c r="L5178" s="136"/>
      <c r="M5178" s="136"/>
      <c r="N5178" s="136"/>
    </row>
    <row r="5179" spans="6:14">
      <c r="F5179" s="136" t="s">
        <v>19586</v>
      </c>
      <c r="G5179" s="136">
        <v>5176</v>
      </c>
      <c r="H5179" s="136" t="s">
        <v>19587</v>
      </c>
      <c r="I5179" s="136" t="s">
        <v>19588</v>
      </c>
      <c r="J5179" s="136" t="s">
        <v>19589</v>
      </c>
      <c r="L5179" s="136"/>
      <c r="M5179" s="136"/>
      <c r="N5179" s="136"/>
    </row>
    <row r="5180" spans="6:14">
      <c r="F5180" s="136" t="s">
        <v>19590</v>
      </c>
      <c r="G5180" s="136">
        <v>5177</v>
      </c>
      <c r="H5180" s="136" t="s">
        <v>4964</v>
      </c>
      <c r="I5180" s="136" t="s">
        <v>4965</v>
      </c>
      <c r="J5180" s="136" t="s">
        <v>19591</v>
      </c>
      <c r="L5180" s="136"/>
      <c r="M5180" s="136"/>
      <c r="N5180" s="136"/>
    </row>
    <row r="5181" spans="6:14">
      <c r="F5181" s="136" t="s">
        <v>19592</v>
      </c>
      <c r="G5181" s="136">
        <v>12327623693</v>
      </c>
      <c r="H5181" s="136" t="s">
        <v>5810</v>
      </c>
      <c r="I5181" s="136" t="s">
        <v>5811</v>
      </c>
      <c r="J5181" s="136" t="s">
        <v>19593</v>
      </c>
      <c r="L5181" s="136"/>
      <c r="M5181" s="136"/>
      <c r="N5181" s="136"/>
    </row>
    <row r="5182" spans="6:14">
      <c r="F5182" s="136" t="s">
        <v>19594</v>
      </c>
      <c r="G5182" s="136">
        <v>19150797808</v>
      </c>
      <c r="H5182" s="136" t="s">
        <v>6131</v>
      </c>
      <c r="I5182" s="136" t="s">
        <v>6131</v>
      </c>
      <c r="J5182" s="136" t="s">
        <v>19595</v>
      </c>
      <c r="L5182" s="136"/>
      <c r="M5182" s="136"/>
      <c r="N5182" s="136"/>
    </row>
    <row r="5183" spans="6:14">
      <c r="F5183" s="136" t="s">
        <v>19596</v>
      </c>
      <c r="G5183" s="136">
        <v>924913320</v>
      </c>
      <c r="H5183" s="136" t="s">
        <v>3238</v>
      </c>
      <c r="I5183" s="136" t="s">
        <v>3238</v>
      </c>
      <c r="J5183" s="136" t="s">
        <v>19597</v>
      </c>
      <c r="L5183" s="136"/>
      <c r="M5183" s="136"/>
      <c r="N5183" s="136"/>
    </row>
    <row r="5184" spans="6:14">
      <c r="F5184" s="136" t="s">
        <v>19598</v>
      </c>
      <c r="G5184" s="136">
        <v>5181</v>
      </c>
      <c r="H5184" s="136" t="s">
        <v>19599</v>
      </c>
      <c r="I5184" s="136" t="s">
        <v>19600</v>
      </c>
      <c r="J5184" s="136" t="s">
        <v>19601</v>
      </c>
      <c r="L5184" s="136"/>
      <c r="M5184" s="136"/>
      <c r="N5184" s="136"/>
    </row>
    <row r="5185" spans="6:14">
      <c r="F5185" s="136" t="s">
        <v>19602</v>
      </c>
      <c r="G5185" s="136">
        <v>27360649846</v>
      </c>
      <c r="H5185" s="136" t="s">
        <v>3944</v>
      </c>
      <c r="I5185" s="136" t="s">
        <v>3944</v>
      </c>
      <c r="J5185" s="136" t="s">
        <v>19603</v>
      </c>
      <c r="L5185" s="136"/>
      <c r="M5185" s="136"/>
      <c r="N5185" s="136"/>
    </row>
    <row r="5186" spans="6:14">
      <c r="F5186" s="136" t="s">
        <v>19604</v>
      </c>
      <c r="G5186" s="136">
        <v>5183</v>
      </c>
      <c r="H5186" s="136" t="s">
        <v>4208</v>
      </c>
      <c r="I5186" s="136" t="s">
        <v>4209</v>
      </c>
      <c r="J5186" s="136" t="s">
        <v>19605</v>
      </c>
      <c r="L5186" s="136"/>
      <c r="M5186" s="136"/>
      <c r="N5186" s="136"/>
    </row>
    <row r="5187" spans="6:14">
      <c r="F5187" s="136" t="s">
        <v>19606</v>
      </c>
      <c r="G5187" s="136">
        <v>5184</v>
      </c>
      <c r="H5187" s="136" t="s">
        <v>3520</v>
      </c>
      <c r="I5187" s="136" t="s">
        <v>3520</v>
      </c>
      <c r="J5187" s="136" t="s">
        <v>19607</v>
      </c>
      <c r="L5187" s="136"/>
      <c r="M5187" s="136"/>
      <c r="N5187" s="136"/>
    </row>
    <row r="5188" spans="6:14">
      <c r="F5188" s="136" t="s">
        <v>19608</v>
      </c>
      <c r="G5188" s="136">
        <v>5185</v>
      </c>
      <c r="H5188" s="136" t="s">
        <v>3056</v>
      </c>
      <c r="I5188" s="136" t="s">
        <v>3056</v>
      </c>
      <c r="J5188" s="136" t="s">
        <v>19609</v>
      </c>
      <c r="L5188" s="136"/>
      <c r="M5188" s="136"/>
      <c r="N5188" s="136"/>
    </row>
    <row r="5189" spans="6:14">
      <c r="F5189" s="136" t="s">
        <v>19610</v>
      </c>
      <c r="G5189" s="136">
        <v>7291544831</v>
      </c>
      <c r="H5189" s="136" t="s">
        <v>5689</v>
      </c>
      <c r="I5189" s="136" t="s">
        <v>5689</v>
      </c>
      <c r="J5189" s="136" t="s">
        <v>19611</v>
      </c>
      <c r="L5189" s="136"/>
      <c r="M5189" s="136"/>
      <c r="N5189" s="136"/>
    </row>
    <row r="5190" spans="6:14">
      <c r="F5190" s="136" t="s">
        <v>19612</v>
      </c>
      <c r="G5190" s="136">
        <v>7976287974</v>
      </c>
      <c r="H5190" s="136" t="s">
        <v>4003</v>
      </c>
      <c r="I5190" s="136" t="s">
        <v>4004</v>
      </c>
      <c r="J5190" s="136" t="s">
        <v>19613</v>
      </c>
      <c r="L5190" s="136"/>
      <c r="M5190" s="136"/>
      <c r="N5190" s="136"/>
    </row>
    <row r="5191" spans="6:14">
      <c r="F5191" s="136" t="s">
        <v>19614</v>
      </c>
      <c r="G5191" s="136">
        <v>420001905</v>
      </c>
      <c r="H5191" s="136" t="s">
        <v>2362</v>
      </c>
      <c r="I5191" s="136" t="s">
        <v>2363</v>
      </c>
      <c r="J5191" s="136" t="s">
        <v>19615</v>
      </c>
      <c r="L5191" s="136"/>
      <c r="M5191" s="136"/>
      <c r="N5191" s="136"/>
    </row>
    <row r="5192" spans="6:14">
      <c r="F5192" s="136" t="s">
        <v>19616</v>
      </c>
      <c r="G5192" s="136">
        <v>5189</v>
      </c>
      <c r="H5192" s="136" t="s">
        <v>1636</v>
      </c>
      <c r="I5192" s="136" t="s">
        <v>1647</v>
      </c>
      <c r="J5192" s="136" t="s">
        <v>19617</v>
      </c>
      <c r="L5192" s="136"/>
      <c r="M5192" s="136"/>
      <c r="N5192" s="136"/>
    </row>
    <row r="5193" spans="6:14">
      <c r="F5193" s="136" t="s">
        <v>19618</v>
      </c>
      <c r="G5193" s="136">
        <v>5190</v>
      </c>
      <c r="H5193" s="136" t="s">
        <v>1636</v>
      </c>
      <c r="I5193" s="136" t="s">
        <v>1648</v>
      </c>
      <c r="J5193" s="136" t="s">
        <v>19619</v>
      </c>
      <c r="L5193" s="136"/>
      <c r="M5193" s="136"/>
      <c r="N5193" s="136"/>
    </row>
    <row r="5194" spans="6:14">
      <c r="F5194" s="136" t="s">
        <v>19620</v>
      </c>
      <c r="G5194" s="136">
        <v>5191</v>
      </c>
      <c r="H5194" s="136" t="s">
        <v>19621</v>
      </c>
      <c r="I5194" s="136" t="s">
        <v>19622</v>
      </c>
      <c r="J5194" s="136" t="s">
        <v>19623</v>
      </c>
      <c r="L5194" s="136"/>
      <c r="M5194" s="136"/>
      <c r="N5194" s="136"/>
    </row>
    <row r="5195" spans="6:14">
      <c r="F5195" s="136" t="s">
        <v>19624</v>
      </c>
      <c r="G5195" s="136">
        <v>22404592807</v>
      </c>
      <c r="H5195" s="136" t="s">
        <v>354</v>
      </c>
      <c r="I5195" s="136" t="s">
        <v>355</v>
      </c>
      <c r="J5195" s="136" t="s">
        <v>19625</v>
      </c>
      <c r="L5195" s="136"/>
      <c r="M5195" s="136"/>
      <c r="N5195" s="136"/>
    </row>
    <row r="5196" spans="6:14">
      <c r="F5196" s="136" t="s">
        <v>19626</v>
      </c>
      <c r="G5196" s="136">
        <v>1205063005</v>
      </c>
      <c r="H5196" s="136" t="s">
        <v>2437</v>
      </c>
      <c r="I5196" s="136" t="s">
        <v>2437</v>
      </c>
      <c r="J5196" s="136" t="s">
        <v>19627</v>
      </c>
      <c r="L5196" s="136"/>
      <c r="M5196" s="136"/>
      <c r="N5196" s="136"/>
    </row>
    <row r="5197" spans="6:14">
      <c r="F5197" s="136" t="s">
        <v>19628</v>
      </c>
      <c r="G5197" s="136">
        <v>1237537169</v>
      </c>
      <c r="H5197" s="136" t="s">
        <v>3219</v>
      </c>
      <c r="I5197" s="136" t="s">
        <v>3220</v>
      </c>
      <c r="J5197" s="136" t="s">
        <v>19629</v>
      </c>
      <c r="L5197" s="136"/>
      <c r="M5197" s="136"/>
      <c r="N5197" s="136"/>
    </row>
    <row r="5198" spans="6:14">
      <c r="F5198" s="136" t="s">
        <v>19630</v>
      </c>
      <c r="G5198" s="136">
        <v>5195</v>
      </c>
      <c r="H5198" s="136" t="s">
        <v>5262</v>
      </c>
      <c r="I5198" s="136" t="s">
        <v>5262</v>
      </c>
      <c r="J5198" s="136" t="s">
        <v>19631</v>
      </c>
      <c r="L5198" s="136"/>
      <c r="M5198" s="136"/>
      <c r="N5198" s="136"/>
    </row>
    <row r="5199" spans="6:14">
      <c r="F5199" s="136" t="s">
        <v>19632</v>
      </c>
      <c r="G5199" s="136">
        <v>27929523349</v>
      </c>
      <c r="H5199" s="136" t="s">
        <v>4399</v>
      </c>
      <c r="I5199" s="136" t="s">
        <v>4399</v>
      </c>
      <c r="J5199" s="136" t="s">
        <v>19633</v>
      </c>
      <c r="L5199" s="136"/>
      <c r="M5199" s="136"/>
      <c r="N5199" s="136"/>
    </row>
    <row r="5200" spans="6:14">
      <c r="F5200" s="136" t="s">
        <v>19634</v>
      </c>
      <c r="G5200" s="136">
        <v>5197</v>
      </c>
      <c r="H5200" s="136" t="s">
        <v>19635</v>
      </c>
      <c r="I5200" s="136" t="s">
        <v>19636</v>
      </c>
      <c r="J5200" s="136" t="s">
        <v>19637</v>
      </c>
      <c r="L5200" s="136"/>
      <c r="M5200" s="136"/>
      <c r="N5200" s="136"/>
    </row>
    <row r="5201" spans="6:14">
      <c r="F5201" s="136" t="s">
        <v>19638</v>
      </c>
      <c r="G5201" s="136">
        <v>5198</v>
      </c>
      <c r="H5201" s="136" t="s">
        <v>76</v>
      </c>
      <c r="I5201" s="136" t="s">
        <v>77</v>
      </c>
      <c r="J5201" s="136" t="s">
        <v>19639</v>
      </c>
      <c r="L5201" s="136"/>
      <c r="M5201" s="136"/>
      <c r="N5201" s="136"/>
    </row>
    <row r="5202" spans="6:14">
      <c r="F5202" s="136" t="s">
        <v>19640</v>
      </c>
      <c r="G5202" s="136">
        <v>5199</v>
      </c>
      <c r="H5202" s="136" t="s">
        <v>4329</v>
      </c>
      <c r="I5202" s="136" t="s">
        <v>4329</v>
      </c>
      <c r="J5202" s="136" t="s">
        <v>19641</v>
      </c>
      <c r="L5202" s="136"/>
      <c r="M5202" s="136"/>
      <c r="N5202" s="136"/>
    </row>
    <row r="5203" spans="6:14">
      <c r="F5203" s="136" t="s">
        <v>19642</v>
      </c>
      <c r="G5203" s="136">
        <v>16328931778</v>
      </c>
      <c r="H5203" s="136" t="s">
        <v>2132</v>
      </c>
      <c r="I5203" s="136" t="s">
        <v>2132</v>
      </c>
      <c r="J5203" s="136" t="s">
        <v>19643</v>
      </c>
      <c r="L5203" s="136"/>
      <c r="M5203" s="136"/>
      <c r="N5203" s="136"/>
    </row>
    <row r="5204" spans="6:14">
      <c r="F5204" s="136" t="s">
        <v>19644</v>
      </c>
      <c r="G5204" s="136">
        <v>5201</v>
      </c>
      <c r="H5204" s="136" t="s">
        <v>1279</v>
      </c>
      <c r="I5204" s="136" t="s">
        <v>1280</v>
      </c>
      <c r="J5204" s="136" t="s">
        <v>19645</v>
      </c>
      <c r="L5204" s="136"/>
      <c r="M5204" s="136"/>
      <c r="N5204" s="136"/>
    </row>
    <row r="5205" spans="6:14">
      <c r="F5205" s="136" t="s">
        <v>19646</v>
      </c>
      <c r="G5205" s="136">
        <v>43620311897</v>
      </c>
      <c r="H5205" s="136" t="s">
        <v>1960</v>
      </c>
      <c r="I5205" s="136" t="s">
        <v>1961</v>
      </c>
      <c r="J5205" s="136" t="s">
        <v>19647</v>
      </c>
      <c r="L5205" s="136"/>
      <c r="M5205" s="136"/>
      <c r="N5205" s="136"/>
    </row>
    <row r="5206" spans="6:14">
      <c r="F5206" s="136" t="s">
        <v>19648</v>
      </c>
      <c r="G5206" s="136">
        <v>6685057700</v>
      </c>
      <c r="H5206" s="136" t="s">
        <v>5645</v>
      </c>
      <c r="I5206" s="136" t="s">
        <v>5645</v>
      </c>
      <c r="J5206" s="136" t="s">
        <v>19649</v>
      </c>
      <c r="L5206" s="136"/>
      <c r="M5206" s="136"/>
      <c r="N5206" s="136"/>
    </row>
    <row r="5207" spans="6:14">
      <c r="F5207" s="136" t="s">
        <v>19650</v>
      </c>
      <c r="G5207" s="136">
        <v>5204</v>
      </c>
      <c r="H5207" s="136" t="s">
        <v>1170</v>
      </c>
      <c r="I5207" s="136" t="s">
        <v>1171</v>
      </c>
      <c r="J5207" s="136" t="s">
        <v>19651</v>
      </c>
      <c r="L5207" s="136"/>
      <c r="M5207" s="136"/>
      <c r="N5207" s="136"/>
    </row>
    <row r="5208" spans="6:14">
      <c r="F5208" s="136" t="s">
        <v>19652</v>
      </c>
      <c r="G5208" s="136">
        <v>5205</v>
      </c>
      <c r="H5208" s="136" t="s">
        <v>19653</v>
      </c>
      <c r="I5208" s="136" t="s">
        <v>19654</v>
      </c>
      <c r="J5208" s="136" t="s">
        <v>19655</v>
      </c>
      <c r="L5208" s="136"/>
      <c r="M5208" s="136"/>
      <c r="N5208" s="136"/>
    </row>
    <row r="5209" spans="6:14">
      <c r="F5209" s="136" t="s">
        <v>19656</v>
      </c>
      <c r="G5209" s="136">
        <v>8776970</v>
      </c>
      <c r="H5209" s="136" t="s">
        <v>1501</v>
      </c>
      <c r="I5209" s="136" t="s">
        <v>1501</v>
      </c>
      <c r="J5209" s="136" t="s">
        <v>19657</v>
      </c>
      <c r="L5209" s="136"/>
      <c r="M5209" s="136"/>
      <c r="N5209" s="136"/>
    </row>
    <row r="5210" spans="6:14">
      <c r="F5210" s="136" t="s">
        <v>19658</v>
      </c>
      <c r="G5210" s="136">
        <v>5207</v>
      </c>
      <c r="H5210" s="136" t="s">
        <v>1040</v>
      </c>
      <c r="I5210" s="136" t="s">
        <v>1041</v>
      </c>
      <c r="J5210" s="136" t="s">
        <v>19659</v>
      </c>
      <c r="L5210" s="136"/>
      <c r="M5210" s="136"/>
      <c r="N5210" s="136"/>
    </row>
    <row r="5211" spans="6:14">
      <c r="F5211" s="136" t="s">
        <v>19660</v>
      </c>
      <c r="G5211" s="136">
        <v>6321678660</v>
      </c>
      <c r="H5211" s="136" t="s">
        <v>3265</v>
      </c>
      <c r="I5211" s="136" t="s">
        <v>3266</v>
      </c>
      <c r="J5211" s="136" t="s">
        <v>19661</v>
      </c>
      <c r="L5211" s="136"/>
      <c r="M5211" s="136"/>
      <c r="N5211" s="136"/>
    </row>
    <row r="5212" spans="6:14">
      <c r="F5212" s="136" t="s">
        <v>19662</v>
      </c>
      <c r="G5212" s="136">
        <v>5209</v>
      </c>
      <c r="H5212" s="136" t="s">
        <v>1936</v>
      </c>
      <c r="I5212" s="136" t="s">
        <v>1939</v>
      </c>
      <c r="J5212" s="136" t="s">
        <v>19663</v>
      </c>
      <c r="L5212" s="136"/>
      <c r="M5212" s="136"/>
      <c r="N5212" s="136"/>
    </row>
    <row r="5213" spans="6:14">
      <c r="F5213" s="136" t="s">
        <v>19664</v>
      </c>
      <c r="G5213" s="136">
        <v>5210</v>
      </c>
      <c r="H5213" s="136" t="s">
        <v>5578</v>
      </c>
      <c r="I5213" s="136" t="s">
        <v>5578</v>
      </c>
      <c r="J5213" s="136" t="s">
        <v>19665</v>
      </c>
      <c r="L5213" s="136"/>
      <c r="M5213" s="136"/>
      <c r="N5213" s="136"/>
    </row>
    <row r="5214" spans="6:14">
      <c r="F5214" s="136" t="s">
        <v>19666</v>
      </c>
      <c r="G5214" s="136">
        <v>37229558824</v>
      </c>
      <c r="H5214" s="136" t="s">
        <v>4383</v>
      </c>
      <c r="I5214" s="136" t="s">
        <v>4384</v>
      </c>
      <c r="J5214" s="136" t="s">
        <v>19667</v>
      </c>
      <c r="L5214" s="136"/>
      <c r="M5214" s="136"/>
      <c r="N5214" s="136"/>
    </row>
    <row r="5215" spans="6:14">
      <c r="F5215" s="136" t="s">
        <v>19668</v>
      </c>
      <c r="G5215" s="136">
        <v>8601387802</v>
      </c>
      <c r="H5215" s="136" t="s">
        <v>3673</v>
      </c>
      <c r="I5215" s="136" t="s">
        <v>3674</v>
      </c>
      <c r="J5215" s="136" t="s">
        <v>19669</v>
      </c>
      <c r="L5215" s="136"/>
      <c r="M5215" s="136"/>
      <c r="N5215" s="136"/>
    </row>
    <row r="5216" spans="6:14">
      <c r="F5216" s="136" t="s">
        <v>19670</v>
      </c>
      <c r="G5216" s="136">
        <v>4541531984</v>
      </c>
      <c r="H5216" s="136" t="s">
        <v>4204</v>
      </c>
      <c r="I5216" s="136" t="s">
        <v>4204</v>
      </c>
      <c r="J5216" s="136" t="s">
        <v>19671</v>
      </c>
      <c r="L5216" s="136"/>
      <c r="M5216" s="136"/>
      <c r="N5216" s="136"/>
    </row>
    <row r="5217" spans="6:14">
      <c r="F5217" s="136" t="s">
        <v>19672</v>
      </c>
      <c r="G5217" s="136">
        <v>79419364534</v>
      </c>
      <c r="H5217" s="136" t="s">
        <v>3795</v>
      </c>
      <c r="I5217" s="136" t="s">
        <v>3795</v>
      </c>
      <c r="J5217" s="136" t="s">
        <v>19673</v>
      </c>
      <c r="L5217" s="136"/>
      <c r="M5217" s="136"/>
      <c r="N5217" s="136"/>
    </row>
    <row r="5218" spans="6:14">
      <c r="F5218" s="136" t="s">
        <v>19674</v>
      </c>
      <c r="G5218" s="136">
        <v>56549520568</v>
      </c>
      <c r="H5218" s="136" t="s">
        <v>5392</v>
      </c>
      <c r="I5218" s="136" t="s">
        <v>5393</v>
      </c>
      <c r="J5218" s="136" t="s">
        <v>19675</v>
      </c>
      <c r="L5218" s="136"/>
      <c r="M5218" s="136"/>
      <c r="N5218" s="136"/>
    </row>
    <row r="5219" spans="6:14">
      <c r="F5219" s="136" t="s">
        <v>19676</v>
      </c>
      <c r="G5219" s="136">
        <v>24874571808</v>
      </c>
      <c r="H5219" s="136" t="s">
        <v>4056</v>
      </c>
      <c r="I5219" s="136" t="s">
        <v>4057</v>
      </c>
      <c r="J5219" s="136" t="s">
        <v>19677</v>
      </c>
      <c r="L5219" s="136"/>
      <c r="M5219" s="136"/>
      <c r="N5219" s="136"/>
    </row>
    <row r="5220" spans="6:14">
      <c r="F5220" s="136" t="s">
        <v>19678</v>
      </c>
      <c r="G5220" s="136">
        <v>5217</v>
      </c>
      <c r="H5220" s="136" t="s">
        <v>97</v>
      </c>
      <c r="I5220" s="136" t="s">
        <v>98</v>
      </c>
      <c r="J5220" s="136" t="s">
        <v>19679</v>
      </c>
      <c r="L5220" s="136"/>
      <c r="M5220" s="136"/>
      <c r="N5220" s="136"/>
    </row>
    <row r="5221" spans="6:14">
      <c r="F5221" s="136" t="s">
        <v>19680</v>
      </c>
      <c r="G5221" s="136">
        <v>5218</v>
      </c>
      <c r="H5221" s="136" t="s">
        <v>1169</v>
      </c>
      <c r="I5221" s="136" t="s">
        <v>1169</v>
      </c>
      <c r="J5221" s="136" t="s">
        <v>19681</v>
      </c>
      <c r="L5221" s="136"/>
      <c r="M5221" s="136"/>
      <c r="N5221" s="136"/>
    </row>
    <row r="5222" spans="6:14">
      <c r="F5222" s="136" t="s">
        <v>19682</v>
      </c>
      <c r="G5222" s="136">
        <v>5219</v>
      </c>
      <c r="H5222" s="136" t="s">
        <v>19683</v>
      </c>
      <c r="I5222" s="136" t="s">
        <v>19684</v>
      </c>
      <c r="J5222" s="136" t="s">
        <v>19685</v>
      </c>
      <c r="L5222" s="136"/>
      <c r="M5222" s="136"/>
      <c r="N5222" s="136"/>
    </row>
    <row r="5223" spans="6:14">
      <c r="F5223" s="136" t="s">
        <v>19686</v>
      </c>
      <c r="G5223" s="136">
        <v>9703408427</v>
      </c>
      <c r="H5223" s="136" t="s">
        <v>3338</v>
      </c>
      <c r="I5223" s="136" t="s">
        <v>3338</v>
      </c>
      <c r="J5223" s="136" t="s">
        <v>19687</v>
      </c>
      <c r="L5223" s="136"/>
      <c r="M5223" s="136"/>
      <c r="N5223" s="136"/>
    </row>
    <row r="5224" spans="6:14">
      <c r="F5224" s="136" t="s">
        <v>19688</v>
      </c>
      <c r="G5224" s="136">
        <v>19169941726</v>
      </c>
      <c r="H5224" s="136" t="s">
        <v>1959</v>
      </c>
      <c r="I5224" s="136" t="s">
        <v>1959</v>
      </c>
      <c r="J5224" s="136" t="s">
        <v>19689</v>
      </c>
      <c r="L5224" s="136"/>
      <c r="M5224" s="136"/>
      <c r="N5224" s="136"/>
    </row>
    <row r="5225" spans="6:14">
      <c r="F5225" s="136" t="s">
        <v>19690</v>
      </c>
      <c r="G5225" s="136">
        <v>14344940717</v>
      </c>
      <c r="H5225" s="136" t="s">
        <v>2428</v>
      </c>
      <c r="I5225" s="136" t="s">
        <v>2428</v>
      </c>
      <c r="J5225" s="136" t="s">
        <v>19691</v>
      </c>
      <c r="L5225" s="136"/>
      <c r="M5225" s="136"/>
      <c r="N5225" s="136"/>
    </row>
    <row r="5226" spans="6:14">
      <c r="F5226" s="136" t="s">
        <v>19692</v>
      </c>
      <c r="G5226" s="136">
        <v>16581310883</v>
      </c>
      <c r="H5226" s="136" t="s">
        <v>2100</v>
      </c>
      <c r="I5226" s="136" t="s">
        <v>2100</v>
      </c>
      <c r="J5226" s="136" t="s">
        <v>19693</v>
      </c>
      <c r="L5226" s="136"/>
      <c r="M5226" s="136"/>
      <c r="N5226" s="136"/>
    </row>
    <row r="5227" spans="6:14">
      <c r="F5227" s="136" t="s">
        <v>19694</v>
      </c>
      <c r="G5227" s="136">
        <v>34249878830</v>
      </c>
      <c r="H5227" s="136" t="s">
        <v>4106</v>
      </c>
      <c r="I5227" s="136" t="s">
        <v>4106</v>
      </c>
      <c r="J5227" s="136" t="s">
        <v>19695</v>
      </c>
      <c r="L5227" s="136"/>
      <c r="M5227" s="136"/>
      <c r="N5227" s="136"/>
    </row>
    <row r="5228" spans="6:14">
      <c r="F5228" s="136" t="s">
        <v>19696</v>
      </c>
      <c r="G5228" s="136">
        <v>5225</v>
      </c>
      <c r="H5228" s="136" t="s">
        <v>19697</v>
      </c>
      <c r="I5228" s="136" t="s">
        <v>19698</v>
      </c>
      <c r="J5228" s="136" t="s">
        <v>19699</v>
      </c>
      <c r="L5228" s="136"/>
      <c r="M5228" s="136"/>
      <c r="N5228" s="136"/>
    </row>
    <row r="5229" spans="6:14">
      <c r="F5229" s="136" t="s">
        <v>19700</v>
      </c>
      <c r="G5229" s="136">
        <v>5226</v>
      </c>
      <c r="H5229" s="136" t="s">
        <v>901</v>
      </c>
      <c r="I5229" s="136" t="s">
        <v>901</v>
      </c>
      <c r="J5229" s="136" t="s">
        <v>19701</v>
      </c>
      <c r="L5229" s="136"/>
      <c r="M5229" s="136"/>
      <c r="N5229" s="136"/>
    </row>
    <row r="5230" spans="6:14">
      <c r="F5230" s="136" t="s">
        <v>19702</v>
      </c>
      <c r="G5230" s="136">
        <v>3059310327</v>
      </c>
      <c r="H5230" s="136" t="s">
        <v>3183</v>
      </c>
      <c r="I5230" s="136" t="s">
        <v>3183</v>
      </c>
      <c r="J5230" s="136" t="s">
        <v>19703</v>
      </c>
      <c r="L5230" s="136"/>
      <c r="M5230" s="136"/>
      <c r="N5230" s="136"/>
    </row>
    <row r="5231" spans="6:14">
      <c r="F5231" s="136" t="s">
        <v>19704</v>
      </c>
      <c r="G5231" s="136">
        <v>5228</v>
      </c>
      <c r="H5231" s="136" t="s">
        <v>3953</v>
      </c>
      <c r="I5231" s="136" t="s">
        <v>3954</v>
      </c>
      <c r="J5231" s="136" t="s">
        <v>19705</v>
      </c>
      <c r="L5231" s="136"/>
      <c r="M5231" s="136"/>
      <c r="N5231" s="136"/>
    </row>
    <row r="5232" spans="6:14">
      <c r="F5232" s="136" t="s">
        <v>19706</v>
      </c>
      <c r="G5232" s="136">
        <v>15098281920</v>
      </c>
      <c r="H5232" s="136" t="s">
        <v>5778</v>
      </c>
      <c r="I5232" s="136" t="s">
        <v>5779</v>
      </c>
      <c r="J5232" s="136" t="s">
        <v>19707</v>
      </c>
      <c r="L5232" s="136"/>
      <c r="M5232" s="136"/>
      <c r="N5232" s="136"/>
    </row>
    <row r="5233" spans="6:14">
      <c r="F5233" s="136" t="s">
        <v>19708</v>
      </c>
      <c r="G5233" s="136">
        <v>5230</v>
      </c>
      <c r="H5233" s="136" t="s">
        <v>228</v>
      </c>
      <c r="I5233" s="136" t="s">
        <v>229</v>
      </c>
      <c r="J5233" s="136" t="s">
        <v>19709</v>
      </c>
      <c r="L5233" s="136"/>
      <c r="M5233" s="136"/>
      <c r="N5233" s="136"/>
    </row>
    <row r="5234" spans="6:14">
      <c r="F5234" s="136" t="s">
        <v>19710</v>
      </c>
      <c r="G5234" s="136">
        <v>5231</v>
      </c>
      <c r="H5234" s="136" t="s">
        <v>114</v>
      </c>
      <c r="I5234" s="136" t="s">
        <v>115</v>
      </c>
      <c r="J5234" s="136" t="s">
        <v>19711</v>
      </c>
      <c r="L5234" s="136"/>
      <c r="M5234" s="136"/>
      <c r="N5234" s="136"/>
    </row>
    <row r="5235" spans="6:14">
      <c r="F5235" s="136" t="s">
        <v>19712</v>
      </c>
      <c r="G5235" s="136">
        <v>5232</v>
      </c>
      <c r="H5235" s="136" t="s">
        <v>4658</v>
      </c>
      <c r="I5235" s="136" t="s">
        <v>4659</v>
      </c>
      <c r="J5235" s="136" t="s">
        <v>19713</v>
      </c>
      <c r="L5235" s="136"/>
      <c r="M5235" s="136"/>
      <c r="N5235" s="136"/>
    </row>
    <row r="5236" spans="6:14">
      <c r="F5236" s="136" t="s">
        <v>19714</v>
      </c>
      <c r="G5236" s="136">
        <v>11240956916</v>
      </c>
      <c r="H5236" s="136" t="s">
        <v>2268</v>
      </c>
      <c r="I5236" s="136" t="s">
        <v>2268</v>
      </c>
      <c r="J5236" s="136" t="s">
        <v>19715</v>
      </c>
      <c r="L5236" s="136"/>
      <c r="M5236" s="136"/>
      <c r="N5236" s="136"/>
    </row>
    <row r="5237" spans="6:14">
      <c r="F5237" s="136" t="s">
        <v>19716</v>
      </c>
      <c r="G5237" s="136">
        <v>5234</v>
      </c>
      <c r="H5237" s="136" t="s">
        <v>19717</v>
      </c>
      <c r="I5237" s="136" t="s">
        <v>19718</v>
      </c>
      <c r="J5237" s="136" t="s">
        <v>19719</v>
      </c>
      <c r="L5237" s="136"/>
      <c r="M5237" s="136"/>
      <c r="N5237" s="136"/>
    </row>
    <row r="5238" spans="6:14">
      <c r="F5238" s="136" t="s">
        <v>19720</v>
      </c>
      <c r="G5238" s="136">
        <v>5235</v>
      </c>
      <c r="H5238" s="136" t="s">
        <v>19721</v>
      </c>
      <c r="I5238" s="136" t="s">
        <v>19722</v>
      </c>
      <c r="J5238" s="136" t="s">
        <v>19723</v>
      </c>
      <c r="L5238" s="136"/>
      <c r="M5238" s="136"/>
      <c r="N5238" s="136"/>
    </row>
    <row r="5239" spans="6:14">
      <c r="F5239" s="136" t="s">
        <v>19724</v>
      </c>
      <c r="G5239" s="136">
        <v>5236</v>
      </c>
      <c r="H5239" s="136" t="s">
        <v>6136</v>
      </c>
      <c r="I5239" s="136" t="s">
        <v>6136</v>
      </c>
      <c r="J5239" s="136" t="s">
        <v>19725</v>
      </c>
      <c r="L5239" s="136"/>
      <c r="M5239" s="136"/>
      <c r="N5239" s="136"/>
    </row>
    <row r="5240" spans="6:14">
      <c r="F5240" s="136" t="s">
        <v>19726</v>
      </c>
      <c r="G5240" s="136">
        <v>5482230686</v>
      </c>
      <c r="H5240" s="136" t="s">
        <v>456</v>
      </c>
      <c r="I5240" s="136" t="s">
        <v>457</v>
      </c>
      <c r="J5240" s="136" t="s">
        <v>19727</v>
      </c>
      <c r="L5240" s="136"/>
      <c r="M5240" s="136"/>
      <c r="N5240" s="136"/>
    </row>
    <row r="5241" spans="6:14">
      <c r="F5241" s="136" t="s">
        <v>19728</v>
      </c>
      <c r="G5241" s="136">
        <v>7124567670</v>
      </c>
      <c r="H5241" s="136" t="s">
        <v>4630</v>
      </c>
      <c r="I5241" s="136" t="s">
        <v>4631</v>
      </c>
      <c r="J5241" s="136" t="s">
        <v>19729</v>
      </c>
      <c r="L5241" s="136"/>
      <c r="M5241" s="136"/>
      <c r="N5241" s="136"/>
    </row>
    <row r="5242" spans="6:14">
      <c r="F5242" s="136" t="s">
        <v>19730</v>
      </c>
      <c r="G5242" s="136">
        <v>86090753548</v>
      </c>
      <c r="H5242" s="136" t="s">
        <v>3835</v>
      </c>
      <c r="I5242" s="136" t="s">
        <v>3836</v>
      </c>
      <c r="J5242" s="136" t="s">
        <v>19731</v>
      </c>
      <c r="L5242" s="136"/>
      <c r="M5242" s="136"/>
      <c r="N5242" s="136"/>
    </row>
    <row r="5243" spans="6:14">
      <c r="F5243" s="136" t="s">
        <v>19732</v>
      </c>
      <c r="G5243" s="136">
        <v>8931889488</v>
      </c>
      <c r="H5243" s="136" t="s">
        <v>2269</v>
      </c>
      <c r="I5243" s="136" t="s">
        <v>2269</v>
      </c>
      <c r="J5243" s="136" t="s">
        <v>19733</v>
      </c>
      <c r="L5243" s="136"/>
      <c r="M5243" s="136"/>
      <c r="N5243" s="136"/>
    </row>
    <row r="5244" spans="6:14">
      <c r="F5244" s="136" t="s">
        <v>19734</v>
      </c>
      <c r="G5244" s="136">
        <v>73172022900</v>
      </c>
      <c r="H5244" s="136" t="s">
        <v>3699</v>
      </c>
      <c r="I5244" s="136" t="s">
        <v>3699</v>
      </c>
      <c r="J5244" s="136" t="s">
        <v>19735</v>
      </c>
      <c r="L5244" s="136"/>
      <c r="M5244" s="136"/>
      <c r="N5244" s="136"/>
    </row>
    <row r="5245" spans="6:14">
      <c r="F5245" s="136" t="s">
        <v>19736</v>
      </c>
      <c r="G5245" s="136">
        <v>5242</v>
      </c>
      <c r="H5245" s="136" t="s">
        <v>19737</v>
      </c>
      <c r="I5245" s="136" t="s">
        <v>19738</v>
      </c>
      <c r="J5245" s="136" t="s">
        <v>19739</v>
      </c>
      <c r="L5245" s="136"/>
      <c r="M5245" s="136"/>
      <c r="N5245" s="136"/>
    </row>
    <row r="5246" spans="6:14">
      <c r="F5246" s="136" t="s">
        <v>19740</v>
      </c>
      <c r="G5246" s="136">
        <v>5243</v>
      </c>
      <c r="H5246" s="136" t="s">
        <v>3283</v>
      </c>
      <c r="I5246" s="136" t="s">
        <v>3284</v>
      </c>
      <c r="J5246" s="136" t="s">
        <v>19741</v>
      </c>
      <c r="L5246" s="136"/>
      <c r="M5246" s="136"/>
      <c r="N5246" s="136"/>
    </row>
    <row r="5247" spans="6:14">
      <c r="F5247" s="136" t="s">
        <v>19742</v>
      </c>
      <c r="G5247" s="136">
        <v>24657183800</v>
      </c>
      <c r="H5247" s="136" t="s">
        <v>3567</v>
      </c>
      <c r="I5247" s="136" t="s">
        <v>3568</v>
      </c>
      <c r="J5247" s="136" t="s">
        <v>19743</v>
      </c>
      <c r="L5247" s="136"/>
      <c r="M5247" s="136"/>
      <c r="N5247" s="136"/>
    </row>
    <row r="5248" spans="6:14">
      <c r="F5248" s="136" t="s">
        <v>19744</v>
      </c>
      <c r="G5248" s="136">
        <v>30563180846</v>
      </c>
      <c r="H5248" s="136" t="s">
        <v>1496</v>
      </c>
      <c r="I5248" s="136" t="s">
        <v>1496</v>
      </c>
      <c r="J5248" s="136" t="s">
        <v>19745</v>
      </c>
      <c r="L5248" s="136"/>
      <c r="M5248" s="136"/>
      <c r="N5248" s="136"/>
    </row>
    <row r="5249" spans="6:14">
      <c r="F5249" s="136" t="s">
        <v>19746</v>
      </c>
      <c r="G5249" s="136">
        <v>5246</v>
      </c>
      <c r="H5249" s="136" t="s">
        <v>5672</v>
      </c>
      <c r="I5249" s="136" t="s">
        <v>5673</v>
      </c>
      <c r="J5249" s="136" t="s">
        <v>19747</v>
      </c>
      <c r="L5249" s="136"/>
      <c r="M5249" s="136"/>
      <c r="N5249" s="136"/>
    </row>
    <row r="5250" spans="6:14">
      <c r="F5250" s="136" t="s">
        <v>19748</v>
      </c>
      <c r="G5250" s="136">
        <v>5247</v>
      </c>
      <c r="H5250" s="136" t="s">
        <v>3988</v>
      </c>
      <c r="I5250" s="136" t="s">
        <v>3988</v>
      </c>
      <c r="J5250" s="136" t="s">
        <v>19749</v>
      </c>
      <c r="L5250" s="136"/>
      <c r="M5250" s="136"/>
      <c r="N5250" s="136"/>
    </row>
    <row r="5251" spans="6:14">
      <c r="F5251" s="136" t="s">
        <v>19750</v>
      </c>
      <c r="G5251" s="136">
        <v>17439336739</v>
      </c>
      <c r="H5251" s="136" t="s">
        <v>6030</v>
      </c>
      <c r="I5251" s="136" t="s">
        <v>6031</v>
      </c>
      <c r="J5251" s="136" t="s">
        <v>19751</v>
      </c>
      <c r="L5251" s="136"/>
      <c r="M5251" s="136"/>
      <c r="N5251" s="136"/>
    </row>
    <row r="5252" spans="6:14">
      <c r="F5252" s="136" t="s">
        <v>19752</v>
      </c>
      <c r="G5252" s="136">
        <v>85341916034</v>
      </c>
      <c r="H5252" s="136" t="s">
        <v>4122</v>
      </c>
      <c r="I5252" s="136" t="s">
        <v>4123</v>
      </c>
      <c r="J5252" s="136" t="s">
        <v>19753</v>
      </c>
      <c r="L5252" s="136"/>
      <c r="M5252" s="136"/>
      <c r="N5252" s="136"/>
    </row>
    <row r="5253" spans="6:14">
      <c r="F5253" s="136" t="s">
        <v>19754</v>
      </c>
      <c r="G5253" s="136">
        <v>1629375128</v>
      </c>
      <c r="H5253" s="136" t="s">
        <v>5664</v>
      </c>
      <c r="I5253" s="136" t="s">
        <v>5665</v>
      </c>
      <c r="J5253" s="136" t="s">
        <v>19755</v>
      </c>
      <c r="L5253" s="136"/>
      <c r="M5253" s="136"/>
      <c r="N5253" s="136"/>
    </row>
    <row r="5254" spans="6:14">
      <c r="F5254" s="136" t="s">
        <v>19756</v>
      </c>
      <c r="G5254" s="136">
        <v>7833839752</v>
      </c>
      <c r="H5254" s="136" t="s">
        <v>5360</v>
      </c>
      <c r="I5254" s="136" t="s">
        <v>5360</v>
      </c>
      <c r="J5254" s="136" t="s">
        <v>19757</v>
      </c>
      <c r="L5254" s="136"/>
      <c r="M5254" s="136"/>
      <c r="N5254" s="136"/>
    </row>
    <row r="5255" spans="6:14">
      <c r="F5255" s="136" t="s">
        <v>19758</v>
      </c>
      <c r="G5255" s="136">
        <v>5252</v>
      </c>
      <c r="H5255" s="136" t="s">
        <v>19759</v>
      </c>
      <c r="I5255" s="136" t="s">
        <v>19760</v>
      </c>
      <c r="J5255" s="136" t="s">
        <v>19761</v>
      </c>
      <c r="L5255" s="136"/>
      <c r="M5255" s="136"/>
      <c r="N5255" s="136"/>
    </row>
    <row r="5256" spans="6:14">
      <c r="F5256" s="136" t="s">
        <v>19762</v>
      </c>
      <c r="G5256" s="136">
        <v>5253</v>
      </c>
      <c r="H5256" s="136" t="s">
        <v>19763</v>
      </c>
      <c r="I5256" s="136" t="s">
        <v>19764</v>
      </c>
      <c r="J5256" s="136" t="s">
        <v>19765</v>
      </c>
      <c r="L5256" s="136"/>
      <c r="M5256" s="136"/>
      <c r="N5256" s="136"/>
    </row>
    <row r="5257" spans="6:14">
      <c r="F5257" s="136" t="s">
        <v>19766</v>
      </c>
      <c r="G5257" s="136">
        <v>5254</v>
      </c>
      <c r="H5257" s="136" t="s">
        <v>19767</v>
      </c>
      <c r="I5257" s="136" t="s">
        <v>19768</v>
      </c>
      <c r="J5257" s="136" t="s">
        <v>19769</v>
      </c>
      <c r="L5257" s="136"/>
      <c r="M5257" s="136"/>
      <c r="N5257" s="136"/>
    </row>
    <row r="5258" spans="6:14">
      <c r="F5258" s="136" t="s">
        <v>19770</v>
      </c>
      <c r="G5258" s="136">
        <v>1776511999</v>
      </c>
      <c r="H5258" s="136" t="s">
        <v>2073</v>
      </c>
      <c r="I5258" s="136" t="s">
        <v>2073</v>
      </c>
      <c r="J5258" s="136" t="s">
        <v>19771</v>
      </c>
      <c r="L5258" s="136"/>
      <c r="M5258" s="136"/>
      <c r="N5258" s="136"/>
    </row>
    <row r="5259" spans="6:14">
      <c r="F5259" s="136" t="s">
        <v>19772</v>
      </c>
      <c r="G5259" s="136">
        <v>5256</v>
      </c>
      <c r="H5259" s="136" t="s">
        <v>19773</v>
      </c>
      <c r="I5259" s="136" t="s">
        <v>19774</v>
      </c>
      <c r="J5259" s="136" t="s">
        <v>19775</v>
      </c>
      <c r="L5259" s="136"/>
      <c r="M5259" s="136"/>
      <c r="N5259" s="136"/>
    </row>
    <row r="5260" spans="6:14">
      <c r="F5260" s="136" t="s">
        <v>19776</v>
      </c>
      <c r="G5260" s="136">
        <v>5257</v>
      </c>
      <c r="H5260" s="136" t="s">
        <v>19777</v>
      </c>
      <c r="I5260" s="136" t="s">
        <v>19778</v>
      </c>
      <c r="J5260" s="136" t="s">
        <v>19779</v>
      </c>
      <c r="L5260" s="136"/>
      <c r="M5260" s="136"/>
      <c r="N5260" s="136"/>
    </row>
    <row r="5261" spans="6:14">
      <c r="F5261" s="136" t="s">
        <v>19780</v>
      </c>
      <c r="G5261" s="136">
        <v>5258</v>
      </c>
      <c r="H5261" s="136" t="s">
        <v>5606</v>
      </c>
      <c r="I5261" s="136" t="s">
        <v>5607</v>
      </c>
      <c r="J5261" s="136" t="s">
        <v>19781</v>
      </c>
      <c r="L5261" s="136"/>
      <c r="M5261" s="136"/>
      <c r="N5261" s="136"/>
    </row>
    <row r="5262" spans="6:14">
      <c r="F5262" s="136" t="s">
        <v>19782</v>
      </c>
      <c r="G5262" s="136">
        <v>5259</v>
      </c>
      <c r="H5262" s="136" t="s">
        <v>161</v>
      </c>
      <c r="I5262" s="136" t="s">
        <v>161</v>
      </c>
      <c r="J5262" s="136" t="s">
        <v>19783</v>
      </c>
      <c r="L5262" s="136"/>
      <c r="M5262" s="136"/>
      <c r="N5262" s="136"/>
    </row>
    <row r="5263" spans="6:14">
      <c r="F5263" s="136" t="s">
        <v>19784</v>
      </c>
      <c r="G5263" s="136">
        <v>4220224033</v>
      </c>
      <c r="H5263" s="136" t="s">
        <v>5082</v>
      </c>
      <c r="I5263" s="136" t="s">
        <v>5083</v>
      </c>
      <c r="J5263" s="136" t="s">
        <v>19785</v>
      </c>
      <c r="L5263" s="136"/>
      <c r="M5263" s="136"/>
      <c r="N5263" s="136"/>
    </row>
    <row r="5264" spans="6:14">
      <c r="F5264" s="136" t="s">
        <v>19786</v>
      </c>
      <c r="G5264" s="136">
        <v>83951652500</v>
      </c>
      <c r="H5264" s="136" t="s">
        <v>4641</v>
      </c>
      <c r="I5264" s="136" t="s">
        <v>4642</v>
      </c>
      <c r="J5264" s="136" t="s">
        <v>19787</v>
      </c>
      <c r="L5264" s="136"/>
      <c r="M5264" s="136"/>
      <c r="N5264" s="136"/>
    </row>
    <row r="5265" spans="6:14">
      <c r="F5265" s="136" t="s">
        <v>19788</v>
      </c>
      <c r="G5265" s="136">
        <v>46591848894</v>
      </c>
      <c r="H5265" s="136" t="s">
        <v>3652</v>
      </c>
      <c r="I5265" s="136" t="s">
        <v>3652</v>
      </c>
      <c r="J5265" s="136" t="s">
        <v>19789</v>
      </c>
      <c r="L5265" s="136"/>
      <c r="M5265" s="136"/>
      <c r="N5265" s="136"/>
    </row>
    <row r="5266" spans="6:14">
      <c r="F5266" s="136" t="s">
        <v>19790</v>
      </c>
      <c r="G5266" s="136">
        <v>11311125710</v>
      </c>
      <c r="H5266" s="136" t="s">
        <v>4594</v>
      </c>
      <c r="I5266" s="136" t="s">
        <v>4595</v>
      </c>
      <c r="J5266" s="136" t="s">
        <v>19791</v>
      </c>
      <c r="L5266" s="136"/>
      <c r="M5266" s="136"/>
      <c r="N5266" s="136"/>
    </row>
    <row r="5267" spans="6:14">
      <c r="F5267" s="136" t="s">
        <v>19792</v>
      </c>
      <c r="G5267" s="136">
        <v>17269043779</v>
      </c>
      <c r="H5267" s="136" t="s">
        <v>5800</v>
      </c>
      <c r="I5267" s="136" t="s">
        <v>5800</v>
      </c>
      <c r="J5267" s="136" t="s">
        <v>19793</v>
      </c>
      <c r="L5267" s="136"/>
      <c r="M5267" s="136"/>
      <c r="N5267" s="136"/>
    </row>
    <row r="5268" spans="6:14">
      <c r="F5268" s="136" t="s">
        <v>19794</v>
      </c>
      <c r="G5268" s="136">
        <v>2216217506</v>
      </c>
      <c r="H5268" s="136" t="s">
        <v>3069</v>
      </c>
      <c r="I5268" s="136" t="s">
        <v>3069</v>
      </c>
      <c r="J5268" s="136" t="s">
        <v>19795</v>
      </c>
      <c r="L5268" s="136"/>
      <c r="M5268" s="136"/>
      <c r="N5268" s="136"/>
    </row>
    <row r="5269" spans="6:14">
      <c r="F5269" s="136" t="s">
        <v>19796</v>
      </c>
      <c r="G5269" s="136">
        <v>1724145126</v>
      </c>
      <c r="H5269" s="136" t="s">
        <v>5436</v>
      </c>
      <c r="I5269" s="136" t="s">
        <v>5436</v>
      </c>
      <c r="J5269" s="136" t="s">
        <v>19797</v>
      </c>
      <c r="L5269" s="136"/>
      <c r="M5269" s="136"/>
      <c r="N5269" s="136"/>
    </row>
    <row r="5270" spans="6:14">
      <c r="F5270" s="136" t="s">
        <v>19798</v>
      </c>
      <c r="G5270" s="136">
        <v>2547668114</v>
      </c>
      <c r="H5270" s="136" t="s">
        <v>3744</v>
      </c>
      <c r="I5270" s="136" t="s">
        <v>3744</v>
      </c>
      <c r="J5270" s="136" t="s">
        <v>19799</v>
      </c>
      <c r="L5270" s="136"/>
      <c r="M5270" s="136"/>
      <c r="N5270" s="136"/>
    </row>
    <row r="5271" spans="6:14">
      <c r="F5271" s="136" t="s">
        <v>19800</v>
      </c>
      <c r="G5271" s="136">
        <v>15383763775</v>
      </c>
      <c r="H5271" s="136" t="s">
        <v>5361</v>
      </c>
      <c r="I5271" s="136" t="s">
        <v>5362</v>
      </c>
      <c r="J5271" s="136" t="s">
        <v>19801</v>
      </c>
      <c r="L5271" s="136"/>
      <c r="M5271" s="136"/>
      <c r="N5271" s="136"/>
    </row>
    <row r="5272" spans="6:14">
      <c r="F5272" s="136" t="s">
        <v>19802</v>
      </c>
      <c r="G5272" s="136">
        <v>5269</v>
      </c>
      <c r="H5272" s="136" t="s">
        <v>3122</v>
      </c>
      <c r="I5272" s="136" t="s">
        <v>3122</v>
      </c>
      <c r="J5272" s="136" t="s">
        <v>19803</v>
      </c>
      <c r="L5272" s="136"/>
      <c r="M5272" s="136"/>
      <c r="N5272" s="136"/>
    </row>
    <row r="5273" spans="6:14">
      <c r="F5273" s="136" t="s">
        <v>19804</v>
      </c>
      <c r="G5273" s="136">
        <v>5270</v>
      </c>
      <c r="H5273" s="136" t="s">
        <v>2990</v>
      </c>
      <c r="I5273" s="136" t="s">
        <v>2991</v>
      </c>
      <c r="J5273" s="136" t="s">
        <v>19805</v>
      </c>
      <c r="L5273" s="136"/>
      <c r="M5273" s="136"/>
      <c r="N5273" s="136"/>
    </row>
    <row r="5274" spans="6:14">
      <c r="F5274" s="136" t="s">
        <v>19806</v>
      </c>
      <c r="G5274" s="136">
        <v>6259003919</v>
      </c>
      <c r="H5274" s="136" t="s">
        <v>2187</v>
      </c>
      <c r="I5274" s="136" t="s">
        <v>2187</v>
      </c>
      <c r="J5274" s="136" t="s">
        <v>19807</v>
      </c>
      <c r="L5274" s="136"/>
      <c r="M5274" s="136"/>
      <c r="N5274" s="136"/>
    </row>
    <row r="5275" spans="6:14">
      <c r="F5275" s="136" t="s">
        <v>19808</v>
      </c>
      <c r="G5275" s="136">
        <v>3972972032</v>
      </c>
      <c r="H5275" s="136" t="s">
        <v>2453</v>
      </c>
      <c r="I5275" s="136" t="s">
        <v>2454</v>
      </c>
      <c r="J5275" s="136" t="s">
        <v>19809</v>
      </c>
      <c r="L5275" s="136"/>
      <c r="M5275" s="136"/>
      <c r="N5275" s="136"/>
    </row>
    <row r="5276" spans="6:14">
      <c r="F5276" s="136" t="s">
        <v>19810</v>
      </c>
      <c r="G5276" s="136">
        <v>8489741905</v>
      </c>
      <c r="H5276" s="136" t="s">
        <v>4274</v>
      </c>
      <c r="I5276" s="136" t="s">
        <v>4275</v>
      </c>
      <c r="J5276" s="136" t="s">
        <v>19811</v>
      </c>
      <c r="L5276" s="136"/>
      <c r="M5276" s="136"/>
      <c r="N5276" s="136"/>
    </row>
    <row r="5277" spans="6:14">
      <c r="F5277" s="136" t="s">
        <v>19812</v>
      </c>
      <c r="G5277" s="136">
        <v>5274</v>
      </c>
      <c r="H5277" s="136" t="s">
        <v>19813</v>
      </c>
      <c r="I5277" s="136" t="s">
        <v>19813</v>
      </c>
      <c r="J5277" s="136" t="s">
        <v>19814</v>
      </c>
      <c r="L5277" s="136"/>
      <c r="M5277" s="136"/>
      <c r="N5277" s="136"/>
    </row>
    <row r="5278" spans="6:14">
      <c r="F5278" s="136" t="s">
        <v>19815</v>
      </c>
      <c r="G5278" s="136">
        <v>3617367461</v>
      </c>
      <c r="H5278" s="136" t="s">
        <v>3160</v>
      </c>
      <c r="I5278" s="136" t="s">
        <v>3160</v>
      </c>
      <c r="J5278" s="136" t="s">
        <v>19816</v>
      </c>
      <c r="L5278" s="136"/>
      <c r="M5278" s="136"/>
      <c r="N5278" s="136"/>
    </row>
    <row r="5279" spans="6:14">
      <c r="F5279" s="136" t="s">
        <v>19817</v>
      </c>
      <c r="G5279" s="136">
        <v>5276</v>
      </c>
      <c r="H5279" s="136" t="s">
        <v>3598</v>
      </c>
      <c r="I5279" s="136" t="s">
        <v>3598</v>
      </c>
      <c r="J5279" s="136" t="s">
        <v>19818</v>
      </c>
      <c r="L5279" s="136"/>
      <c r="M5279" s="136"/>
      <c r="N5279" s="136"/>
    </row>
    <row r="5280" spans="6:14">
      <c r="F5280" s="136" t="s">
        <v>19819</v>
      </c>
      <c r="G5280" s="136">
        <v>5277</v>
      </c>
      <c r="H5280" s="136" t="s">
        <v>3832</v>
      </c>
      <c r="I5280" s="136" t="s">
        <v>3832</v>
      </c>
      <c r="J5280" s="136" t="s">
        <v>19820</v>
      </c>
      <c r="L5280" s="136"/>
      <c r="M5280" s="136"/>
      <c r="N5280" s="136"/>
    </row>
    <row r="5281" spans="6:14">
      <c r="F5281" s="136" t="s">
        <v>19821</v>
      </c>
      <c r="G5281" s="136">
        <v>5278</v>
      </c>
      <c r="H5281" s="136" t="s">
        <v>1483</v>
      </c>
      <c r="I5281" s="136" t="s">
        <v>1483</v>
      </c>
      <c r="J5281" s="136" t="s">
        <v>19822</v>
      </c>
      <c r="L5281" s="136"/>
      <c r="M5281" s="136"/>
      <c r="N5281" s="136"/>
    </row>
    <row r="5282" spans="6:14">
      <c r="F5282" s="136" t="s">
        <v>19823</v>
      </c>
      <c r="G5282" s="136">
        <v>5279</v>
      </c>
      <c r="H5282" s="136" t="s">
        <v>967</v>
      </c>
      <c r="I5282" s="136" t="s">
        <v>968</v>
      </c>
      <c r="J5282" s="136" t="s">
        <v>19824</v>
      </c>
      <c r="L5282" s="136"/>
      <c r="M5282" s="136"/>
      <c r="N5282" s="136"/>
    </row>
    <row r="5283" spans="6:14">
      <c r="F5283" s="136" t="s">
        <v>19825</v>
      </c>
      <c r="G5283" s="136">
        <v>5280</v>
      </c>
      <c r="H5283" s="136" t="s">
        <v>206</v>
      </c>
      <c r="I5283" s="136" t="s">
        <v>207</v>
      </c>
      <c r="J5283" s="136" t="s">
        <v>19826</v>
      </c>
      <c r="L5283" s="136"/>
      <c r="M5283" s="136"/>
      <c r="N5283" s="136"/>
    </row>
    <row r="5284" spans="6:14">
      <c r="F5284" s="136" t="s">
        <v>19827</v>
      </c>
      <c r="G5284" s="136">
        <v>5281</v>
      </c>
      <c r="H5284" s="136" t="s">
        <v>978</v>
      </c>
      <c r="I5284" s="136" t="s">
        <v>978</v>
      </c>
      <c r="J5284" s="136" t="s">
        <v>19828</v>
      </c>
      <c r="L5284" s="136"/>
      <c r="M5284" s="136"/>
      <c r="N5284" s="136"/>
    </row>
    <row r="5285" spans="6:14">
      <c r="F5285" s="136" t="s">
        <v>19829</v>
      </c>
      <c r="G5285" s="136">
        <v>5282</v>
      </c>
      <c r="H5285" s="136" t="s">
        <v>4276</v>
      </c>
      <c r="I5285" s="136" t="s">
        <v>4277</v>
      </c>
      <c r="J5285" s="136" t="s">
        <v>19830</v>
      </c>
      <c r="L5285" s="136"/>
      <c r="M5285" s="136"/>
      <c r="N5285" s="136"/>
    </row>
    <row r="5286" spans="6:14">
      <c r="F5286" s="136" t="s">
        <v>19831</v>
      </c>
      <c r="G5286" s="136">
        <v>5283</v>
      </c>
      <c r="H5286" s="136" t="s">
        <v>4852</v>
      </c>
      <c r="I5286" s="136" t="s">
        <v>4853</v>
      </c>
      <c r="J5286" s="136" t="s">
        <v>19832</v>
      </c>
      <c r="L5286" s="136"/>
      <c r="M5286" s="136"/>
      <c r="N5286" s="136"/>
    </row>
    <row r="5287" spans="6:14">
      <c r="F5287" s="136" t="s">
        <v>19833</v>
      </c>
      <c r="G5287" s="136">
        <v>11940688710</v>
      </c>
      <c r="H5287" s="136" t="s">
        <v>4026</v>
      </c>
      <c r="I5287" s="136" t="s">
        <v>4027</v>
      </c>
      <c r="J5287" s="136" t="s">
        <v>19834</v>
      </c>
      <c r="L5287" s="136"/>
      <c r="M5287" s="136"/>
      <c r="N5287" s="136"/>
    </row>
    <row r="5288" spans="6:14">
      <c r="F5288" s="136" t="s">
        <v>19835</v>
      </c>
      <c r="G5288" s="136">
        <v>41593158874</v>
      </c>
      <c r="H5288" s="136" t="s">
        <v>2352</v>
      </c>
      <c r="I5288" s="136" t="s">
        <v>2352</v>
      </c>
      <c r="J5288" s="136" t="s">
        <v>19836</v>
      </c>
      <c r="L5288" s="136"/>
      <c r="M5288" s="136"/>
      <c r="N5288" s="136"/>
    </row>
    <row r="5289" spans="6:14">
      <c r="F5289" s="136" t="s">
        <v>19837</v>
      </c>
      <c r="G5289" s="136">
        <v>5286</v>
      </c>
      <c r="H5289" s="136" t="s">
        <v>2316</v>
      </c>
      <c r="I5289" s="136" t="s">
        <v>2317</v>
      </c>
      <c r="J5289" s="136" t="s">
        <v>19838</v>
      </c>
      <c r="L5289" s="136"/>
      <c r="M5289" s="136"/>
      <c r="N5289" s="136"/>
    </row>
    <row r="5290" spans="6:14">
      <c r="F5290" s="136" t="s">
        <v>19839</v>
      </c>
      <c r="G5290" s="136">
        <v>5287</v>
      </c>
      <c r="H5290" s="136" t="s">
        <v>19840</v>
      </c>
      <c r="I5290" s="136" t="s">
        <v>19840</v>
      </c>
      <c r="J5290" s="136" t="s">
        <v>19841</v>
      </c>
      <c r="L5290" s="136"/>
      <c r="M5290" s="136"/>
      <c r="N5290" s="136"/>
    </row>
    <row r="5291" spans="6:14">
      <c r="F5291" s="136" t="s">
        <v>19842</v>
      </c>
      <c r="G5291" s="136">
        <v>69976783</v>
      </c>
      <c r="H5291" s="136" t="s">
        <v>5297</v>
      </c>
      <c r="I5291" s="136" t="s">
        <v>5297</v>
      </c>
      <c r="J5291" s="136" t="s">
        <v>19843</v>
      </c>
      <c r="L5291" s="136"/>
      <c r="M5291" s="136"/>
      <c r="N5291" s="136"/>
    </row>
    <row r="5292" spans="6:14">
      <c r="F5292" s="136" t="s">
        <v>19844</v>
      </c>
      <c r="G5292" s="136">
        <v>5289</v>
      </c>
      <c r="H5292" s="136" t="s">
        <v>19845</v>
      </c>
      <c r="I5292" s="136" t="s">
        <v>19845</v>
      </c>
      <c r="J5292" s="136" t="s">
        <v>19846</v>
      </c>
      <c r="L5292" s="136"/>
      <c r="M5292" s="136"/>
      <c r="N5292" s="136"/>
    </row>
    <row r="5293" spans="6:14">
      <c r="F5293" s="136" t="s">
        <v>19847</v>
      </c>
      <c r="G5293" s="136">
        <v>9580893969</v>
      </c>
      <c r="H5293" s="136" t="s">
        <v>4352</v>
      </c>
      <c r="I5293" s="136" t="s">
        <v>4352</v>
      </c>
      <c r="J5293" s="136" t="s">
        <v>19848</v>
      </c>
      <c r="L5293" s="136"/>
      <c r="M5293" s="136"/>
      <c r="N5293" s="136"/>
    </row>
    <row r="5294" spans="6:14">
      <c r="F5294" s="136" t="s">
        <v>19849</v>
      </c>
      <c r="G5294" s="136">
        <v>93326513372</v>
      </c>
      <c r="H5294" s="136" t="s">
        <v>19850</v>
      </c>
      <c r="I5294" s="136" t="s">
        <v>19851</v>
      </c>
      <c r="J5294" s="136" t="s">
        <v>19852</v>
      </c>
      <c r="L5294" s="136"/>
      <c r="M5294" s="136"/>
      <c r="N5294" s="136"/>
    </row>
    <row r="5295" spans="6:14">
      <c r="F5295" s="136" t="s">
        <v>19853</v>
      </c>
      <c r="G5295" s="136">
        <v>5292</v>
      </c>
      <c r="H5295" s="136" t="s">
        <v>19854</v>
      </c>
      <c r="I5295" s="136" t="s">
        <v>19855</v>
      </c>
      <c r="J5295" s="136" t="s">
        <v>19856</v>
      </c>
      <c r="L5295" s="136"/>
      <c r="M5295" s="136"/>
      <c r="N5295" s="136"/>
    </row>
    <row r="5296" spans="6:14">
      <c r="F5296" s="136" t="s">
        <v>19857</v>
      </c>
      <c r="G5296" s="136">
        <v>80511945515</v>
      </c>
      <c r="H5296" s="136" t="s">
        <v>19858</v>
      </c>
      <c r="I5296" s="136" t="s">
        <v>19859</v>
      </c>
      <c r="J5296" s="136" t="s">
        <v>19860</v>
      </c>
      <c r="L5296" s="136"/>
      <c r="M5296" s="136"/>
      <c r="N5296" s="136"/>
    </row>
    <row r="5297" spans="6:14">
      <c r="F5297" s="136" t="s">
        <v>19861</v>
      </c>
      <c r="G5297" s="136">
        <v>5294</v>
      </c>
      <c r="H5297" s="136" t="s">
        <v>19862</v>
      </c>
      <c r="I5297" s="136" t="s">
        <v>19863</v>
      </c>
      <c r="J5297" s="136" t="s">
        <v>19864</v>
      </c>
      <c r="L5297" s="136"/>
      <c r="M5297" s="136"/>
      <c r="N5297" s="136"/>
    </row>
    <row r="5298" spans="6:14">
      <c r="F5298" s="136" t="s">
        <v>19865</v>
      </c>
      <c r="G5298" s="136">
        <v>5295</v>
      </c>
      <c r="H5298" s="136" t="s">
        <v>19866</v>
      </c>
      <c r="I5298" s="136" t="s">
        <v>19866</v>
      </c>
      <c r="J5298" s="136" t="s">
        <v>19867</v>
      </c>
      <c r="L5298" s="136"/>
      <c r="M5298" s="136"/>
      <c r="N5298" s="136"/>
    </row>
    <row r="5299" spans="6:14">
      <c r="F5299" s="136" t="s">
        <v>19868</v>
      </c>
      <c r="G5299" s="136">
        <v>5296</v>
      </c>
      <c r="H5299" s="136" t="s">
        <v>19869</v>
      </c>
      <c r="I5299" s="136" t="s">
        <v>2690</v>
      </c>
      <c r="J5299" s="136" t="s">
        <v>19870</v>
      </c>
      <c r="L5299" s="136"/>
      <c r="M5299" s="136"/>
      <c r="N5299" s="136"/>
    </row>
    <row r="5300" spans="6:14">
      <c r="F5300" s="136" t="s">
        <v>19871</v>
      </c>
      <c r="G5300" s="136">
        <v>5297</v>
      </c>
      <c r="H5300" s="136" t="s">
        <v>19872</v>
      </c>
      <c r="I5300" s="136" t="s">
        <v>19872</v>
      </c>
      <c r="J5300" s="136" t="s">
        <v>19873</v>
      </c>
      <c r="L5300" s="136"/>
      <c r="M5300" s="136"/>
      <c r="N5300" s="136"/>
    </row>
    <row r="5301" spans="6:14">
      <c r="F5301" s="136" t="s">
        <v>19874</v>
      </c>
      <c r="G5301" s="136">
        <v>5298</v>
      </c>
      <c r="H5301" s="136" t="s">
        <v>19875</v>
      </c>
      <c r="I5301" s="136" t="s">
        <v>19875</v>
      </c>
      <c r="J5301" s="136" t="s">
        <v>19876</v>
      </c>
      <c r="L5301" s="136"/>
      <c r="M5301" s="136"/>
      <c r="N5301" s="136"/>
    </row>
    <row r="5302" spans="6:14">
      <c r="F5302" s="136" t="s">
        <v>19877</v>
      </c>
      <c r="G5302" s="136">
        <v>16419465710</v>
      </c>
      <c r="H5302" s="136" t="s">
        <v>19878</v>
      </c>
      <c r="I5302" s="136" t="s">
        <v>19878</v>
      </c>
      <c r="J5302" s="136" t="s">
        <v>19879</v>
      </c>
      <c r="L5302" s="136"/>
      <c r="M5302" s="136"/>
      <c r="N5302" s="136"/>
    </row>
    <row r="5303" spans="6:14">
      <c r="F5303" s="136" t="s">
        <v>19880</v>
      </c>
      <c r="G5303" s="136">
        <v>12419040732</v>
      </c>
      <c r="H5303" s="136" t="s">
        <v>19881</v>
      </c>
      <c r="I5303" s="136" t="s">
        <v>19881</v>
      </c>
      <c r="J5303" s="136" t="s">
        <v>19882</v>
      </c>
      <c r="L5303" s="136"/>
      <c r="M5303" s="136"/>
      <c r="N5303" s="136"/>
    </row>
    <row r="5304" spans="6:14">
      <c r="F5304" s="136" t="s">
        <v>19883</v>
      </c>
      <c r="G5304" s="136">
        <v>89928148791</v>
      </c>
      <c r="H5304" s="136" t="s">
        <v>19884</v>
      </c>
      <c r="I5304" s="136" t="s">
        <v>19884</v>
      </c>
      <c r="J5304" s="136" t="s">
        <v>19885</v>
      </c>
      <c r="L5304" s="136"/>
      <c r="M5304" s="136"/>
      <c r="N5304" s="136"/>
    </row>
    <row r="5305" spans="6:14">
      <c r="F5305" s="136" t="s">
        <v>19886</v>
      </c>
      <c r="G5305" s="136">
        <v>5302</v>
      </c>
      <c r="H5305" s="136" t="s">
        <v>19887</v>
      </c>
      <c r="I5305" s="136" t="s">
        <v>19888</v>
      </c>
      <c r="J5305" s="136" t="s">
        <v>19889</v>
      </c>
      <c r="L5305" s="136"/>
      <c r="M5305" s="136"/>
      <c r="N5305" s="136"/>
    </row>
    <row r="5306" spans="6:14">
      <c r="F5306" s="136" t="s">
        <v>19890</v>
      </c>
      <c r="G5306" s="136">
        <v>5303</v>
      </c>
      <c r="H5306" s="136" t="s">
        <v>19891</v>
      </c>
      <c r="I5306" s="136" t="s">
        <v>19892</v>
      </c>
      <c r="J5306" s="136" t="s">
        <v>19893</v>
      </c>
      <c r="L5306" s="136"/>
      <c r="M5306" s="136"/>
      <c r="N5306" s="136"/>
    </row>
    <row r="5307" spans="6:14">
      <c r="F5307" s="136" t="s">
        <v>19894</v>
      </c>
      <c r="G5307" s="136">
        <v>5304</v>
      </c>
      <c r="H5307" s="136" t="s">
        <v>19895</v>
      </c>
      <c r="I5307" s="136" t="s">
        <v>19896</v>
      </c>
      <c r="J5307" s="136" t="s">
        <v>19897</v>
      </c>
      <c r="L5307" s="136"/>
      <c r="M5307" s="136"/>
      <c r="N5307" s="136"/>
    </row>
    <row r="5308" spans="6:14">
      <c r="F5308" s="136" t="s">
        <v>19898</v>
      </c>
      <c r="G5308" s="136">
        <v>10494045728</v>
      </c>
      <c r="H5308" s="136" t="s">
        <v>19899</v>
      </c>
      <c r="I5308" s="136" t="s">
        <v>19899</v>
      </c>
      <c r="J5308" s="136" t="s">
        <v>19900</v>
      </c>
      <c r="L5308" s="136"/>
      <c r="M5308" s="136"/>
      <c r="N5308" s="136"/>
    </row>
    <row r="5309" spans="6:14">
      <c r="F5309" s="136" t="s">
        <v>19901</v>
      </c>
      <c r="G5309" s="136">
        <v>36736022843</v>
      </c>
      <c r="H5309" s="136" t="s">
        <v>19902</v>
      </c>
      <c r="I5309" s="136" t="s">
        <v>19902</v>
      </c>
      <c r="J5309" s="136" t="s">
        <v>19903</v>
      </c>
      <c r="L5309" s="136"/>
      <c r="M5309" s="136"/>
      <c r="N5309" s="136"/>
    </row>
    <row r="5310" spans="6:14">
      <c r="F5310" s="136" t="s">
        <v>19904</v>
      </c>
      <c r="G5310" s="136">
        <v>5307</v>
      </c>
      <c r="H5310" s="136" t="s">
        <v>19905</v>
      </c>
      <c r="I5310" s="136" t="s">
        <v>19906</v>
      </c>
      <c r="J5310" s="136" t="s">
        <v>19907</v>
      </c>
      <c r="L5310" s="136"/>
      <c r="M5310" s="136"/>
      <c r="N5310" s="136"/>
    </row>
    <row r="5311" spans="6:14">
      <c r="F5311" s="136" t="s">
        <v>19908</v>
      </c>
      <c r="G5311" s="136">
        <v>5308</v>
      </c>
      <c r="H5311" s="136" t="s">
        <v>19909</v>
      </c>
      <c r="I5311" s="136" t="s">
        <v>19910</v>
      </c>
      <c r="J5311" s="136" t="s">
        <v>19911</v>
      </c>
      <c r="L5311" s="136"/>
      <c r="M5311" s="136"/>
      <c r="N5311" s="136"/>
    </row>
    <row r="5312" spans="6:14">
      <c r="F5312" s="136" t="s">
        <v>19912</v>
      </c>
      <c r="G5312" s="136">
        <v>11440616795</v>
      </c>
      <c r="H5312" s="136" t="s">
        <v>19913</v>
      </c>
      <c r="I5312" s="136" t="s">
        <v>19914</v>
      </c>
      <c r="J5312" s="136" t="s">
        <v>19915</v>
      </c>
      <c r="L5312" s="136"/>
      <c r="M5312" s="136"/>
      <c r="N5312" s="136"/>
    </row>
    <row r="5313" spans="6:14">
      <c r="F5313" s="136" t="s">
        <v>19916</v>
      </c>
      <c r="G5313" s="136">
        <v>2835301038</v>
      </c>
      <c r="H5313" s="136" t="s">
        <v>19917</v>
      </c>
      <c r="I5313" s="136" t="s">
        <v>19917</v>
      </c>
      <c r="J5313" s="136" t="s">
        <v>19918</v>
      </c>
      <c r="L5313" s="136"/>
      <c r="M5313" s="136"/>
      <c r="N5313" s="136"/>
    </row>
    <row r="5314" spans="6:14">
      <c r="F5314" s="136" t="s">
        <v>19919</v>
      </c>
      <c r="G5314" s="136">
        <v>9586647730</v>
      </c>
      <c r="H5314" s="136" t="s">
        <v>19920</v>
      </c>
      <c r="I5314" s="136" t="s">
        <v>19920</v>
      </c>
      <c r="J5314" s="136" t="s">
        <v>19921</v>
      </c>
      <c r="L5314" s="136"/>
      <c r="M5314" s="136"/>
      <c r="N5314" s="136"/>
    </row>
    <row r="5315" spans="6:14">
      <c r="F5315" s="136" t="s">
        <v>19922</v>
      </c>
      <c r="G5315" s="136">
        <v>5312</v>
      </c>
      <c r="H5315" s="136" t="s">
        <v>19862</v>
      </c>
      <c r="I5315" s="136" t="s">
        <v>19863</v>
      </c>
      <c r="J5315" s="136" t="s">
        <v>19923</v>
      </c>
      <c r="L5315" s="136"/>
      <c r="M5315" s="136"/>
      <c r="N5315" s="136"/>
    </row>
    <row r="5316" spans="6:14">
      <c r="F5316" s="136" t="s">
        <v>19924</v>
      </c>
      <c r="G5316" s="136">
        <v>5313</v>
      </c>
      <c r="H5316" s="136" t="s">
        <v>19925</v>
      </c>
      <c r="I5316" s="136" t="s">
        <v>19926</v>
      </c>
      <c r="J5316" s="136" t="s">
        <v>19927</v>
      </c>
      <c r="L5316" s="136"/>
      <c r="M5316" s="136"/>
      <c r="N5316" s="136"/>
    </row>
    <row r="5317" spans="6:14">
      <c r="F5317" s="136" t="s">
        <v>19928</v>
      </c>
      <c r="G5317" s="136">
        <v>35687831851</v>
      </c>
      <c r="H5317" s="136" t="s">
        <v>19929</v>
      </c>
      <c r="I5317" s="136" t="s">
        <v>19929</v>
      </c>
      <c r="J5317" s="136" t="s">
        <v>19930</v>
      </c>
      <c r="L5317" s="136"/>
      <c r="M5317" s="136"/>
      <c r="N5317" s="136"/>
    </row>
    <row r="5318" spans="6:14">
      <c r="F5318" s="136" t="s">
        <v>19931</v>
      </c>
      <c r="G5318" s="136">
        <v>4606225521</v>
      </c>
      <c r="H5318" s="136" t="s">
        <v>19932</v>
      </c>
      <c r="I5318" s="136" t="s">
        <v>19932</v>
      </c>
      <c r="J5318" s="136" t="s">
        <v>19933</v>
      </c>
      <c r="L5318" s="136"/>
      <c r="M5318" s="136"/>
      <c r="N5318" s="136"/>
    </row>
    <row r="5319" spans="6:14">
      <c r="F5319" s="136" t="s">
        <v>19934</v>
      </c>
      <c r="G5319" s="136">
        <v>5316</v>
      </c>
      <c r="H5319" s="136" t="s">
        <v>19935</v>
      </c>
      <c r="I5319" s="136" t="s">
        <v>19936</v>
      </c>
      <c r="J5319" s="136" t="s">
        <v>19937</v>
      </c>
      <c r="L5319" s="136"/>
      <c r="M5319" s="136"/>
      <c r="N5319" s="136"/>
    </row>
    <row r="5320" spans="6:14">
      <c r="F5320" s="136" t="s">
        <v>19938</v>
      </c>
      <c r="G5320" s="136">
        <v>30837972817</v>
      </c>
      <c r="H5320" s="136" t="s">
        <v>19939</v>
      </c>
      <c r="I5320" s="136" t="s">
        <v>19939</v>
      </c>
      <c r="J5320" s="136" t="s">
        <v>19940</v>
      </c>
      <c r="L5320" s="136"/>
      <c r="M5320" s="136"/>
      <c r="N5320" s="136"/>
    </row>
    <row r="5321" spans="6:14">
      <c r="F5321" s="136" t="s">
        <v>19941</v>
      </c>
      <c r="G5321" s="136">
        <v>138075522</v>
      </c>
      <c r="H5321" s="136" t="s">
        <v>19942</v>
      </c>
      <c r="I5321" s="136" t="s">
        <v>19942</v>
      </c>
      <c r="J5321" s="136" t="s">
        <v>19943</v>
      </c>
      <c r="L5321" s="136"/>
      <c r="M5321" s="136"/>
      <c r="N5321" s="136"/>
    </row>
    <row r="5322" spans="6:14">
      <c r="F5322" s="136" t="s">
        <v>19944</v>
      </c>
      <c r="G5322" s="136">
        <v>5319</v>
      </c>
      <c r="H5322" s="136" t="s">
        <v>19945</v>
      </c>
      <c r="I5322" s="136" t="s">
        <v>19946</v>
      </c>
      <c r="J5322" s="136" t="s">
        <v>19947</v>
      </c>
      <c r="L5322" s="136"/>
      <c r="M5322" s="136"/>
      <c r="N5322" s="136"/>
    </row>
    <row r="5323" spans="6:14">
      <c r="F5323" s="136" t="s">
        <v>19948</v>
      </c>
      <c r="G5323" s="136">
        <v>5320</v>
      </c>
      <c r="H5323" s="136" t="s">
        <v>19949</v>
      </c>
      <c r="I5323" s="136" t="s">
        <v>19949</v>
      </c>
      <c r="J5323" s="136" t="s">
        <v>19950</v>
      </c>
      <c r="L5323" s="136"/>
      <c r="M5323" s="136"/>
      <c r="N5323" s="136"/>
    </row>
    <row r="5324" spans="6:14">
      <c r="F5324" s="136" t="s">
        <v>19951</v>
      </c>
      <c r="G5324" s="136">
        <v>5321</v>
      </c>
      <c r="H5324" s="136" t="s">
        <v>19952</v>
      </c>
      <c r="I5324" s="136" t="s">
        <v>19953</v>
      </c>
      <c r="J5324" s="136" t="s">
        <v>19954</v>
      </c>
      <c r="L5324" s="136"/>
      <c r="M5324" s="136"/>
      <c r="N5324" s="136"/>
    </row>
    <row r="5325" spans="6:14">
      <c r="F5325" s="136" t="s">
        <v>19955</v>
      </c>
      <c r="G5325" s="136">
        <v>1644710811</v>
      </c>
      <c r="H5325" s="136" t="s">
        <v>19956</v>
      </c>
      <c r="I5325" s="136" t="s">
        <v>19956</v>
      </c>
      <c r="J5325" s="136" t="s">
        <v>19957</v>
      </c>
      <c r="L5325" s="136"/>
      <c r="M5325" s="136"/>
      <c r="N5325" s="136"/>
    </row>
    <row r="5326" spans="6:14">
      <c r="F5326" s="136" t="s">
        <v>19958</v>
      </c>
      <c r="G5326" s="136">
        <v>5323</v>
      </c>
      <c r="H5326" s="136" t="s">
        <v>19959</v>
      </c>
      <c r="I5326" s="136" t="s">
        <v>19960</v>
      </c>
      <c r="J5326" s="136" t="s">
        <v>19961</v>
      </c>
      <c r="L5326" s="136"/>
      <c r="M5326" s="136"/>
      <c r="N5326" s="136"/>
    </row>
    <row r="5327" spans="6:14">
      <c r="F5327" s="136" t="s">
        <v>19962</v>
      </c>
      <c r="G5327" s="136">
        <v>5324</v>
      </c>
      <c r="H5327" s="136" t="s">
        <v>19963</v>
      </c>
      <c r="I5327" s="136" t="s">
        <v>19963</v>
      </c>
      <c r="J5327" s="136" t="s">
        <v>19964</v>
      </c>
      <c r="L5327" s="136"/>
      <c r="M5327" s="136"/>
      <c r="N5327" s="136"/>
    </row>
    <row r="5328" spans="6:14">
      <c r="F5328" s="136" t="s">
        <v>19965</v>
      </c>
      <c r="G5328" s="136">
        <v>5325</v>
      </c>
      <c r="H5328" s="136" t="s">
        <v>19966</v>
      </c>
      <c r="I5328" s="136" t="s">
        <v>19967</v>
      </c>
      <c r="J5328" s="136" t="s">
        <v>19968</v>
      </c>
      <c r="L5328" s="136"/>
      <c r="M5328" s="136"/>
      <c r="N5328" s="136"/>
    </row>
    <row r="5329" spans="6:14">
      <c r="F5329" s="136" t="s">
        <v>19969</v>
      </c>
      <c r="G5329" s="136">
        <v>5326</v>
      </c>
      <c r="H5329" s="136" t="s">
        <v>19970</v>
      </c>
      <c r="I5329" s="136" t="s">
        <v>19971</v>
      </c>
      <c r="J5329" s="136" t="s">
        <v>19972</v>
      </c>
      <c r="L5329" s="136"/>
      <c r="M5329" s="136"/>
      <c r="N5329" s="136"/>
    </row>
    <row r="5330" spans="6:14">
      <c r="F5330" s="136" t="s">
        <v>19973</v>
      </c>
      <c r="G5330" s="136">
        <v>5327</v>
      </c>
      <c r="H5330" s="136" t="s">
        <v>19974</v>
      </c>
      <c r="I5330" s="136" t="s">
        <v>2065</v>
      </c>
      <c r="J5330" s="136" t="s">
        <v>19975</v>
      </c>
      <c r="L5330" s="136"/>
      <c r="M5330" s="136"/>
      <c r="N5330" s="136"/>
    </row>
    <row r="5331" spans="6:14">
      <c r="F5331" s="136" t="s">
        <v>19976</v>
      </c>
      <c r="G5331" s="136">
        <v>5328</v>
      </c>
      <c r="H5331" s="136" t="s">
        <v>19977</v>
      </c>
      <c r="I5331" s="136" t="s">
        <v>19977</v>
      </c>
      <c r="J5331" s="136" t="s">
        <v>19978</v>
      </c>
      <c r="L5331" s="136"/>
      <c r="M5331" s="136"/>
      <c r="N5331" s="136"/>
    </row>
    <row r="5332" spans="6:14">
      <c r="F5332" s="136" t="s">
        <v>19979</v>
      </c>
      <c r="G5332" s="136">
        <v>5329</v>
      </c>
      <c r="H5332" s="136" t="s">
        <v>19980</v>
      </c>
      <c r="I5332" s="136" t="s">
        <v>19980</v>
      </c>
      <c r="J5332" s="136" t="s">
        <v>19981</v>
      </c>
      <c r="L5332" s="136"/>
      <c r="M5332" s="136"/>
      <c r="N5332" s="136"/>
    </row>
    <row r="5333" spans="6:14">
      <c r="F5333" s="136" t="s">
        <v>19982</v>
      </c>
      <c r="G5333" s="136">
        <v>5330</v>
      </c>
      <c r="H5333" s="136" t="s">
        <v>19983</v>
      </c>
      <c r="I5333" s="136" t="s">
        <v>19983</v>
      </c>
      <c r="J5333" s="136" t="s">
        <v>19984</v>
      </c>
      <c r="L5333" s="136"/>
      <c r="M5333" s="136"/>
      <c r="N5333" s="136"/>
    </row>
    <row r="5334" spans="6:14">
      <c r="F5334" s="136" t="s">
        <v>19985</v>
      </c>
      <c r="G5334" s="136">
        <v>12731414669</v>
      </c>
      <c r="H5334" s="136" t="s">
        <v>19986</v>
      </c>
      <c r="I5334" s="136" t="s">
        <v>19987</v>
      </c>
      <c r="J5334" s="136" t="s">
        <v>19988</v>
      </c>
      <c r="L5334" s="136"/>
      <c r="M5334" s="136"/>
      <c r="N5334" s="136"/>
    </row>
    <row r="5335" spans="6:14">
      <c r="F5335" s="136" t="s">
        <v>19989</v>
      </c>
      <c r="G5335" s="136">
        <v>86288067091</v>
      </c>
      <c r="H5335" s="136" t="s">
        <v>19990</v>
      </c>
      <c r="I5335" s="136" t="s">
        <v>19990</v>
      </c>
      <c r="J5335" s="136" t="s">
        <v>19991</v>
      </c>
      <c r="L5335" s="136"/>
      <c r="M5335" s="136"/>
      <c r="N5335" s="136"/>
    </row>
    <row r="5336" spans="6:14">
      <c r="F5336" s="136" t="s">
        <v>19992</v>
      </c>
      <c r="G5336" s="136">
        <v>145154076</v>
      </c>
      <c r="H5336" s="136" t="s">
        <v>19993</v>
      </c>
      <c r="I5336" s="136" t="s">
        <v>19993</v>
      </c>
      <c r="J5336" s="136" t="s">
        <v>19994</v>
      </c>
      <c r="L5336" s="136"/>
      <c r="M5336" s="136"/>
      <c r="N5336" s="136"/>
    </row>
    <row r="5337" spans="6:14">
      <c r="F5337" s="136" t="s">
        <v>19995</v>
      </c>
      <c r="G5337" s="136">
        <v>38397102868</v>
      </c>
      <c r="H5337" s="136" t="s">
        <v>19996</v>
      </c>
      <c r="I5337" s="136" t="s">
        <v>19996</v>
      </c>
      <c r="J5337" s="136" t="s">
        <v>19997</v>
      </c>
      <c r="L5337" s="136"/>
      <c r="M5337" s="136"/>
      <c r="N5337" s="136"/>
    </row>
    <row r="5338" spans="6:14">
      <c r="F5338" s="136" t="s">
        <v>19998</v>
      </c>
      <c r="G5338" s="136">
        <v>11693557495</v>
      </c>
      <c r="H5338" s="136" t="s">
        <v>19999</v>
      </c>
      <c r="I5338" s="136" t="s">
        <v>20000</v>
      </c>
      <c r="J5338" s="136" t="s">
        <v>20001</v>
      </c>
      <c r="L5338" s="136"/>
      <c r="M5338" s="136"/>
      <c r="N5338" s="136"/>
    </row>
    <row r="5339" spans="6:14">
      <c r="F5339" s="136" t="s">
        <v>20002</v>
      </c>
      <c r="G5339" s="136">
        <v>19578863748</v>
      </c>
      <c r="H5339" s="136" t="s">
        <v>20003</v>
      </c>
      <c r="I5339" s="136" t="s">
        <v>20004</v>
      </c>
      <c r="J5339" s="136" t="s">
        <v>20005</v>
      </c>
      <c r="L5339" s="136"/>
      <c r="M5339" s="136"/>
      <c r="N5339" s="136"/>
    </row>
    <row r="5340" spans="6:14">
      <c r="F5340" s="136" t="s">
        <v>20006</v>
      </c>
      <c r="G5340" s="136">
        <v>5337</v>
      </c>
      <c r="H5340" s="136" t="s">
        <v>20007</v>
      </c>
      <c r="I5340" s="136" t="s">
        <v>20008</v>
      </c>
      <c r="J5340" s="136" t="s">
        <v>20009</v>
      </c>
      <c r="L5340" s="136"/>
      <c r="M5340" s="136"/>
      <c r="N5340" s="136"/>
    </row>
    <row r="5341" spans="6:14">
      <c r="F5341" s="136" t="s">
        <v>20010</v>
      </c>
      <c r="G5341" s="136">
        <v>5338</v>
      </c>
      <c r="H5341" s="136" t="s">
        <v>20011</v>
      </c>
      <c r="I5341" s="136" t="s">
        <v>20012</v>
      </c>
      <c r="J5341" s="136" t="s">
        <v>20013</v>
      </c>
      <c r="L5341" s="136"/>
      <c r="M5341" s="136"/>
      <c r="N5341" s="136"/>
    </row>
    <row r="5342" spans="6:14">
      <c r="F5342" s="136" t="s">
        <v>20014</v>
      </c>
      <c r="G5342" s="136">
        <v>5339</v>
      </c>
      <c r="H5342" s="136" t="s">
        <v>20015</v>
      </c>
      <c r="I5342" s="136" t="s">
        <v>20015</v>
      </c>
      <c r="J5342" s="136" t="s">
        <v>20016</v>
      </c>
      <c r="L5342" s="136"/>
      <c r="M5342" s="136"/>
      <c r="N5342" s="136"/>
    </row>
    <row r="5343" spans="6:14">
      <c r="F5343" s="136" t="s">
        <v>20017</v>
      </c>
      <c r="G5343" s="136">
        <v>5340</v>
      </c>
      <c r="H5343" s="136" t="s">
        <v>20018</v>
      </c>
      <c r="I5343" s="136" t="s">
        <v>20018</v>
      </c>
      <c r="J5343" s="136" t="s">
        <v>20019</v>
      </c>
      <c r="L5343" s="136"/>
      <c r="M5343" s="136"/>
      <c r="N5343" s="136"/>
    </row>
    <row r="5344" spans="6:14">
      <c r="F5344" s="136" t="s">
        <v>20020</v>
      </c>
      <c r="G5344" s="136">
        <v>5341</v>
      </c>
      <c r="H5344" s="136" t="s">
        <v>20021</v>
      </c>
      <c r="I5344" s="136" t="s">
        <v>20021</v>
      </c>
      <c r="J5344" s="136" t="s">
        <v>20022</v>
      </c>
      <c r="L5344" s="136"/>
      <c r="M5344" s="136"/>
      <c r="N5344" s="136"/>
    </row>
    <row r="5345" spans="6:14">
      <c r="F5345" s="136" t="s">
        <v>20023</v>
      </c>
      <c r="G5345" s="136">
        <v>5342</v>
      </c>
      <c r="H5345" s="136" t="s">
        <v>20024</v>
      </c>
      <c r="I5345" s="136" t="s">
        <v>20025</v>
      </c>
      <c r="J5345" s="136" t="s">
        <v>20026</v>
      </c>
      <c r="L5345" s="136"/>
      <c r="M5345" s="136"/>
      <c r="N5345" s="136"/>
    </row>
    <row r="5346" spans="6:14">
      <c r="F5346" s="136" t="s">
        <v>20027</v>
      </c>
      <c r="G5346" s="136">
        <v>5343</v>
      </c>
      <c r="H5346" s="136" t="s">
        <v>20028</v>
      </c>
      <c r="I5346" s="136" t="s">
        <v>20029</v>
      </c>
      <c r="J5346" s="136" t="s">
        <v>20030</v>
      </c>
      <c r="L5346" s="136"/>
      <c r="M5346" s="136"/>
      <c r="N5346" s="136"/>
    </row>
    <row r="5347" spans="6:14">
      <c r="F5347" s="136" t="s">
        <v>20031</v>
      </c>
      <c r="G5347" s="136">
        <v>5344</v>
      </c>
      <c r="H5347" s="136" t="s">
        <v>20032</v>
      </c>
      <c r="I5347" s="136" t="s">
        <v>20033</v>
      </c>
      <c r="J5347" s="136" t="s">
        <v>20034</v>
      </c>
      <c r="L5347" s="136"/>
      <c r="M5347" s="136"/>
      <c r="N5347" s="136"/>
    </row>
    <row r="5348" spans="6:14">
      <c r="F5348" s="136" t="s">
        <v>20035</v>
      </c>
      <c r="G5348" s="136">
        <v>5345</v>
      </c>
      <c r="H5348" s="136" t="s">
        <v>20036</v>
      </c>
      <c r="I5348" s="136" t="s">
        <v>20036</v>
      </c>
      <c r="J5348" s="136" t="s">
        <v>20037</v>
      </c>
      <c r="L5348" s="136"/>
      <c r="M5348" s="136"/>
      <c r="N5348" s="136"/>
    </row>
    <row r="5349" spans="6:14">
      <c r="F5349" s="136" t="s">
        <v>20038</v>
      </c>
      <c r="G5349" s="136">
        <v>5346</v>
      </c>
      <c r="H5349" s="136" t="s">
        <v>20039</v>
      </c>
      <c r="I5349" s="136" t="s">
        <v>20039</v>
      </c>
      <c r="J5349" s="136" t="s">
        <v>20040</v>
      </c>
      <c r="L5349" s="136"/>
      <c r="M5349" s="136"/>
      <c r="N5349" s="136"/>
    </row>
    <row r="5350" spans="6:14">
      <c r="F5350" s="136" t="s">
        <v>20041</v>
      </c>
      <c r="G5350" s="136">
        <v>5347</v>
      </c>
      <c r="H5350" s="136" t="s">
        <v>20042</v>
      </c>
      <c r="I5350" s="136" t="s">
        <v>20043</v>
      </c>
      <c r="J5350" s="136" t="s">
        <v>20044</v>
      </c>
      <c r="L5350" s="136"/>
      <c r="M5350" s="136"/>
      <c r="N5350" s="136"/>
    </row>
    <row r="5351" spans="6:14">
      <c r="F5351" s="136" t="s">
        <v>20045</v>
      </c>
      <c r="G5351" s="136">
        <v>5348</v>
      </c>
      <c r="H5351" s="136" t="s">
        <v>20046</v>
      </c>
      <c r="I5351" s="136" t="s">
        <v>20046</v>
      </c>
      <c r="J5351" s="136" t="s">
        <v>20047</v>
      </c>
      <c r="L5351" s="136"/>
      <c r="M5351" s="136"/>
      <c r="N5351" s="136"/>
    </row>
    <row r="5352" spans="6:14">
      <c r="F5352" s="136" t="s">
        <v>20048</v>
      </c>
      <c r="G5352" s="136">
        <v>6974156782</v>
      </c>
      <c r="H5352" s="136" t="s">
        <v>20049</v>
      </c>
      <c r="I5352" s="136" t="s">
        <v>20050</v>
      </c>
      <c r="J5352" s="136" t="s">
        <v>20051</v>
      </c>
      <c r="L5352" s="136"/>
      <c r="M5352" s="136"/>
      <c r="N5352" s="136"/>
    </row>
    <row r="5353" spans="6:14">
      <c r="F5353" s="136" t="s">
        <v>20052</v>
      </c>
      <c r="G5353" s="136">
        <v>5350</v>
      </c>
      <c r="H5353" s="136" t="s">
        <v>20053</v>
      </c>
      <c r="I5353" s="136" t="s">
        <v>20054</v>
      </c>
      <c r="J5353" s="136" t="s">
        <v>20055</v>
      </c>
      <c r="L5353" s="136"/>
      <c r="M5353" s="136"/>
      <c r="N5353" s="136"/>
    </row>
    <row r="5354" spans="6:14">
      <c r="F5354" s="136" t="s">
        <v>20056</v>
      </c>
      <c r="G5354" s="136">
        <v>5351</v>
      </c>
      <c r="H5354" s="136" t="s">
        <v>20057</v>
      </c>
      <c r="I5354" s="136" t="s">
        <v>20058</v>
      </c>
      <c r="J5354" s="136" t="s">
        <v>20059</v>
      </c>
      <c r="L5354" s="136"/>
      <c r="M5354" s="136"/>
      <c r="N5354" s="136"/>
    </row>
    <row r="5355" spans="6:14">
      <c r="F5355" s="136" t="s">
        <v>20060</v>
      </c>
      <c r="G5355" s="136">
        <v>5352</v>
      </c>
      <c r="H5355" s="136" t="s">
        <v>20061</v>
      </c>
      <c r="I5355" s="136" t="s">
        <v>20061</v>
      </c>
      <c r="J5355" s="136" t="s">
        <v>20062</v>
      </c>
      <c r="L5355" s="136"/>
      <c r="M5355" s="136"/>
      <c r="N5355" s="136"/>
    </row>
    <row r="5356" spans="6:14">
      <c r="F5356" s="136" t="s">
        <v>20063</v>
      </c>
      <c r="G5356" s="136">
        <v>5353</v>
      </c>
      <c r="H5356" s="136" t="s">
        <v>20064</v>
      </c>
      <c r="I5356" s="136" t="s">
        <v>20064</v>
      </c>
      <c r="J5356" s="136" t="s">
        <v>20065</v>
      </c>
      <c r="L5356" s="136"/>
      <c r="M5356" s="136"/>
      <c r="N5356" s="136"/>
    </row>
    <row r="5357" spans="6:14">
      <c r="F5357" s="136" t="s">
        <v>20066</v>
      </c>
      <c r="G5357" s="136">
        <v>5354</v>
      </c>
      <c r="H5357" s="136" t="s">
        <v>20067</v>
      </c>
      <c r="I5357" s="136" t="s">
        <v>20068</v>
      </c>
      <c r="J5357" s="136" t="s">
        <v>20069</v>
      </c>
      <c r="L5357" s="136"/>
      <c r="M5357" s="136"/>
      <c r="N5357" s="136"/>
    </row>
    <row r="5358" spans="6:14">
      <c r="F5358" s="136" t="s">
        <v>20070</v>
      </c>
      <c r="G5358" s="136">
        <v>5355</v>
      </c>
      <c r="H5358" s="136" t="s">
        <v>20071</v>
      </c>
      <c r="I5358" s="136" t="s">
        <v>20072</v>
      </c>
      <c r="J5358" s="136" t="s">
        <v>20073</v>
      </c>
      <c r="L5358" s="136"/>
      <c r="M5358" s="136"/>
      <c r="N5358" s="136"/>
    </row>
    <row r="5359" spans="6:14">
      <c r="F5359" s="136" t="s">
        <v>20074</v>
      </c>
      <c r="G5359" s="136">
        <v>5356</v>
      </c>
      <c r="H5359" s="136" t="s">
        <v>20075</v>
      </c>
      <c r="I5359" s="136" t="s">
        <v>20075</v>
      </c>
      <c r="J5359" s="136" t="s">
        <v>20076</v>
      </c>
      <c r="L5359" s="136"/>
      <c r="M5359" s="136"/>
      <c r="N5359" s="136"/>
    </row>
    <row r="5360" spans="6:14">
      <c r="F5360" s="136" t="s">
        <v>20077</v>
      </c>
      <c r="G5360" s="136">
        <v>2667437063</v>
      </c>
      <c r="H5360" s="136" t="s">
        <v>20078</v>
      </c>
      <c r="I5360" s="136" t="s">
        <v>20078</v>
      </c>
      <c r="J5360" s="136" t="s">
        <v>20079</v>
      </c>
      <c r="L5360" s="136"/>
      <c r="M5360" s="136"/>
      <c r="N5360" s="136"/>
    </row>
    <row r="5361" spans="6:14">
      <c r="F5361" s="136" t="s">
        <v>20080</v>
      </c>
      <c r="G5361" s="136">
        <v>29197963801</v>
      </c>
      <c r="H5361" s="136" t="s">
        <v>20081</v>
      </c>
      <c r="I5361" s="136" t="s">
        <v>20082</v>
      </c>
      <c r="J5361" s="136" t="s">
        <v>20083</v>
      </c>
      <c r="L5361" s="136"/>
      <c r="M5361" s="136"/>
      <c r="N5361" s="136"/>
    </row>
    <row r="5362" spans="6:14">
      <c r="F5362" s="136" t="s">
        <v>20084</v>
      </c>
      <c r="G5362" s="136">
        <v>8889636610</v>
      </c>
      <c r="H5362" s="136" t="s">
        <v>20085</v>
      </c>
      <c r="I5362" s="136" t="s">
        <v>20085</v>
      </c>
      <c r="J5362" s="136" t="s">
        <v>20086</v>
      </c>
      <c r="L5362" s="136"/>
      <c r="M5362" s="136"/>
      <c r="N5362" s="136"/>
    </row>
    <row r="5363" spans="6:14">
      <c r="F5363" s="136" t="s">
        <v>20087</v>
      </c>
      <c r="G5363" s="136">
        <v>5360</v>
      </c>
      <c r="H5363" s="136" t="s">
        <v>20088</v>
      </c>
      <c r="I5363" s="136" t="s">
        <v>20089</v>
      </c>
      <c r="J5363" s="136" t="s">
        <v>20090</v>
      </c>
      <c r="L5363" s="136"/>
      <c r="M5363" s="136"/>
      <c r="N5363" s="136"/>
    </row>
    <row r="5364" spans="6:14">
      <c r="F5364" s="136" t="s">
        <v>20091</v>
      </c>
      <c r="G5364" s="136">
        <v>52928799753</v>
      </c>
      <c r="H5364" s="136" t="s">
        <v>20092</v>
      </c>
      <c r="I5364" s="136" t="s">
        <v>20092</v>
      </c>
      <c r="J5364" s="136" t="s">
        <v>20093</v>
      </c>
      <c r="L5364" s="136"/>
      <c r="M5364" s="136"/>
      <c r="N5364" s="136"/>
    </row>
    <row r="5365" spans="6:14">
      <c r="F5365" s="136" t="s">
        <v>20094</v>
      </c>
      <c r="G5365" s="136">
        <v>5362</v>
      </c>
      <c r="H5365" s="136" t="s">
        <v>20095</v>
      </c>
      <c r="I5365" s="136" t="s">
        <v>20096</v>
      </c>
      <c r="J5365" s="136" t="s">
        <v>20097</v>
      </c>
      <c r="L5365" s="136"/>
      <c r="M5365" s="136"/>
      <c r="N5365" s="136"/>
    </row>
    <row r="5366" spans="6:14">
      <c r="F5366" s="136" t="s">
        <v>20098</v>
      </c>
      <c r="G5366" s="136">
        <v>76648982691</v>
      </c>
      <c r="H5366" s="136" t="s">
        <v>20099</v>
      </c>
      <c r="I5366" s="136" t="s">
        <v>20099</v>
      </c>
      <c r="J5366" s="136" t="s">
        <v>20100</v>
      </c>
      <c r="L5366" s="136"/>
      <c r="M5366" s="136"/>
      <c r="N5366" s="136"/>
    </row>
    <row r="5367" spans="6:14">
      <c r="F5367" s="136" t="s">
        <v>20101</v>
      </c>
      <c r="G5367" s="136">
        <v>21534780653</v>
      </c>
      <c r="H5367" s="136" t="s">
        <v>20102</v>
      </c>
      <c r="I5367" s="136" t="s">
        <v>20103</v>
      </c>
      <c r="J5367" s="136" t="s">
        <v>20104</v>
      </c>
      <c r="L5367" s="136"/>
      <c r="M5367" s="136"/>
      <c r="N5367" s="136"/>
    </row>
    <row r="5368" spans="6:14">
      <c r="F5368" s="136" t="s">
        <v>20105</v>
      </c>
      <c r="G5368" s="136">
        <v>4281044795</v>
      </c>
      <c r="H5368" s="136" t="s">
        <v>20106</v>
      </c>
      <c r="I5368" s="136" t="s">
        <v>20107</v>
      </c>
      <c r="J5368" s="136" t="s">
        <v>20108</v>
      </c>
      <c r="L5368" s="136"/>
      <c r="M5368" s="136"/>
      <c r="N5368" s="136"/>
    </row>
    <row r="5369" spans="6:14">
      <c r="F5369" s="136" t="s">
        <v>20109</v>
      </c>
      <c r="G5369" s="136">
        <v>1242488537</v>
      </c>
      <c r="H5369" s="136" t="s">
        <v>20110</v>
      </c>
      <c r="I5369" s="136" t="s">
        <v>20111</v>
      </c>
      <c r="J5369" s="136" t="s">
        <v>20112</v>
      </c>
      <c r="L5369" s="136"/>
      <c r="M5369" s="136"/>
      <c r="N5369" s="136"/>
    </row>
    <row r="5370" spans="6:14">
      <c r="F5370" s="136" t="s">
        <v>20113</v>
      </c>
      <c r="G5370" s="136">
        <v>1816252700</v>
      </c>
      <c r="H5370" s="136" t="s">
        <v>20114</v>
      </c>
      <c r="I5370" s="136" t="s">
        <v>20115</v>
      </c>
      <c r="J5370" s="136" t="s">
        <v>20116</v>
      </c>
      <c r="L5370" s="136"/>
      <c r="M5370" s="136"/>
      <c r="N5370" s="136"/>
    </row>
    <row r="5371" spans="6:14">
      <c r="F5371" s="136" t="s">
        <v>20117</v>
      </c>
      <c r="G5371" s="136">
        <v>5368</v>
      </c>
      <c r="H5371" s="136" t="s">
        <v>20118</v>
      </c>
      <c r="I5371" s="136" t="s">
        <v>20119</v>
      </c>
      <c r="J5371" s="136" t="s">
        <v>20120</v>
      </c>
      <c r="L5371" s="136"/>
      <c r="M5371" s="136"/>
      <c r="N5371" s="136"/>
    </row>
    <row r="5372" spans="6:14">
      <c r="F5372" s="136" t="s">
        <v>20121</v>
      </c>
      <c r="G5372" s="136">
        <v>5369</v>
      </c>
      <c r="H5372" s="136" t="s">
        <v>20122</v>
      </c>
      <c r="I5372" s="136" t="s">
        <v>20123</v>
      </c>
      <c r="J5372" s="136" t="s">
        <v>20124</v>
      </c>
      <c r="L5372" s="136"/>
      <c r="M5372" s="136"/>
      <c r="N5372" s="136"/>
    </row>
    <row r="5373" spans="6:14">
      <c r="F5373" s="136" t="s">
        <v>20125</v>
      </c>
      <c r="G5373" s="136">
        <v>5370</v>
      </c>
      <c r="H5373" s="136" t="s">
        <v>20126</v>
      </c>
      <c r="I5373" s="136" t="s">
        <v>20127</v>
      </c>
      <c r="J5373" s="136" t="s">
        <v>20128</v>
      </c>
      <c r="L5373" s="136"/>
      <c r="M5373" s="136"/>
      <c r="N5373" s="136"/>
    </row>
    <row r="5374" spans="6:14">
      <c r="F5374" s="136" t="s">
        <v>20129</v>
      </c>
      <c r="G5374" s="136">
        <v>33929304821</v>
      </c>
      <c r="H5374" s="136" t="s">
        <v>20130</v>
      </c>
      <c r="I5374" s="136" t="s">
        <v>20130</v>
      </c>
      <c r="J5374" s="136" t="s">
        <v>20131</v>
      </c>
      <c r="L5374" s="136"/>
      <c r="M5374" s="136"/>
      <c r="N5374" s="136"/>
    </row>
    <row r="5375" spans="6:14">
      <c r="F5375" s="136" t="s">
        <v>20132</v>
      </c>
      <c r="G5375" s="136">
        <v>59465</v>
      </c>
      <c r="H5375" s="136" t="s">
        <v>20133</v>
      </c>
      <c r="I5375" s="136" t="s">
        <v>20134</v>
      </c>
      <c r="J5375" s="136" t="s">
        <v>20135</v>
      </c>
      <c r="L5375" s="136"/>
      <c r="M5375" s="136"/>
      <c r="N5375" s="136"/>
    </row>
    <row r="5376" spans="6:14">
      <c r="F5376" s="136" t="s">
        <v>20136</v>
      </c>
      <c r="G5376" s="136">
        <v>5373</v>
      </c>
      <c r="H5376" s="136" t="s">
        <v>20137</v>
      </c>
      <c r="I5376" s="136" t="s">
        <v>20138</v>
      </c>
      <c r="J5376" s="136" t="s">
        <v>20139</v>
      </c>
      <c r="L5376" s="136"/>
      <c r="M5376" s="136"/>
      <c r="N5376" s="136"/>
    </row>
    <row r="5377" spans="6:14">
      <c r="F5377" s="136" t="s">
        <v>20140</v>
      </c>
      <c r="G5377" s="136">
        <v>5374</v>
      </c>
      <c r="H5377" s="136" t="s">
        <v>20141</v>
      </c>
      <c r="I5377" s="136" t="s">
        <v>20142</v>
      </c>
      <c r="J5377" s="136" t="s">
        <v>20143</v>
      </c>
      <c r="L5377" s="136"/>
      <c r="M5377" s="136"/>
      <c r="N5377" s="136"/>
    </row>
    <row r="5378" spans="6:14">
      <c r="F5378" s="136" t="s">
        <v>20144</v>
      </c>
      <c r="G5378" s="136">
        <v>5375</v>
      </c>
      <c r="H5378" s="136" t="s">
        <v>20145</v>
      </c>
      <c r="I5378" s="136" t="s">
        <v>20146</v>
      </c>
      <c r="J5378" s="136" t="s">
        <v>20147</v>
      </c>
      <c r="L5378" s="136"/>
      <c r="M5378" s="136"/>
      <c r="N5378" s="136"/>
    </row>
    <row r="5379" spans="6:14">
      <c r="F5379" s="136" t="s">
        <v>20148</v>
      </c>
      <c r="G5379" s="136">
        <v>14891455837</v>
      </c>
      <c r="H5379" s="136" t="s">
        <v>20149</v>
      </c>
      <c r="I5379" s="136" t="s">
        <v>20149</v>
      </c>
      <c r="J5379" s="136" t="s">
        <v>20150</v>
      </c>
      <c r="L5379" s="136"/>
      <c r="M5379" s="136"/>
      <c r="N5379" s="136"/>
    </row>
    <row r="5380" spans="6:14">
      <c r="F5380" s="136" t="s">
        <v>20151</v>
      </c>
      <c r="G5380" s="136">
        <v>5377</v>
      </c>
      <c r="H5380" s="136" t="s">
        <v>20152</v>
      </c>
      <c r="I5380" s="136" t="s">
        <v>20153</v>
      </c>
      <c r="J5380" s="136" t="s">
        <v>20154</v>
      </c>
      <c r="L5380" s="136"/>
      <c r="M5380" s="136"/>
      <c r="N5380" s="136"/>
    </row>
    <row r="5381" spans="6:14">
      <c r="F5381" s="136" t="s">
        <v>20155</v>
      </c>
      <c r="G5381" s="136">
        <v>5378</v>
      </c>
      <c r="H5381" s="136" t="s">
        <v>20156</v>
      </c>
      <c r="I5381" s="136" t="s">
        <v>20157</v>
      </c>
      <c r="J5381" s="136" t="s">
        <v>20158</v>
      </c>
      <c r="L5381" s="136"/>
      <c r="M5381" s="136"/>
      <c r="N5381" s="136"/>
    </row>
    <row r="5382" spans="6:14">
      <c r="F5382" s="136" t="s">
        <v>20159</v>
      </c>
      <c r="G5382" s="136">
        <v>33667262884</v>
      </c>
      <c r="H5382" s="136" t="s">
        <v>20160</v>
      </c>
      <c r="I5382" s="136" t="s">
        <v>20161</v>
      </c>
      <c r="J5382" s="136" t="s">
        <v>20162</v>
      </c>
      <c r="L5382" s="136"/>
      <c r="M5382" s="136"/>
      <c r="N5382" s="136"/>
    </row>
    <row r="5383" spans="6:14">
      <c r="F5383" s="136" t="s">
        <v>20163</v>
      </c>
      <c r="G5383" s="136">
        <v>14037727625</v>
      </c>
      <c r="H5383" s="136" t="s">
        <v>20164</v>
      </c>
      <c r="I5383" s="136" t="s">
        <v>20164</v>
      </c>
      <c r="J5383" s="136" t="s">
        <v>20165</v>
      </c>
      <c r="L5383" s="136"/>
      <c r="M5383" s="136"/>
      <c r="N5383" s="136"/>
    </row>
    <row r="5384" spans="6:14">
      <c r="F5384" s="136" t="s">
        <v>20166</v>
      </c>
      <c r="G5384" s="136">
        <v>8662081789</v>
      </c>
      <c r="H5384" s="136" t="s">
        <v>20167</v>
      </c>
      <c r="I5384" s="136" t="s">
        <v>20168</v>
      </c>
      <c r="J5384" s="136" t="s">
        <v>20169</v>
      </c>
      <c r="L5384" s="136"/>
      <c r="M5384" s="136"/>
      <c r="N5384" s="136"/>
    </row>
    <row r="5385" spans="6:14">
      <c r="F5385" s="136" t="s">
        <v>20170</v>
      </c>
      <c r="G5385" s="136">
        <v>5382</v>
      </c>
      <c r="H5385" s="136" t="s">
        <v>20171</v>
      </c>
      <c r="I5385" s="136" t="s">
        <v>20172</v>
      </c>
      <c r="J5385" s="136" t="s">
        <v>20173</v>
      </c>
      <c r="L5385" s="136"/>
      <c r="M5385" s="136"/>
      <c r="N5385" s="136"/>
    </row>
    <row r="5386" spans="6:14">
      <c r="F5386" s="136" t="s">
        <v>20174</v>
      </c>
      <c r="G5386" s="136">
        <v>5941055102</v>
      </c>
      <c r="H5386" s="136" t="s">
        <v>20175</v>
      </c>
      <c r="I5386" s="136" t="s">
        <v>20176</v>
      </c>
      <c r="J5386" s="136" t="s">
        <v>20177</v>
      </c>
      <c r="L5386" s="136"/>
      <c r="M5386" s="136"/>
      <c r="N5386" s="136"/>
    </row>
    <row r="5387" spans="6:14">
      <c r="F5387" s="136" t="s">
        <v>20178</v>
      </c>
      <c r="G5387" s="136">
        <v>5384</v>
      </c>
      <c r="H5387" s="136" t="s">
        <v>20179</v>
      </c>
      <c r="I5387" s="136" t="s">
        <v>20179</v>
      </c>
      <c r="J5387" s="136" t="s">
        <v>20180</v>
      </c>
      <c r="L5387" s="136"/>
      <c r="M5387" s="136"/>
      <c r="N5387" s="136"/>
    </row>
    <row r="5388" spans="6:14">
      <c r="F5388" s="136" t="s">
        <v>20181</v>
      </c>
      <c r="G5388" s="136">
        <v>7277136985</v>
      </c>
      <c r="H5388" s="136" t="s">
        <v>20182</v>
      </c>
      <c r="I5388" s="136" t="s">
        <v>20183</v>
      </c>
      <c r="J5388" s="136" t="s">
        <v>20184</v>
      </c>
      <c r="L5388" s="136"/>
      <c r="M5388" s="136"/>
      <c r="N5388" s="136"/>
    </row>
    <row r="5389" spans="6:14">
      <c r="F5389" s="136" t="s">
        <v>20185</v>
      </c>
      <c r="G5389" s="136">
        <v>5386</v>
      </c>
      <c r="H5389" s="136" t="s">
        <v>20186</v>
      </c>
      <c r="I5389" s="136" t="s">
        <v>20187</v>
      </c>
      <c r="J5389" s="136" t="s">
        <v>20188</v>
      </c>
      <c r="L5389" s="136"/>
      <c r="M5389" s="136"/>
      <c r="N5389" s="136"/>
    </row>
    <row r="5390" spans="6:14">
      <c r="F5390" s="136" t="s">
        <v>20189</v>
      </c>
      <c r="G5390" s="136">
        <v>36722423816</v>
      </c>
      <c r="H5390" s="136" t="s">
        <v>20190</v>
      </c>
      <c r="I5390" s="136" t="s">
        <v>20191</v>
      </c>
      <c r="J5390" s="136" t="s">
        <v>20192</v>
      </c>
      <c r="L5390" s="136"/>
      <c r="M5390" s="136"/>
      <c r="N5390" s="136"/>
    </row>
    <row r="5391" spans="6:14">
      <c r="F5391" s="136" t="s">
        <v>20193</v>
      </c>
      <c r="G5391" s="136">
        <v>5388</v>
      </c>
      <c r="H5391" s="136" t="s">
        <v>20194</v>
      </c>
      <c r="I5391" s="136" t="s">
        <v>20195</v>
      </c>
      <c r="J5391" s="136" t="s">
        <v>20196</v>
      </c>
      <c r="L5391" s="136"/>
      <c r="M5391" s="136"/>
      <c r="N5391" s="136"/>
    </row>
    <row r="5392" spans="6:14">
      <c r="F5392" s="136" t="s">
        <v>20197</v>
      </c>
      <c r="G5392" s="136">
        <v>5389</v>
      </c>
      <c r="H5392" s="136" t="s">
        <v>20198</v>
      </c>
      <c r="I5392" s="136" t="s">
        <v>20199</v>
      </c>
      <c r="J5392" s="136" t="s">
        <v>20200</v>
      </c>
      <c r="L5392" s="136"/>
      <c r="M5392" s="136"/>
      <c r="N5392" s="136"/>
    </row>
    <row r="5393" spans="6:14">
      <c r="F5393" s="136" t="s">
        <v>20201</v>
      </c>
      <c r="G5393" s="136">
        <v>5390</v>
      </c>
      <c r="H5393" s="136" t="s">
        <v>20202</v>
      </c>
      <c r="I5393" s="136" t="s">
        <v>20203</v>
      </c>
      <c r="J5393" s="136" t="s">
        <v>20204</v>
      </c>
      <c r="L5393" s="136"/>
      <c r="M5393" s="136"/>
      <c r="N5393" s="136"/>
    </row>
    <row r="5394" spans="6:14">
      <c r="F5394" s="136" t="s">
        <v>20205</v>
      </c>
      <c r="G5394" s="136">
        <v>5391</v>
      </c>
      <c r="H5394" s="136" t="s">
        <v>20206</v>
      </c>
      <c r="I5394" s="136" t="s">
        <v>5129</v>
      </c>
      <c r="J5394" s="136" t="s">
        <v>20207</v>
      </c>
      <c r="L5394" s="136"/>
      <c r="M5394" s="136"/>
      <c r="N5394" s="136"/>
    </row>
    <row r="5395" spans="6:14">
      <c r="F5395" s="136" t="s">
        <v>20208</v>
      </c>
      <c r="G5395" s="136">
        <v>5392</v>
      </c>
      <c r="H5395" s="136" t="s">
        <v>20209</v>
      </c>
      <c r="I5395" s="136" t="s">
        <v>20209</v>
      </c>
      <c r="J5395" s="136" t="s">
        <v>20210</v>
      </c>
      <c r="L5395" s="136"/>
      <c r="M5395" s="136"/>
      <c r="N5395" s="136"/>
    </row>
    <row r="5396" spans="6:14">
      <c r="F5396" s="136" t="s">
        <v>20211</v>
      </c>
      <c r="G5396" s="136">
        <v>5246517950</v>
      </c>
      <c r="H5396" s="136" t="s">
        <v>20212</v>
      </c>
      <c r="I5396" s="136" t="s">
        <v>20213</v>
      </c>
      <c r="J5396" s="136" t="s">
        <v>20214</v>
      </c>
      <c r="L5396" s="136"/>
      <c r="M5396" s="136"/>
      <c r="N5396" s="136"/>
    </row>
    <row r="5397" spans="6:14">
      <c r="F5397" s="136" t="s">
        <v>20215</v>
      </c>
      <c r="G5397" s="136">
        <v>5394</v>
      </c>
      <c r="H5397" s="136" t="s">
        <v>20216</v>
      </c>
      <c r="I5397" s="136" t="s">
        <v>20217</v>
      </c>
      <c r="J5397" s="136" t="s">
        <v>20218</v>
      </c>
      <c r="L5397" s="136"/>
      <c r="M5397" s="136"/>
      <c r="N5397" s="136"/>
    </row>
    <row r="5398" spans="6:14">
      <c r="F5398" s="136" t="s">
        <v>20219</v>
      </c>
      <c r="G5398" s="136">
        <v>5395</v>
      </c>
      <c r="H5398" s="136" t="s">
        <v>20220</v>
      </c>
      <c r="I5398" s="136" t="s">
        <v>20221</v>
      </c>
      <c r="J5398" s="136" t="s">
        <v>20222</v>
      </c>
      <c r="L5398" s="136"/>
      <c r="M5398" s="136"/>
      <c r="N5398" s="136"/>
    </row>
    <row r="5399" spans="6:14">
      <c r="F5399" s="136" t="s">
        <v>20223</v>
      </c>
      <c r="G5399" s="136">
        <v>5396</v>
      </c>
      <c r="H5399" s="136" t="s">
        <v>20224</v>
      </c>
      <c r="I5399" s="136" t="s">
        <v>20225</v>
      </c>
      <c r="J5399" s="136" t="s">
        <v>20226</v>
      </c>
      <c r="L5399" s="136"/>
      <c r="M5399" s="136"/>
      <c r="N5399" s="136"/>
    </row>
    <row r="5400" spans="6:14">
      <c r="F5400" s="136" t="s">
        <v>20227</v>
      </c>
      <c r="G5400" s="136">
        <v>5397</v>
      </c>
      <c r="H5400" s="136" t="s">
        <v>20228</v>
      </c>
      <c r="I5400" s="136" t="s">
        <v>20229</v>
      </c>
      <c r="J5400" s="136" t="s">
        <v>20230</v>
      </c>
      <c r="L5400" s="136"/>
      <c r="M5400" s="136"/>
      <c r="N5400" s="136"/>
    </row>
    <row r="5401" spans="6:14">
      <c r="F5401" s="136" t="s">
        <v>20231</v>
      </c>
      <c r="G5401" s="136">
        <v>5398</v>
      </c>
      <c r="H5401" s="136" t="s">
        <v>20232</v>
      </c>
      <c r="I5401" s="136" t="s">
        <v>20232</v>
      </c>
      <c r="J5401" s="136" t="s">
        <v>20233</v>
      </c>
      <c r="L5401" s="136"/>
      <c r="M5401" s="136"/>
      <c r="N5401" s="136"/>
    </row>
    <row r="5402" spans="6:14">
      <c r="F5402" s="136" t="s">
        <v>20234</v>
      </c>
      <c r="G5402" s="136">
        <v>5399</v>
      </c>
      <c r="H5402" s="136" t="s">
        <v>20235</v>
      </c>
      <c r="I5402" s="136" t="s">
        <v>20236</v>
      </c>
      <c r="J5402" s="136" t="s">
        <v>20237</v>
      </c>
      <c r="L5402" s="136"/>
      <c r="M5402" s="136"/>
      <c r="N5402" s="136"/>
    </row>
    <row r="5403" spans="6:14">
      <c r="F5403" s="136" t="s">
        <v>20238</v>
      </c>
      <c r="G5403" s="136">
        <v>5400</v>
      </c>
      <c r="H5403" s="136" t="s">
        <v>20239</v>
      </c>
      <c r="I5403" s="136" t="s">
        <v>20239</v>
      </c>
      <c r="J5403" s="136" t="s">
        <v>20240</v>
      </c>
      <c r="L5403" s="136"/>
      <c r="M5403" s="136"/>
      <c r="N5403" s="136"/>
    </row>
    <row r="5404" spans="6:14">
      <c r="F5404" s="136" t="s">
        <v>20241</v>
      </c>
      <c r="G5404" s="136">
        <v>5401</v>
      </c>
      <c r="H5404" s="136" t="s">
        <v>20242</v>
      </c>
      <c r="I5404" s="136" t="s">
        <v>20243</v>
      </c>
      <c r="J5404" s="136" t="s">
        <v>20244</v>
      </c>
      <c r="L5404" s="136"/>
      <c r="M5404" s="136"/>
      <c r="N5404" s="136"/>
    </row>
    <row r="5405" spans="6:14">
      <c r="F5405" s="136" t="s">
        <v>20245</v>
      </c>
      <c r="G5405" s="136">
        <v>5402</v>
      </c>
      <c r="H5405" s="136" t="s">
        <v>20246</v>
      </c>
      <c r="I5405" s="136" t="s">
        <v>20247</v>
      </c>
      <c r="J5405" s="136" t="s">
        <v>20248</v>
      </c>
      <c r="L5405" s="136"/>
      <c r="M5405" s="136"/>
      <c r="N5405" s="136"/>
    </row>
    <row r="5406" spans="6:14">
      <c r="F5406" s="136" t="s">
        <v>20249</v>
      </c>
      <c r="G5406" s="136">
        <v>5403</v>
      </c>
      <c r="H5406" s="136" t="s">
        <v>20250</v>
      </c>
      <c r="I5406" s="136" t="s">
        <v>20251</v>
      </c>
      <c r="J5406" s="136" t="s">
        <v>20252</v>
      </c>
      <c r="L5406" s="136"/>
      <c r="M5406" s="136"/>
      <c r="N5406" s="136"/>
    </row>
    <row r="5407" spans="6:14">
      <c r="F5407" s="136" t="s">
        <v>20253</v>
      </c>
      <c r="G5407" s="136">
        <v>5404</v>
      </c>
      <c r="H5407" s="136" t="s">
        <v>20254</v>
      </c>
      <c r="I5407" s="136" t="s">
        <v>20255</v>
      </c>
      <c r="J5407" s="136" t="s">
        <v>20256</v>
      </c>
      <c r="L5407" s="136"/>
      <c r="M5407" s="136"/>
      <c r="N5407" s="136"/>
    </row>
    <row r="5408" spans="6:14">
      <c r="F5408" s="136" t="s">
        <v>20257</v>
      </c>
      <c r="G5408" s="136">
        <v>34672575420</v>
      </c>
      <c r="H5408" s="136" t="s">
        <v>20258</v>
      </c>
      <c r="I5408" s="136" t="s">
        <v>20259</v>
      </c>
      <c r="J5408" s="136" t="s">
        <v>20260</v>
      </c>
      <c r="L5408" s="136"/>
      <c r="M5408" s="136"/>
      <c r="N5408" s="136"/>
    </row>
    <row r="5409" spans="6:14">
      <c r="F5409" s="136" t="s">
        <v>20261</v>
      </c>
      <c r="G5409" s="136">
        <v>5406</v>
      </c>
      <c r="H5409" s="136" t="s">
        <v>20262</v>
      </c>
      <c r="I5409" s="136" t="s">
        <v>20263</v>
      </c>
      <c r="J5409" s="136" t="s">
        <v>20264</v>
      </c>
      <c r="L5409" s="136"/>
      <c r="M5409" s="136"/>
      <c r="N5409" s="136"/>
    </row>
    <row r="5410" spans="6:14">
      <c r="F5410" s="136" t="s">
        <v>20265</v>
      </c>
      <c r="G5410" s="136">
        <v>5407</v>
      </c>
      <c r="H5410" s="136" t="s">
        <v>20266</v>
      </c>
      <c r="I5410" s="136" t="s">
        <v>20266</v>
      </c>
      <c r="J5410" s="136" t="s">
        <v>20267</v>
      </c>
      <c r="L5410" s="136"/>
      <c r="M5410" s="136"/>
      <c r="N5410" s="136"/>
    </row>
    <row r="5411" spans="6:14">
      <c r="F5411" s="136" t="s">
        <v>20268</v>
      </c>
      <c r="G5411" s="136">
        <v>5408</v>
      </c>
      <c r="H5411" s="136" t="s">
        <v>20269</v>
      </c>
      <c r="I5411" s="136" t="s">
        <v>20270</v>
      </c>
      <c r="J5411" s="136" t="s">
        <v>20271</v>
      </c>
      <c r="L5411" s="136"/>
      <c r="M5411" s="136"/>
      <c r="N5411" s="136"/>
    </row>
    <row r="5412" spans="6:14">
      <c r="F5412" s="136" t="s">
        <v>20272</v>
      </c>
      <c r="G5412" s="136">
        <v>5409</v>
      </c>
      <c r="H5412" s="136" t="s">
        <v>20273</v>
      </c>
      <c r="I5412" s="136" t="s">
        <v>20273</v>
      </c>
      <c r="J5412" s="136" t="s">
        <v>20274</v>
      </c>
      <c r="L5412" s="136"/>
      <c r="M5412" s="136"/>
      <c r="N5412" s="136"/>
    </row>
    <row r="5413" spans="6:14">
      <c r="F5413" s="136" t="s">
        <v>20275</v>
      </c>
      <c r="G5413" s="136">
        <v>5410</v>
      </c>
      <c r="H5413" s="136" t="s">
        <v>20276</v>
      </c>
      <c r="I5413" s="136" t="s">
        <v>20277</v>
      </c>
      <c r="J5413" s="136" t="s">
        <v>20278</v>
      </c>
      <c r="L5413" s="136"/>
      <c r="M5413" s="136"/>
      <c r="N5413" s="136"/>
    </row>
    <row r="5414" spans="6:14">
      <c r="F5414" s="136" t="s">
        <v>20279</v>
      </c>
      <c r="G5414" s="136">
        <v>5411</v>
      </c>
      <c r="H5414" s="136" t="s">
        <v>20280</v>
      </c>
      <c r="I5414" s="136" t="s">
        <v>20281</v>
      </c>
      <c r="J5414" s="136" t="s">
        <v>20282</v>
      </c>
      <c r="L5414" s="136"/>
      <c r="M5414" s="136"/>
      <c r="N5414" s="136"/>
    </row>
    <row r="5415" spans="6:14">
      <c r="F5415" s="136" t="s">
        <v>20283</v>
      </c>
      <c r="G5415" s="136">
        <v>5412</v>
      </c>
      <c r="H5415" s="136" t="s">
        <v>20284</v>
      </c>
      <c r="I5415" s="136" t="s">
        <v>20284</v>
      </c>
      <c r="J5415" s="136" t="s">
        <v>20285</v>
      </c>
      <c r="L5415" s="136"/>
      <c r="M5415" s="136"/>
      <c r="N5415" s="136"/>
    </row>
    <row r="5416" spans="6:14">
      <c r="F5416" s="136" t="s">
        <v>20286</v>
      </c>
      <c r="G5416" s="136">
        <v>5413</v>
      </c>
      <c r="H5416" s="136" t="s">
        <v>20287</v>
      </c>
      <c r="I5416" s="136" t="s">
        <v>20287</v>
      </c>
      <c r="J5416" s="136" t="s">
        <v>20288</v>
      </c>
      <c r="L5416" s="136"/>
      <c r="M5416" s="136"/>
      <c r="N5416" s="136"/>
    </row>
    <row r="5417" spans="6:14">
      <c r="F5417" s="136" t="s">
        <v>20426</v>
      </c>
      <c r="G5417" s="136">
        <v>5414</v>
      </c>
      <c r="H5417" s="136" t="s">
        <v>20427</v>
      </c>
      <c r="I5417" s="136" t="s">
        <v>20427</v>
      </c>
      <c r="J5417" s="136" t="s">
        <v>20428</v>
      </c>
      <c r="L5417" s="136"/>
      <c r="M5417" s="136"/>
      <c r="N5417" s="136"/>
    </row>
    <row r="5418" spans="6:14">
      <c r="F5418" s="136" t="s">
        <v>20429</v>
      </c>
      <c r="G5418" s="136">
        <v>5415</v>
      </c>
      <c r="H5418" s="136" t="s">
        <v>20430</v>
      </c>
      <c r="I5418" s="136" t="s">
        <v>20430</v>
      </c>
      <c r="J5418" s="136" t="s">
        <v>20431</v>
      </c>
      <c r="L5418" s="136"/>
      <c r="M5418" s="136"/>
      <c r="N5418" s="136"/>
    </row>
    <row r="5419" spans="6:14">
      <c r="F5419" s="136" t="s">
        <v>20432</v>
      </c>
      <c r="G5419" s="136">
        <v>5416</v>
      </c>
      <c r="H5419" s="136" t="s">
        <v>20433</v>
      </c>
      <c r="I5419" s="136" t="s">
        <v>20434</v>
      </c>
      <c r="J5419" s="136" t="s">
        <v>20435</v>
      </c>
      <c r="L5419" s="136"/>
      <c r="M5419" s="136"/>
      <c r="N5419" s="136"/>
    </row>
    <row r="5420" spans="6:14">
      <c r="F5420" s="136" t="s">
        <v>20436</v>
      </c>
      <c r="G5420" s="136">
        <v>5417</v>
      </c>
      <c r="H5420" s="136" t="s">
        <v>20437</v>
      </c>
      <c r="I5420" s="136" t="s">
        <v>20438</v>
      </c>
      <c r="J5420" s="136" t="s">
        <v>20439</v>
      </c>
      <c r="L5420" s="136"/>
      <c r="M5420" s="136"/>
      <c r="N5420" s="136"/>
    </row>
    <row r="5421" spans="6:14">
      <c r="F5421" s="136" t="s">
        <v>20440</v>
      </c>
      <c r="G5421" s="136">
        <v>93857101504</v>
      </c>
      <c r="H5421" s="136" t="s">
        <v>20441</v>
      </c>
      <c r="I5421" s="136" t="s">
        <v>20442</v>
      </c>
      <c r="J5421" s="136" t="s">
        <v>20443</v>
      </c>
      <c r="L5421" s="136"/>
      <c r="M5421" s="136"/>
      <c r="N5421" s="136"/>
    </row>
    <row r="5422" spans="6:14">
      <c r="F5422" s="136" t="s">
        <v>20444</v>
      </c>
      <c r="G5422" s="136">
        <v>5419</v>
      </c>
      <c r="H5422" s="136" t="s">
        <v>20445</v>
      </c>
      <c r="I5422" s="136" t="s">
        <v>20446</v>
      </c>
      <c r="J5422" s="136" t="s">
        <v>20447</v>
      </c>
      <c r="L5422" s="136"/>
      <c r="M5422" s="136"/>
      <c r="N5422" s="136"/>
    </row>
    <row r="5423" spans="6:14">
      <c r="F5423" s="136" t="s">
        <v>20448</v>
      </c>
      <c r="G5423" s="136">
        <v>43336166896</v>
      </c>
      <c r="H5423" s="136" t="s">
        <v>20449</v>
      </c>
      <c r="I5423" s="136" t="s">
        <v>20449</v>
      </c>
      <c r="J5423" s="136" t="s">
        <v>20450</v>
      </c>
      <c r="L5423" s="136"/>
      <c r="M5423" s="136"/>
      <c r="N5423" s="136"/>
    </row>
    <row r="5424" spans="6:14">
      <c r="F5424" s="136" t="s">
        <v>20451</v>
      </c>
      <c r="G5424" s="136">
        <v>5421</v>
      </c>
      <c r="H5424" s="136" t="s">
        <v>20452</v>
      </c>
      <c r="I5424" s="136" t="s">
        <v>20452</v>
      </c>
      <c r="J5424" s="136" t="s">
        <v>20453</v>
      </c>
      <c r="L5424" s="136"/>
      <c r="M5424" s="136"/>
      <c r="N5424" s="136"/>
    </row>
    <row r="5425" spans="6:14">
      <c r="F5425" s="136" t="s">
        <v>20454</v>
      </c>
      <c r="G5425" s="136">
        <v>31589703847</v>
      </c>
      <c r="H5425" s="136" t="s">
        <v>20455</v>
      </c>
      <c r="I5425" s="136" t="s">
        <v>20455</v>
      </c>
      <c r="J5425" s="136" t="s">
        <v>20456</v>
      </c>
      <c r="L5425" s="136"/>
      <c r="M5425" s="136"/>
      <c r="N5425" s="136"/>
    </row>
    <row r="5426" spans="6:14">
      <c r="F5426" s="136" t="s">
        <v>20457</v>
      </c>
      <c r="G5426" s="136">
        <v>8308872107</v>
      </c>
      <c r="H5426" s="136" t="s">
        <v>20458</v>
      </c>
      <c r="I5426" s="136" t="s">
        <v>20459</v>
      </c>
      <c r="J5426" s="136" t="s">
        <v>20460</v>
      </c>
      <c r="L5426" s="136"/>
      <c r="M5426" s="136"/>
      <c r="N5426" s="136"/>
    </row>
    <row r="5427" spans="6:14">
      <c r="F5427" s="136" t="s">
        <v>20461</v>
      </c>
      <c r="G5427" s="136">
        <v>5424</v>
      </c>
      <c r="H5427" s="136" t="s">
        <v>20462</v>
      </c>
      <c r="I5427" s="136" t="s">
        <v>20463</v>
      </c>
      <c r="J5427" s="136" t="s">
        <v>20464</v>
      </c>
      <c r="L5427" s="136"/>
      <c r="M5427" s="136"/>
      <c r="N5427" s="136"/>
    </row>
    <row r="5428" spans="6:14">
      <c r="F5428" s="136" t="s">
        <v>20465</v>
      </c>
      <c r="G5428" s="136">
        <v>5425</v>
      </c>
      <c r="H5428" s="136" t="s">
        <v>20466</v>
      </c>
      <c r="I5428" s="136" t="s">
        <v>20466</v>
      </c>
      <c r="J5428" s="136" t="s">
        <v>20467</v>
      </c>
      <c r="L5428" s="136"/>
      <c r="M5428" s="136"/>
      <c r="N5428" s="136"/>
    </row>
    <row r="5429" spans="6:14">
      <c r="F5429" s="136" t="s">
        <v>20468</v>
      </c>
      <c r="G5429" s="136">
        <v>5426</v>
      </c>
      <c r="H5429" s="136" t="s">
        <v>20469</v>
      </c>
      <c r="I5429" s="136" t="s">
        <v>20470</v>
      </c>
      <c r="J5429" s="136" t="s">
        <v>20471</v>
      </c>
      <c r="L5429" s="136"/>
      <c r="M5429" s="136"/>
      <c r="N5429" s="136"/>
    </row>
    <row r="5430" spans="6:14">
      <c r="F5430" s="136" t="s">
        <v>20472</v>
      </c>
      <c r="G5430" s="136">
        <v>5427</v>
      </c>
      <c r="H5430" s="136" t="s">
        <v>20473</v>
      </c>
      <c r="I5430" s="136" t="s">
        <v>20473</v>
      </c>
      <c r="J5430" s="136" t="s">
        <v>20474</v>
      </c>
      <c r="L5430" s="136"/>
      <c r="M5430" s="136"/>
      <c r="N5430" s="136"/>
    </row>
    <row r="5431" spans="6:14">
      <c r="F5431" s="136" t="s">
        <v>20475</v>
      </c>
      <c r="G5431" s="136">
        <v>5428</v>
      </c>
      <c r="H5431" s="136" t="s">
        <v>20476</v>
      </c>
      <c r="I5431" s="136" t="s">
        <v>20476</v>
      </c>
      <c r="J5431" s="136" t="s">
        <v>20477</v>
      </c>
      <c r="L5431" s="136"/>
      <c r="M5431" s="136"/>
      <c r="N5431" s="136"/>
    </row>
    <row r="5432" spans="6:14">
      <c r="F5432" s="136" t="s">
        <v>20478</v>
      </c>
      <c r="G5432" s="136">
        <v>5429</v>
      </c>
      <c r="H5432" s="136" t="s">
        <v>20479</v>
      </c>
      <c r="I5432" s="136" t="s">
        <v>20480</v>
      </c>
      <c r="J5432" s="136" t="s">
        <v>20481</v>
      </c>
      <c r="L5432" s="136"/>
      <c r="M5432" s="136"/>
      <c r="N5432" s="136"/>
    </row>
    <row r="5433" spans="6:14">
      <c r="F5433" s="136" t="s">
        <v>20482</v>
      </c>
      <c r="G5433" s="136">
        <v>5430</v>
      </c>
      <c r="H5433" s="136" t="s">
        <v>20483</v>
      </c>
      <c r="I5433" s="136" t="s">
        <v>20484</v>
      </c>
      <c r="J5433" s="136" t="s">
        <v>20485</v>
      </c>
      <c r="L5433" s="136"/>
      <c r="M5433" s="136"/>
      <c r="N5433" s="136"/>
    </row>
    <row r="5434" spans="6:14">
      <c r="F5434" s="136" t="s">
        <v>20486</v>
      </c>
      <c r="G5434" s="136">
        <v>5431</v>
      </c>
      <c r="H5434" s="136" t="s">
        <v>20487</v>
      </c>
      <c r="I5434" s="136" t="s">
        <v>23398</v>
      </c>
      <c r="J5434" s="136" t="s">
        <v>20488</v>
      </c>
      <c r="L5434" s="136"/>
      <c r="M5434" s="136"/>
      <c r="N5434" s="136"/>
    </row>
    <row r="5435" spans="6:14">
      <c r="F5435" s="136" t="s">
        <v>20489</v>
      </c>
      <c r="G5435" s="136">
        <v>5432</v>
      </c>
      <c r="H5435" s="136" t="s">
        <v>20490</v>
      </c>
      <c r="I5435" s="136" t="s">
        <v>20491</v>
      </c>
      <c r="J5435" s="136" t="s">
        <v>20492</v>
      </c>
      <c r="L5435" s="136"/>
      <c r="M5435" s="136"/>
      <c r="N5435" s="136"/>
    </row>
    <row r="5436" spans="6:14">
      <c r="F5436" s="136" t="s">
        <v>20493</v>
      </c>
      <c r="G5436" s="136">
        <v>5433</v>
      </c>
      <c r="H5436" s="136" t="s">
        <v>20494</v>
      </c>
      <c r="I5436" s="136" t="s">
        <v>20495</v>
      </c>
      <c r="J5436" s="136" t="s">
        <v>20496</v>
      </c>
      <c r="L5436" s="136"/>
      <c r="M5436" s="136"/>
      <c r="N5436" s="136"/>
    </row>
    <row r="5437" spans="6:14">
      <c r="F5437" s="136" t="s">
        <v>20497</v>
      </c>
      <c r="G5437" s="136">
        <v>5434</v>
      </c>
      <c r="H5437" s="136" t="s">
        <v>20498</v>
      </c>
      <c r="I5437" s="136" t="s">
        <v>20498</v>
      </c>
      <c r="J5437" s="136" t="s">
        <v>20499</v>
      </c>
      <c r="L5437" s="136"/>
      <c r="M5437" s="136"/>
      <c r="N5437" s="136"/>
    </row>
    <row r="5438" spans="6:14">
      <c r="F5438" s="136" t="s">
        <v>21255</v>
      </c>
      <c r="G5438" s="136">
        <v>13328442600</v>
      </c>
      <c r="H5438" s="136" t="s">
        <v>21256</v>
      </c>
      <c r="I5438" s="136" t="s">
        <v>21256</v>
      </c>
      <c r="J5438" s="136" t="s">
        <v>21257</v>
      </c>
      <c r="L5438" s="136"/>
      <c r="M5438" s="136"/>
      <c r="N5438" s="136"/>
    </row>
    <row r="5439" spans="6:14">
      <c r="F5439" s="136" t="s">
        <v>21258</v>
      </c>
      <c r="G5439" s="136">
        <v>33627354877</v>
      </c>
      <c r="H5439" s="136" t="s">
        <v>21259</v>
      </c>
      <c r="I5439" s="136" t="s">
        <v>21259</v>
      </c>
      <c r="J5439" s="136" t="s">
        <v>21260</v>
      </c>
      <c r="L5439" s="136"/>
      <c r="M5439" s="136"/>
      <c r="N5439" s="136"/>
    </row>
    <row r="5440" spans="6:14">
      <c r="F5440" s="136" t="s">
        <v>21261</v>
      </c>
      <c r="G5440" s="136">
        <v>5437</v>
      </c>
      <c r="H5440" s="136" t="s">
        <v>21262</v>
      </c>
      <c r="I5440" s="136" t="s">
        <v>21262</v>
      </c>
      <c r="J5440" s="136" t="s">
        <v>21263</v>
      </c>
      <c r="L5440" s="136"/>
      <c r="M5440" s="136"/>
      <c r="N5440" s="136"/>
    </row>
    <row r="5441" spans="6:14">
      <c r="F5441" s="136" t="s">
        <v>21264</v>
      </c>
      <c r="G5441" s="136">
        <v>5438</v>
      </c>
      <c r="H5441" s="136" t="s">
        <v>21265</v>
      </c>
      <c r="I5441" s="136" t="s">
        <v>21265</v>
      </c>
      <c r="J5441" s="136" t="s">
        <v>21266</v>
      </c>
      <c r="L5441" s="136"/>
      <c r="M5441" s="136"/>
      <c r="N5441" s="136"/>
    </row>
    <row r="5442" spans="6:14">
      <c r="F5442" s="136" t="s">
        <v>21267</v>
      </c>
      <c r="G5442" s="136">
        <v>5439</v>
      </c>
      <c r="H5442" s="136" t="s">
        <v>21268</v>
      </c>
      <c r="I5442" s="136" t="s">
        <v>21268</v>
      </c>
      <c r="J5442" s="136" t="s">
        <v>21269</v>
      </c>
      <c r="L5442" s="136"/>
      <c r="M5442" s="136"/>
      <c r="N5442" s="136"/>
    </row>
    <row r="5443" spans="6:14">
      <c r="F5443" s="136" t="s">
        <v>21318</v>
      </c>
      <c r="G5443" s="136">
        <v>5440</v>
      </c>
      <c r="H5443" s="136" t="s">
        <v>21319</v>
      </c>
      <c r="I5443" s="136" t="s">
        <v>21320</v>
      </c>
      <c r="J5443" s="136" t="s">
        <v>21321</v>
      </c>
      <c r="L5443" s="136"/>
      <c r="M5443" s="136"/>
      <c r="N5443" s="136"/>
    </row>
    <row r="5444" spans="6:14">
      <c r="F5444" s="136" t="s">
        <v>21322</v>
      </c>
      <c r="G5444" s="136">
        <v>50929938801</v>
      </c>
      <c r="H5444" s="136" t="s">
        <v>21323</v>
      </c>
      <c r="I5444" s="136" t="s">
        <v>21323</v>
      </c>
      <c r="J5444" s="136" t="s">
        <v>21324</v>
      </c>
      <c r="L5444" s="136"/>
      <c r="M5444" s="136"/>
      <c r="N5444" s="136"/>
    </row>
    <row r="5445" spans="6:14">
      <c r="F5445" s="136" t="s">
        <v>21325</v>
      </c>
      <c r="G5445" s="136">
        <v>5442</v>
      </c>
      <c r="H5445" s="136" t="s">
        <v>21326</v>
      </c>
      <c r="I5445" s="136" t="s">
        <v>21326</v>
      </c>
      <c r="J5445" s="136" t="s">
        <v>21327</v>
      </c>
      <c r="L5445" s="136"/>
      <c r="M5445" s="136"/>
      <c r="N5445" s="136"/>
    </row>
    <row r="5446" spans="6:14">
      <c r="F5446" s="136" t="s">
        <v>21328</v>
      </c>
      <c r="G5446" s="136">
        <v>5443</v>
      </c>
      <c r="H5446" s="136" t="s">
        <v>21329</v>
      </c>
      <c r="I5446" s="136" t="s">
        <v>21329</v>
      </c>
      <c r="J5446" s="136" t="s">
        <v>21330</v>
      </c>
      <c r="L5446" s="136"/>
      <c r="M5446" s="136"/>
      <c r="N5446" s="136"/>
    </row>
    <row r="5447" spans="6:14">
      <c r="F5447" s="136" t="s">
        <v>21331</v>
      </c>
      <c r="G5447" s="136">
        <v>5444</v>
      </c>
      <c r="H5447" s="136" t="s">
        <v>21332</v>
      </c>
      <c r="I5447" s="136" t="s">
        <v>21333</v>
      </c>
      <c r="J5447" s="136" t="s">
        <v>21334</v>
      </c>
      <c r="L5447" s="136"/>
      <c r="M5447" s="136"/>
      <c r="N5447" s="136"/>
    </row>
    <row r="5448" spans="6:14">
      <c r="F5448" s="136" t="s">
        <v>21335</v>
      </c>
      <c r="G5448" s="136">
        <v>5445</v>
      </c>
      <c r="H5448" s="136" t="s">
        <v>21336</v>
      </c>
      <c r="I5448" s="136" t="s">
        <v>21337</v>
      </c>
      <c r="J5448" s="136" t="s">
        <v>21338</v>
      </c>
      <c r="L5448" s="136"/>
      <c r="M5448" s="136"/>
      <c r="N5448" s="136"/>
    </row>
    <row r="5449" spans="6:14">
      <c r="F5449" s="136" t="s">
        <v>21339</v>
      </c>
      <c r="G5449" s="136">
        <v>5446</v>
      </c>
      <c r="H5449" s="136" t="s">
        <v>21340</v>
      </c>
      <c r="I5449" s="136" t="s">
        <v>21340</v>
      </c>
      <c r="J5449" s="136" t="s">
        <v>21341</v>
      </c>
      <c r="L5449" s="136"/>
      <c r="M5449" s="136"/>
      <c r="N5449" s="136"/>
    </row>
    <row r="5450" spans="6:14">
      <c r="F5450" s="136" t="s">
        <v>21342</v>
      </c>
      <c r="G5450" s="136">
        <v>5447</v>
      </c>
      <c r="H5450" s="136" t="s">
        <v>21343</v>
      </c>
      <c r="I5450" s="136" t="s">
        <v>21344</v>
      </c>
      <c r="J5450" s="136" t="s">
        <v>21345</v>
      </c>
      <c r="L5450" s="136"/>
      <c r="M5450" s="136"/>
      <c r="N5450" s="136"/>
    </row>
    <row r="5451" spans="6:14">
      <c r="F5451" s="136" t="s">
        <v>21346</v>
      </c>
      <c r="G5451" s="136">
        <v>5448</v>
      </c>
      <c r="H5451" s="136" t="s">
        <v>21347</v>
      </c>
      <c r="I5451" s="136" t="s">
        <v>21348</v>
      </c>
      <c r="J5451" s="136" t="s">
        <v>21349</v>
      </c>
      <c r="L5451" s="136"/>
      <c r="M5451" s="136"/>
      <c r="N5451" s="136"/>
    </row>
    <row r="5452" spans="6:14">
      <c r="F5452" s="136" t="s">
        <v>21350</v>
      </c>
      <c r="G5452" s="136">
        <v>5449</v>
      </c>
      <c r="H5452" s="136" t="s">
        <v>21351</v>
      </c>
      <c r="I5452" s="136" t="s">
        <v>21352</v>
      </c>
      <c r="J5452" s="136" t="s">
        <v>21353</v>
      </c>
      <c r="L5452" s="136"/>
      <c r="M5452" s="136"/>
      <c r="N5452" s="136"/>
    </row>
    <row r="5453" spans="6:14">
      <c r="F5453" s="136" t="s">
        <v>21354</v>
      </c>
      <c r="G5453" s="136">
        <v>5450</v>
      </c>
      <c r="H5453" s="136" t="s">
        <v>21355</v>
      </c>
      <c r="I5453" s="136" t="s">
        <v>21356</v>
      </c>
      <c r="J5453" s="136" t="s">
        <v>21357</v>
      </c>
      <c r="L5453" s="136"/>
      <c r="M5453" s="136"/>
      <c r="N5453" s="136"/>
    </row>
    <row r="5454" spans="6:14">
      <c r="F5454" s="136" t="s">
        <v>21358</v>
      </c>
      <c r="G5454" s="136">
        <v>5451</v>
      </c>
      <c r="H5454" s="136" t="s">
        <v>21359</v>
      </c>
      <c r="I5454" s="136" t="s">
        <v>21360</v>
      </c>
      <c r="J5454" s="136" t="s">
        <v>21361</v>
      </c>
      <c r="L5454" s="136"/>
      <c r="M5454" s="136"/>
      <c r="N5454" s="136"/>
    </row>
    <row r="5455" spans="6:14">
      <c r="F5455" s="136" t="s">
        <v>21362</v>
      </c>
      <c r="G5455" s="136">
        <v>5452</v>
      </c>
      <c r="H5455" s="136" t="s">
        <v>21363</v>
      </c>
      <c r="I5455" s="136" t="s">
        <v>21364</v>
      </c>
      <c r="J5455" s="136" t="s">
        <v>21365</v>
      </c>
      <c r="L5455" s="136"/>
      <c r="M5455" s="136"/>
      <c r="N5455" s="136"/>
    </row>
    <row r="5456" spans="6:14">
      <c r="F5456" s="136" t="s">
        <v>21366</v>
      </c>
      <c r="G5456" s="136">
        <v>32685618880</v>
      </c>
      <c r="H5456" s="136" t="s">
        <v>21367</v>
      </c>
      <c r="I5456" s="136" t="s">
        <v>21367</v>
      </c>
      <c r="J5456" s="136" t="s">
        <v>21368</v>
      </c>
      <c r="L5456" s="136"/>
      <c r="M5456" s="136"/>
      <c r="N5456" s="136"/>
    </row>
    <row r="5457" spans="6:14">
      <c r="F5457" s="136" t="s">
        <v>21369</v>
      </c>
      <c r="G5457" s="136">
        <v>5454</v>
      </c>
      <c r="H5457" s="136" t="s">
        <v>21370</v>
      </c>
      <c r="I5457" s="136" t="s">
        <v>21371</v>
      </c>
      <c r="J5457" s="136" t="s">
        <v>21372</v>
      </c>
      <c r="L5457" s="136"/>
      <c r="M5457" s="136"/>
      <c r="N5457" s="136"/>
    </row>
    <row r="5458" spans="6:14">
      <c r="F5458" s="136" t="s">
        <v>21373</v>
      </c>
      <c r="G5458" s="136">
        <v>5455</v>
      </c>
      <c r="H5458" s="136" t="s">
        <v>21374</v>
      </c>
      <c r="I5458" s="136" t="s">
        <v>21375</v>
      </c>
      <c r="J5458" s="136" t="s">
        <v>21376</v>
      </c>
      <c r="L5458" s="136"/>
      <c r="M5458" s="136"/>
      <c r="N5458" s="136"/>
    </row>
    <row r="5459" spans="6:14">
      <c r="F5459" s="136" t="s">
        <v>21506</v>
      </c>
      <c r="G5459" s="136">
        <v>5456</v>
      </c>
      <c r="H5459" s="136" t="s">
        <v>21507</v>
      </c>
      <c r="I5459" s="136" t="s">
        <v>21508</v>
      </c>
      <c r="J5459" s="136" t="s">
        <v>21509</v>
      </c>
      <c r="L5459" s="136"/>
      <c r="M5459" s="136"/>
      <c r="N5459" s="136"/>
    </row>
    <row r="5460" spans="6:14">
      <c r="F5460" s="136" t="s">
        <v>21510</v>
      </c>
      <c r="G5460" s="136">
        <v>5457</v>
      </c>
      <c r="H5460" s="136" t="s">
        <v>21511</v>
      </c>
      <c r="I5460" s="136" t="s">
        <v>21512</v>
      </c>
      <c r="J5460" s="136" t="s">
        <v>21513</v>
      </c>
      <c r="L5460" s="136"/>
      <c r="M5460" s="136"/>
      <c r="N5460" s="136"/>
    </row>
    <row r="5461" spans="6:14">
      <c r="F5461" s="136" t="s">
        <v>21514</v>
      </c>
      <c r="G5461" s="136">
        <v>5458</v>
      </c>
      <c r="H5461" s="136" t="s">
        <v>21515</v>
      </c>
      <c r="I5461" s="136" t="s">
        <v>21516</v>
      </c>
      <c r="J5461" s="136" t="s">
        <v>21517</v>
      </c>
      <c r="L5461" s="136"/>
      <c r="M5461" s="136"/>
      <c r="N5461" s="136"/>
    </row>
    <row r="5462" spans="6:14">
      <c r="F5462" s="136" t="s">
        <v>21518</v>
      </c>
      <c r="G5462" s="136">
        <v>5459</v>
      </c>
      <c r="H5462" s="136" t="s">
        <v>21519</v>
      </c>
      <c r="I5462" s="136" t="s">
        <v>21519</v>
      </c>
      <c r="J5462" s="136" t="s">
        <v>21520</v>
      </c>
      <c r="L5462" s="136"/>
      <c r="M5462" s="136"/>
      <c r="N5462" s="136"/>
    </row>
    <row r="5463" spans="6:14">
      <c r="F5463" s="136" t="s">
        <v>21521</v>
      </c>
      <c r="G5463" s="136">
        <v>5460</v>
      </c>
      <c r="H5463" s="136" t="s">
        <v>21522</v>
      </c>
      <c r="I5463" s="136" t="s">
        <v>21523</v>
      </c>
      <c r="J5463" s="136" t="s">
        <v>21524</v>
      </c>
      <c r="L5463" s="136"/>
      <c r="M5463" s="136"/>
      <c r="N5463" s="136"/>
    </row>
    <row r="5464" spans="6:14">
      <c r="F5464" s="136" t="s">
        <v>22300</v>
      </c>
      <c r="G5464" s="136">
        <v>5461</v>
      </c>
      <c r="H5464" s="136" t="s">
        <v>22301</v>
      </c>
      <c r="I5464" s="136" t="s">
        <v>22301</v>
      </c>
      <c r="J5464" s="136" t="s">
        <v>22302</v>
      </c>
      <c r="L5464" s="136"/>
      <c r="M5464" s="136"/>
      <c r="N5464" s="136"/>
    </row>
    <row r="5465" spans="6:14">
      <c r="F5465" s="136" t="s">
        <v>22303</v>
      </c>
      <c r="G5465" s="136">
        <v>5462</v>
      </c>
      <c r="H5465" s="136" t="s">
        <v>22304</v>
      </c>
      <c r="I5465" s="136" t="s">
        <v>22304</v>
      </c>
      <c r="J5465" s="136" t="s">
        <v>22305</v>
      </c>
      <c r="L5465" s="136"/>
      <c r="M5465" s="136"/>
      <c r="N5465" s="136"/>
    </row>
    <row r="5466" spans="6:14">
      <c r="F5466" s="136" t="s">
        <v>22306</v>
      </c>
      <c r="G5466" s="136">
        <v>46265054813</v>
      </c>
      <c r="H5466" s="136" t="s">
        <v>22307</v>
      </c>
      <c r="I5466" s="136" t="s">
        <v>22308</v>
      </c>
      <c r="J5466" s="136" t="s">
        <v>22309</v>
      </c>
      <c r="L5466" s="136"/>
      <c r="M5466" s="136"/>
      <c r="N5466" s="136"/>
    </row>
    <row r="5467" spans="6:14">
      <c r="F5467" s="136" t="s">
        <v>22310</v>
      </c>
      <c r="G5467" s="136">
        <v>5464</v>
      </c>
      <c r="H5467" s="136" t="s">
        <v>22311</v>
      </c>
      <c r="I5467" s="136" t="s">
        <v>22312</v>
      </c>
      <c r="J5467" s="136" t="s">
        <v>22313</v>
      </c>
      <c r="L5467" s="136"/>
      <c r="M5467" s="136"/>
      <c r="N5467" s="136"/>
    </row>
    <row r="5468" spans="6:14">
      <c r="F5468" s="136" t="s">
        <v>22314</v>
      </c>
      <c r="G5468" s="136">
        <v>25030782818</v>
      </c>
      <c r="H5468" s="136" t="s">
        <v>22315</v>
      </c>
      <c r="I5468" s="136" t="s">
        <v>22315</v>
      </c>
      <c r="J5468" s="136" t="s">
        <v>22316</v>
      </c>
      <c r="L5468" s="136"/>
      <c r="M5468" s="136"/>
      <c r="N5468" s="136"/>
    </row>
    <row r="5469" spans="6:14">
      <c r="F5469" s="136" t="s">
        <v>22317</v>
      </c>
      <c r="G5469" s="136">
        <v>5466</v>
      </c>
      <c r="H5469" s="136" t="s">
        <v>22318</v>
      </c>
      <c r="I5469" s="136" t="s">
        <v>22318</v>
      </c>
      <c r="J5469" s="136" t="s">
        <v>22319</v>
      </c>
      <c r="L5469" s="136"/>
      <c r="M5469" s="136"/>
      <c r="N5469" s="136"/>
    </row>
    <row r="5470" spans="6:14">
      <c r="F5470" s="136" t="s">
        <v>22320</v>
      </c>
      <c r="G5470" s="136">
        <v>5467</v>
      </c>
      <c r="H5470" s="136" t="s">
        <v>22321</v>
      </c>
      <c r="I5470" s="136" t="s">
        <v>22321</v>
      </c>
      <c r="J5470" s="136" t="s">
        <v>22322</v>
      </c>
      <c r="L5470" s="136"/>
      <c r="M5470" s="136"/>
      <c r="N5470" s="136"/>
    </row>
    <row r="5471" spans="6:14">
      <c r="F5471" s="136" t="s">
        <v>22323</v>
      </c>
      <c r="G5471" s="136">
        <v>5468</v>
      </c>
      <c r="H5471" s="136" t="s">
        <v>22324</v>
      </c>
      <c r="I5471" s="136" t="s">
        <v>22325</v>
      </c>
      <c r="J5471" s="136" t="s">
        <v>22326</v>
      </c>
      <c r="L5471" s="136"/>
      <c r="M5471" s="136"/>
      <c r="N5471" s="136"/>
    </row>
    <row r="5472" spans="6:14">
      <c r="F5472" s="136" t="s">
        <v>22327</v>
      </c>
      <c r="G5472" s="136">
        <v>72500638715</v>
      </c>
      <c r="H5472" s="136" t="s">
        <v>22328</v>
      </c>
      <c r="I5472" s="136" t="s">
        <v>22329</v>
      </c>
      <c r="J5472" s="136" t="s">
        <v>22330</v>
      </c>
      <c r="L5472" s="136"/>
      <c r="M5472" s="136"/>
      <c r="N5472" s="136"/>
    </row>
    <row r="5473" spans="6:14">
      <c r="F5473" s="136" t="s">
        <v>22331</v>
      </c>
      <c r="G5473" s="136">
        <v>10848130766</v>
      </c>
      <c r="H5473" s="136" t="s">
        <v>22332</v>
      </c>
      <c r="I5473" s="136" t="s">
        <v>22332</v>
      </c>
      <c r="J5473" s="136" t="s">
        <v>22333</v>
      </c>
      <c r="L5473" s="136"/>
      <c r="M5473" s="136"/>
      <c r="N5473" s="136"/>
    </row>
    <row r="5474" spans="6:14">
      <c r="F5474" s="136" t="s">
        <v>22334</v>
      </c>
      <c r="G5474" s="136">
        <v>14206100748</v>
      </c>
      <c r="H5474" s="136" t="s">
        <v>22335</v>
      </c>
      <c r="I5474" s="136" t="s">
        <v>22335</v>
      </c>
      <c r="J5474" s="136" t="s">
        <v>22336</v>
      </c>
      <c r="L5474" s="136"/>
      <c r="M5474" s="136"/>
      <c r="N5474" s="136"/>
    </row>
    <row r="5475" spans="6:14">
      <c r="F5475" s="136" t="s">
        <v>22337</v>
      </c>
      <c r="G5475" s="136">
        <v>9957153781</v>
      </c>
      <c r="H5475" s="136" t="s">
        <v>22338</v>
      </c>
      <c r="I5475" s="136" t="s">
        <v>22338</v>
      </c>
      <c r="J5475" s="136" t="s">
        <v>22339</v>
      </c>
      <c r="L5475" s="136"/>
      <c r="M5475" s="136"/>
      <c r="N5475" s="136"/>
    </row>
    <row r="5476" spans="6:14">
      <c r="F5476" s="136" t="s">
        <v>22340</v>
      </c>
      <c r="G5476" s="136">
        <v>5473</v>
      </c>
      <c r="H5476" s="136" t="s">
        <v>22341</v>
      </c>
      <c r="I5476" s="136" t="s">
        <v>22342</v>
      </c>
      <c r="J5476" s="136" t="s">
        <v>22343</v>
      </c>
      <c r="L5476" s="136"/>
      <c r="M5476" s="136"/>
      <c r="N5476" s="136"/>
    </row>
    <row r="5477" spans="6:14">
      <c r="F5477" s="136" t="s">
        <v>22344</v>
      </c>
      <c r="G5477" s="136">
        <v>5474</v>
      </c>
      <c r="H5477" s="136" t="s">
        <v>22345</v>
      </c>
      <c r="I5477" s="136" t="s">
        <v>22346</v>
      </c>
      <c r="J5477" s="136" t="s">
        <v>22347</v>
      </c>
      <c r="L5477" s="136"/>
      <c r="M5477" s="136"/>
      <c r="N5477" s="136"/>
    </row>
    <row r="5478" spans="6:14">
      <c r="F5478" s="136" t="s">
        <v>22348</v>
      </c>
      <c r="G5478" s="136">
        <v>5475</v>
      </c>
      <c r="H5478" s="136" t="s">
        <v>22349</v>
      </c>
      <c r="I5478" s="136" t="s">
        <v>22349</v>
      </c>
      <c r="J5478" s="136" t="s">
        <v>22350</v>
      </c>
      <c r="L5478" s="136"/>
      <c r="M5478" s="136"/>
      <c r="N5478" s="136"/>
    </row>
    <row r="5479" spans="6:14">
      <c r="F5479" s="136" t="s">
        <v>22351</v>
      </c>
      <c r="G5479" s="136">
        <v>5476</v>
      </c>
      <c r="H5479" s="136" t="s">
        <v>22352</v>
      </c>
      <c r="I5479" s="136" t="s">
        <v>22352</v>
      </c>
      <c r="J5479" s="136" t="s">
        <v>22353</v>
      </c>
      <c r="L5479" s="136"/>
      <c r="M5479" s="136"/>
      <c r="N5479" s="136"/>
    </row>
    <row r="5480" spans="6:14">
      <c r="F5480" s="136" t="s">
        <v>22354</v>
      </c>
      <c r="G5480" s="136">
        <v>5477</v>
      </c>
      <c r="H5480" s="136" t="s">
        <v>22355</v>
      </c>
      <c r="I5480" s="136" t="s">
        <v>22356</v>
      </c>
      <c r="J5480" s="136" t="s">
        <v>22357</v>
      </c>
      <c r="L5480" s="136"/>
      <c r="M5480" s="136"/>
      <c r="N5480" s="136"/>
    </row>
    <row r="5481" spans="6:14">
      <c r="F5481" s="136" t="s">
        <v>22358</v>
      </c>
      <c r="G5481" s="136">
        <v>5478</v>
      </c>
      <c r="H5481" s="136" t="s">
        <v>22359</v>
      </c>
      <c r="I5481" s="136" t="s">
        <v>22359</v>
      </c>
      <c r="J5481" s="136" t="s">
        <v>22360</v>
      </c>
      <c r="L5481" s="136"/>
      <c r="M5481" s="136"/>
      <c r="N5481" s="136"/>
    </row>
    <row r="5482" spans="6:14">
      <c r="F5482" s="136" t="s">
        <v>22361</v>
      </c>
      <c r="G5482" s="136">
        <v>5479</v>
      </c>
      <c r="H5482" s="136" t="s">
        <v>22362</v>
      </c>
      <c r="I5482" s="136" t="s">
        <v>22363</v>
      </c>
      <c r="J5482" s="136" t="s">
        <v>22364</v>
      </c>
      <c r="L5482" s="136"/>
      <c r="M5482" s="136"/>
      <c r="N5482" s="136"/>
    </row>
    <row r="5483" spans="6:14">
      <c r="F5483" s="136" t="s">
        <v>22365</v>
      </c>
      <c r="G5483" s="136">
        <v>5480</v>
      </c>
      <c r="H5483" s="136" t="s">
        <v>22366</v>
      </c>
      <c r="I5483" s="136" t="s">
        <v>22367</v>
      </c>
      <c r="J5483" s="136" t="s">
        <v>22368</v>
      </c>
      <c r="L5483" s="136"/>
      <c r="M5483" s="136"/>
      <c r="N5483" s="136"/>
    </row>
    <row r="5484" spans="6:14">
      <c r="F5484" s="136" t="s">
        <v>22369</v>
      </c>
      <c r="G5484" s="136">
        <v>11068243694</v>
      </c>
      <c r="H5484" s="136" t="s">
        <v>22370</v>
      </c>
      <c r="I5484" s="136" t="s">
        <v>22371</v>
      </c>
      <c r="J5484" s="136" t="s">
        <v>22372</v>
      </c>
      <c r="L5484" s="136"/>
      <c r="M5484" s="136"/>
      <c r="N5484" s="136"/>
    </row>
    <row r="5485" spans="6:14">
      <c r="F5485" s="136" t="s">
        <v>22373</v>
      </c>
      <c r="G5485" s="136">
        <v>5482</v>
      </c>
      <c r="H5485" s="136" t="s">
        <v>22374</v>
      </c>
      <c r="I5485" s="136" t="s">
        <v>22374</v>
      </c>
      <c r="J5485" s="136" t="s">
        <v>22375</v>
      </c>
      <c r="L5485" s="136"/>
      <c r="M5485" s="136"/>
      <c r="N5485" s="136"/>
    </row>
    <row r="5486" spans="6:14">
      <c r="F5486" s="136" t="s">
        <v>22376</v>
      </c>
      <c r="G5486" s="136">
        <v>5483</v>
      </c>
      <c r="H5486" s="136" t="s">
        <v>22377</v>
      </c>
      <c r="I5486" s="136" t="s">
        <v>22378</v>
      </c>
      <c r="J5486" s="136" t="s">
        <v>22379</v>
      </c>
      <c r="L5486" s="136"/>
      <c r="M5486" s="136"/>
      <c r="N5486" s="136"/>
    </row>
    <row r="5487" spans="6:14">
      <c r="F5487" s="136" t="s">
        <v>22380</v>
      </c>
      <c r="G5487" s="136">
        <v>5484</v>
      </c>
      <c r="H5487" s="136" t="s">
        <v>22296</v>
      </c>
      <c r="I5487" s="136" t="s">
        <v>22297</v>
      </c>
      <c r="J5487" s="136" t="s">
        <v>22381</v>
      </c>
      <c r="L5487" s="136"/>
      <c r="M5487" s="136"/>
      <c r="N5487" s="136"/>
    </row>
    <row r="5488" spans="6:14">
      <c r="F5488" s="136" t="s">
        <v>22382</v>
      </c>
      <c r="G5488" s="136">
        <v>5485</v>
      </c>
      <c r="H5488" s="136" t="s">
        <v>1744</v>
      </c>
      <c r="I5488" s="136" t="s">
        <v>22383</v>
      </c>
      <c r="J5488" s="136" t="s">
        <v>22384</v>
      </c>
      <c r="L5488" s="136"/>
      <c r="M5488" s="136"/>
      <c r="N5488" s="136"/>
    </row>
    <row r="5489" spans="6:14">
      <c r="F5489" s="136" t="s">
        <v>22385</v>
      </c>
      <c r="G5489" s="136">
        <v>5486</v>
      </c>
      <c r="H5489" s="136" t="s">
        <v>22386</v>
      </c>
      <c r="I5489" s="136" t="s">
        <v>22387</v>
      </c>
      <c r="J5489" s="136" t="s">
        <v>22388</v>
      </c>
      <c r="L5489" s="136"/>
      <c r="M5489" s="136"/>
      <c r="N5489" s="136"/>
    </row>
    <row r="5490" spans="6:14">
      <c r="F5490" s="136" t="s">
        <v>22389</v>
      </c>
      <c r="G5490" s="136">
        <v>3465193903</v>
      </c>
      <c r="H5490" s="136" t="s">
        <v>22390</v>
      </c>
      <c r="I5490" s="136" t="s">
        <v>22390</v>
      </c>
      <c r="J5490" s="136" t="s">
        <v>22391</v>
      </c>
      <c r="L5490" s="136"/>
      <c r="M5490" s="136"/>
      <c r="N5490" s="136"/>
    </row>
    <row r="5491" spans="6:14">
      <c r="F5491" s="136" t="s">
        <v>22392</v>
      </c>
      <c r="G5491" s="136">
        <v>6869363455</v>
      </c>
      <c r="H5491" s="136" t="s">
        <v>22393</v>
      </c>
      <c r="I5491" s="136" t="s">
        <v>22394</v>
      </c>
      <c r="J5491" s="136" t="s">
        <v>22395</v>
      </c>
      <c r="L5491" s="136"/>
      <c r="M5491" s="136"/>
      <c r="N5491" s="136"/>
    </row>
    <row r="5492" spans="6:14">
      <c r="F5492" s="136" t="s">
        <v>22396</v>
      </c>
      <c r="G5492" s="136">
        <v>5489</v>
      </c>
      <c r="H5492" s="136" t="s">
        <v>22397</v>
      </c>
      <c r="I5492" s="136" t="s">
        <v>22397</v>
      </c>
      <c r="J5492" s="136" t="s">
        <v>22398</v>
      </c>
      <c r="L5492" s="136"/>
      <c r="M5492" s="136"/>
      <c r="N5492" s="136"/>
    </row>
    <row r="5493" spans="6:14">
      <c r="F5493" s="136" t="s">
        <v>22399</v>
      </c>
      <c r="G5493" s="136">
        <v>13489113799</v>
      </c>
      <c r="H5493" s="136" t="s">
        <v>22400</v>
      </c>
      <c r="I5493" s="136" t="s">
        <v>22400</v>
      </c>
      <c r="J5493" s="136" t="s">
        <v>22401</v>
      </c>
      <c r="L5493" s="136"/>
      <c r="M5493" s="136"/>
      <c r="N5493" s="136"/>
    </row>
    <row r="5494" spans="6:14">
      <c r="F5494" s="136" t="s">
        <v>22402</v>
      </c>
      <c r="G5494" s="136">
        <v>656254807</v>
      </c>
      <c r="H5494" s="136" t="s">
        <v>22403</v>
      </c>
      <c r="I5494" s="136" t="s">
        <v>22403</v>
      </c>
      <c r="J5494" s="136" t="s">
        <v>22404</v>
      </c>
      <c r="L5494" s="136"/>
      <c r="M5494" s="136"/>
      <c r="N5494" s="136"/>
    </row>
    <row r="5495" spans="6:14">
      <c r="F5495" s="136" t="s">
        <v>22405</v>
      </c>
      <c r="G5495" s="136">
        <v>5492</v>
      </c>
      <c r="H5495" s="136" t="s">
        <v>22406</v>
      </c>
      <c r="I5495" s="136" t="s">
        <v>22407</v>
      </c>
      <c r="J5495" s="136" t="s">
        <v>22408</v>
      </c>
      <c r="L5495" s="136"/>
      <c r="M5495" s="136"/>
      <c r="N5495" s="136"/>
    </row>
    <row r="5496" spans="6:14">
      <c r="F5496" s="136" t="s">
        <v>22409</v>
      </c>
      <c r="G5496" s="136">
        <v>5493</v>
      </c>
      <c r="H5496" s="136" t="s">
        <v>22410</v>
      </c>
      <c r="I5496" s="136" t="s">
        <v>22411</v>
      </c>
      <c r="J5496" s="136" t="s">
        <v>22412</v>
      </c>
      <c r="L5496" s="136"/>
      <c r="M5496" s="136"/>
      <c r="N5496" s="136"/>
    </row>
    <row r="5497" spans="6:14">
      <c r="F5497" s="136" t="s">
        <v>22413</v>
      </c>
      <c r="G5497" s="136">
        <v>5494</v>
      </c>
      <c r="H5497" s="136" t="s">
        <v>22414</v>
      </c>
      <c r="I5497" s="136" t="s">
        <v>22415</v>
      </c>
      <c r="J5497" s="136" t="s">
        <v>22416</v>
      </c>
      <c r="L5497" s="136"/>
      <c r="M5497" s="136"/>
      <c r="N5497" s="136"/>
    </row>
    <row r="5498" spans="6:14">
      <c r="F5498" s="136" t="s">
        <v>22417</v>
      </c>
      <c r="G5498" s="136">
        <v>5495</v>
      </c>
      <c r="H5498" s="136" t="s">
        <v>22418</v>
      </c>
      <c r="I5498" s="136" t="s">
        <v>22418</v>
      </c>
      <c r="J5498" s="136" t="s">
        <v>22419</v>
      </c>
      <c r="L5498" s="136"/>
      <c r="M5498" s="136"/>
      <c r="N5498" s="136"/>
    </row>
    <row r="5499" spans="6:14">
      <c r="F5499" s="136" t="s">
        <v>22420</v>
      </c>
      <c r="G5499" s="136">
        <v>5496</v>
      </c>
      <c r="H5499" s="136" t="s">
        <v>22421</v>
      </c>
      <c r="I5499" s="136" t="s">
        <v>22422</v>
      </c>
      <c r="J5499" s="136" t="s">
        <v>22423</v>
      </c>
      <c r="L5499" s="136"/>
      <c r="M5499" s="136"/>
      <c r="N5499" s="136"/>
    </row>
    <row r="5500" spans="6:14">
      <c r="F5500" s="136" t="s">
        <v>22424</v>
      </c>
      <c r="G5500" s="136">
        <v>5497</v>
      </c>
      <c r="H5500" s="136" t="s">
        <v>22425</v>
      </c>
      <c r="I5500" s="136" t="s">
        <v>22426</v>
      </c>
      <c r="J5500" s="136" t="s">
        <v>22427</v>
      </c>
      <c r="L5500" s="136"/>
      <c r="M5500" s="136"/>
      <c r="N5500" s="136"/>
    </row>
    <row r="5501" spans="6:14">
      <c r="F5501" s="136" t="s">
        <v>22428</v>
      </c>
      <c r="G5501" s="136">
        <v>5498</v>
      </c>
      <c r="H5501" s="136" t="s">
        <v>22429</v>
      </c>
      <c r="I5501" s="136" t="s">
        <v>22430</v>
      </c>
      <c r="J5501" s="136" t="s">
        <v>22431</v>
      </c>
      <c r="L5501" s="136"/>
      <c r="M5501" s="136"/>
      <c r="N5501" s="136"/>
    </row>
    <row r="5502" spans="6:14">
      <c r="F5502" s="136" t="s">
        <v>22432</v>
      </c>
      <c r="G5502" s="136">
        <v>5499</v>
      </c>
      <c r="H5502" s="136" t="s">
        <v>22433</v>
      </c>
      <c r="I5502" s="136" t="s">
        <v>22433</v>
      </c>
      <c r="J5502" s="136" t="s">
        <v>22434</v>
      </c>
      <c r="L5502" s="136"/>
      <c r="M5502" s="136"/>
      <c r="N5502" s="136"/>
    </row>
    <row r="5503" spans="6:14">
      <c r="F5503" s="136" t="s">
        <v>22435</v>
      </c>
      <c r="G5503" s="136">
        <v>5500</v>
      </c>
      <c r="H5503" s="136" t="s">
        <v>22436</v>
      </c>
      <c r="I5503" s="136" t="s">
        <v>22437</v>
      </c>
      <c r="J5503" s="136" t="s">
        <v>22438</v>
      </c>
      <c r="L5503" s="136"/>
      <c r="M5503" s="136"/>
      <c r="N5503" s="136"/>
    </row>
    <row r="5504" spans="6:14">
      <c r="F5504" s="136" t="s">
        <v>22484</v>
      </c>
      <c r="G5504" s="136">
        <v>1942899157</v>
      </c>
      <c r="H5504" s="136" t="s">
        <v>22485</v>
      </c>
      <c r="I5504" s="136" t="s">
        <v>22486</v>
      </c>
      <c r="J5504" s="136" t="s">
        <v>22487</v>
      </c>
      <c r="L5504" s="136"/>
      <c r="M5504" s="136"/>
      <c r="N5504" s="136"/>
    </row>
    <row r="5505" spans="6:14">
      <c r="F5505" s="136" t="s">
        <v>22488</v>
      </c>
      <c r="G5505" s="136">
        <v>5502</v>
      </c>
      <c r="H5505" s="136" t="s">
        <v>22489</v>
      </c>
      <c r="I5505" s="136" t="s">
        <v>22490</v>
      </c>
      <c r="J5505" s="136" t="s">
        <v>22491</v>
      </c>
      <c r="L5505" s="136"/>
      <c r="M5505" s="136"/>
      <c r="N5505" s="136"/>
    </row>
    <row r="5506" spans="6:14">
      <c r="F5506" s="136" t="s">
        <v>22492</v>
      </c>
      <c r="G5506" s="136">
        <v>5503</v>
      </c>
      <c r="H5506" s="136" t="s">
        <v>22493</v>
      </c>
      <c r="I5506" s="136" t="s">
        <v>22494</v>
      </c>
      <c r="J5506" s="136" t="s">
        <v>22495</v>
      </c>
      <c r="L5506" s="136"/>
      <c r="M5506" s="136"/>
      <c r="N5506" s="136"/>
    </row>
    <row r="5507" spans="6:14">
      <c r="F5507" s="136" t="s">
        <v>22496</v>
      </c>
      <c r="G5507" s="136">
        <v>5504</v>
      </c>
      <c r="H5507" s="136" t="s">
        <v>22497</v>
      </c>
      <c r="I5507" s="136" t="s">
        <v>22498</v>
      </c>
      <c r="J5507" s="136" t="s">
        <v>22499</v>
      </c>
      <c r="L5507" s="136"/>
      <c r="M5507" s="136"/>
      <c r="N5507" s="136"/>
    </row>
    <row r="5508" spans="6:14">
      <c r="F5508" s="136" t="s">
        <v>22500</v>
      </c>
      <c r="G5508" s="136">
        <v>5505</v>
      </c>
      <c r="H5508" s="136" t="s">
        <v>22501</v>
      </c>
      <c r="I5508" s="136" t="s">
        <v>22502</v>
      </c>
      <c r="J5508" s="136" t="s">
        <v>22503</v>
      </c>
      <c r="L5508" s="136"/>
      <c r="M5508" s="136"/>
      <c r="N5508" s="136"/>
    </row>
    <row r="5509" spans="6:14">
      <c r="F5509" s="136" t="s">
        <v>22504</v>
      </c>
      <c r="G5509" s="136">
        <v>5506</v>
      </c>
      <c r="H5509" s="136" t="s">
        <v>22505</v>
      </c>
      <c r="I5509" s="136" t="s">
        <v>22505</v>
      </c>
      <c r="J5509" s="136" t="s">
        <v>22506</v>
      </c>
      <c r="L5509" s="136"/>
      <c r="M5509" s="136"/>
      <c r="N5509" s="136"/>
    </row>
    <row r="5510" spans="6:14">
      <c r="F5510" s="136" t="s">
        <v>22507</v>
      </c>
      <c r="G5510" s="136">
        <v>5507</v>
      </c>
      <c r="H5510" s="136" t="s">
        <v>22508</v>
      </c>
      <c r="I5510" s="136" t="s">
        <v>22509</v>
      </c>
      <c r="J5510" s="136" t="s">
        <v>22510</v>
      </c>
      <c r="L5510" s="136"/>
      <c r="M5510" s="136"/>
      <c r="N5510" s="136"/>
    </row>
    <row r="5511" spans="6:14">
      <c r="F5511" s="136" t="s">
        <v>22511</v>
      </c>
      <c r="G5511" s="136">
        <v>5508</v>
      </c>
      <c r="H5511" s="136" t="s">
        <v>22512</v>
      </c>
      <c r="I5511" s="136" t="s">
        <v>22502</v>
      </c>
      <c r="J5511" s="136" t="s">
        <v>22513</v>
      </c>
      <c r="L5511" s="136"/>
      <c r="M5511" s="136"/>
      <c r="N5511" s="136"/>
    </row>
    <row r="5512" spans="6:14">
      <c r="F5512" s="136" t="s">
        <v>22514</v>
      </c>
      <c r="G5512" s="136">
        <v>83593985772</v>
      </c>
      <c r="H5512" s="136" t="s">
        <v>22515</v>
      </c>
      <c r="I5512" s="136" t="s">
        <v>22515</v>
      </c>
      <c r="J5512" s="136" t="s">
        <v>22516</v>
      </c>
      <c r="L5512" s="136"/>
      <c r="M5512" s="136"/>
      <c r="N5512" s="136"/>
    </row>
    <row r="5513" spans="6:14">
      <c r="F5513" s="136" t="s">
        <v>22517</v>
      </c>
      <c r="G5513" s="136">
        <v>5510</v>
      </c>
      <c r="H5513" s="136" t="s">
        <v>22518</v>
      </c>
      <c r="I5513" s="136" t="s">
        <v>22519</v>
      </c>
      <c r="J5513" s="136" t="s">
        <v>22520</v>
      </c>
      <c r="L5513" s="136"/>
      <c r="M5513" s="136"/>
      <c r="N5513" s="136"/>
    </row>
    <row r="5514" spans="6:14">
      <c r="F5514" s="136" t="s">
        <v>22521</v>
      </c>
      <c r="G5514" s="136">
        <v>5511</v>
      </c>
      <c r="H5514" s="136" t="s">
        <v>22522</v>
      </c>
      <c r="I5514" s="136" t="s">
        <v>22523</v>
      </c>
      <c r="J5514" s="136" t="s">
        <v>22524</v>
      </c>
      <c r="L5514" s="136"/>
      <c r="M5514" s="136"/>
      <c r="N5514" s="136"/>
    </row>
    <row r="5515" spans="6:14">
      <c r="F5515" s="136" t="s">
        <v>22525</v>
      </c>
      <c r="G5515" s="136">
        <v>5512</v>
      </c>
      <c r="H5515" s="136" t="s">
        <v>22526</v>
      </c>
      <c r="I5515" s="136" t="s">
        <v>22526</v>
      </c>
      <c r="J5515" s="136" t="s">
        <v>22527</v>
      </c>
      <c r="L5515" s="136"/>
      <c r="M5515" s="136"/>
      <c r="N5515" s="136"/>
    </row>
    <row r="5516" spans="6:14">
      <c r="F5516" s="136" t="s">
        <v>22528</v>
      </c>
      <c r="G5516" s="136">
        <v>5513</v>
      </c>
      <c r="H5516" s="136" t="s">
        <v>22529</v>
      </c>
      <c r="I5516" s="136" t="s">
        <v>23128</v>
      </c>
      <c r="J5516" s="136" t="s">
        <v>22530</v>
      </c>
      <c r="L5516" s="136"/>
      <c r="M5516" s="136"/>
      <c r="N5516" s="136"/>
    </row>
    <row r="5517" spans="6:14">
      <c r="F5517" s="136" t="s">
        <v>22531</v>
      </c>
      <c r="G5517" s="136">
        <v>5514</v>
      </c>
      <c r="H5517" s="136" t="s">
        <v>22532</v>
      </c>
      <c r="I5517" s="136" t="s">
        <v>22533</v>
      </c>
      <c r="J5517" s="136" t="s">
        <v>22534</v>
      </c>
      <c r="L5517" s="136"/>
      <c r="M5517" s="136"/>
      <c r="N5517" s="136"/>
    </row>
    <row r="5518" spans="6:14">
      <c r="F5518" s="136" t="s">
        <v>22535</v>
      </c>
      <c r="G5518" s="136">
        <v>5515</v>
      </c>
      <c r="H5518" s="136" t="s">
        <v>22536</v>
      </c>
      <c r="I5518" s="136" t="s">
        <v>22537</v>
      </c>
      <c r="J5518" s="136" t="s">
        <v>22538</v>
      </c>
      <c r="L5518" s="136"/>
      <c r="M5518" s="136"/>
      <c r="N5518" s="136"/>
    </row>
    <row r="5519" spans="6:14">
      <c r="F5519" s="136" t="s">
        <v>22539</v>
      </c>
      <c r="G5519" s="136">
        <v>5516</v>
      </c>
      <c r="H5519" s="136" t="s">
        <v>22540</v>
      </c>
      <c r="I5519" s="136" t="s">
        <v>22540</v>
      </c>
      <c r="J5519" s="136" t="s">
        <v>22541</v>
      </c>
      <c r="L5519" s="136"/>
      <c r="M5519" s="136"/>
      <c r="N5519" s="136"/>
    </row>
    <row r="5520" spans="6:14">
      <c r="F5520" s="136" t="s">
        <v>22542</v>
      </c>
      <c r="G5520" s="136">
        <v>8156857186</v>
      </c>
      <c r="H5520" s="136" t="s">
        <v>22543</v>
      </c>
      <c r="I5520" s="136" t="s">
        <v>22543</v>
      </c>
      <c r="J5520" s="136" t="s">
        <v>22544</v>
      </c>
      <c r="L5520" s="136"/>
      <c r="M5520" s="136"/>
      <c r="N5520" s="136"/>
    </row>
    <row r="5521" spans="6:14">
      <c r="F5521" s="136" t="s">
        <v>22545</v>
      </c>
      <c r="G5521" s="136">
        <v>5518</v>
      </c>
      <c r="H5521" s="136" t="s">
        <v>22546</v>
      </c>
      <c r="I5521" s="136" t="s">
        <v>22547</v>
      </c>
      <c r="J5521" s="136" t="s">
        <v>22548</v>
      </c>
      <c r="L5521" s="136"/>
      <c r="M5521" s="136"/>
      <c r="N5521" s="136"/>
    </row>
    <row r="5522" spans="6:14">
      <c r="F5522" s="136" t="s">
        <v>22549</v>
      </c>
      <c r="G5522" s="136">
        <v>5519</v>
      </c>
      <c r="H5522" s="136" t="s">
        <v>22550</v>
      </c>
      <c r="I5522" s="136" t="s">
        <v>22550</v>
      </c>
      <c r="J5522" s="136" t="s">
        <v>22551</v>
      </c>
      <c r="L5522" s="136"/>
      <c r="M5522" s="136"/>
      <c r="N5522" s="136"/>
    </row>
    <row r="5523" spans="6:14">
      <c r="F5523" s="136" t="s">
        <v>22552</v>
      </c>
      <c r="G5523" s="136">
        <v>5520</v>
      </c>
      <c r="H5523" s="136" t="s">
        <v>13267</v>
      </c>
      <c r="I5523" s="136" t="s">
        <v>13267</v>
      </c>
      <c r="J5523" s="136" t="s">
        <v>22553</v>
      </c>
      <c r="L5523" s="136"/>
      <c r="M5523" s="136"/>
      <c r="N5523" s="136"/>
    </row>
    <row r="5524" spans="6:14">
      <c r="F5524" s="136" t="s">
        <v>22587</v>
      </c>
      <c r="G5524" s="136">
        <v>5521</v>
      </c>
      <c r="H5524" s="136" t="s">
        <v>22588</v>
      </c>
      <c r="I5524" s="136" t="s">
        <v>22589</v>
      </c>
      <c r="J5524" s="136" t="s">
        <v>22590</v>
      </c>
      <c r="L5524" s="136"/>
      <c r="M5524" s="136"/>
      <c r="N5524" s="136"/>
    </row>
    <row r="5525" spans="6:14">
      <c r="F5525" s="136" t="s">
        <v>22591</v>
      </c>
      <c r="G5525" s="136">
        <v>5522</v>
      </c>
      <c r="H5525" s="136" t="s">
        <v>22592</v>
      </c>
      <c r="I5525" s="136" t="s">
        <v>22593</v>
      </c>
      <c r="J5525" s="136" t="s">
        <v>22594</v>
      </c>
      <c r="L5525" s="136"/>
      <c r="M5525" s="136"/>
      <c r="N5525" s="136"/>
    </row>
    <row r="5526" spans="6:14">
      <c r="F5526" s="136" t="s">
        <v>22595</v>
      </c>
      <c r="G5526" s="136">
        <v>22580098801</v>
      </c>
      <c r="H5526" s="136" t="s">
        <v>22596</v>
      </c>
      <c r="I5526" s="136" t="s">
        <v>22596</v>
      </c>
      <c r="J5526" s="136" t="s">
        <v>22597</v>
      </c>
      <c r="L5526" s="136"/>
      <c r="M5526" s="136"/>
      <c r="N5526" s="136"/>
    </row>
    <row r="5527" spans="6:14">
      <c r="F5527" s="136" t="s">
        <v>22598</v>
      </c>
      <c r="G5527" s="136">
        <v>13485314790</v>
      </c>
      <c r="H5527" s="136" t="s">
        <v>22599</v>
      </c>
      <c r="I5527" s="136" t="s">
        <v>22600</v>
      </c>
      <c r="J5527" s="136" t="s">
        <v>22601</v>
      </c>
      <c r="L5527" s="136"/>
      <c r="M5527" s="136"/>
      <c r="N5527" s="136"/>
    </row>
    <row r="5528" spans="6:14">
      <c r="F5528" s="136" t="s">
        <v>22602</v>
      </c>
      <c r="G5528" s="136">
        <v>5525</v>
      </c>
      <c r="H5528" s="136" t="s">
        <v>22603</v>
      </c>
      <c r="I5528" s="136" t="s">
        <v>22604</v>
      </c>
      <c r="J5528" s="136" t="s">
        <v>22605</v>
      </c>
      <c r="L5528" s="136"/>
      <c r="M5528" s="136"/>
      <c r="N5528" s="136"/>
    </row>
    <row r="5529" spans="6:14">
      <c r="F5529" s="136" t="s">
        <v>22606</v>
      </c>
      <c r="G5529" s="136">
        <v>5526</v>
      </c>
      <c r="H5529" s="136" t="s">
        <v>22607</v>
      </c>
      <c r="I5529" s="136" t="s">
        <v>22608</v>
      </c>
      <c r="J5529" s="136" t="s">
        <v>22609</v>
      </c>
      <c r="L5529" s="136"/>
      <c r="M5529" s="136"/>
      <c r="N5529" s="136"/>
    </row>
    <row r="5530" spans="6:14">
      <c r="F5530" s="136" t="s">
        <v>22610</v>
      </c>
      <c r="G5530" s="136">
        <v>5527</v>
      </c>
      <c r="H5530" s="136" t="s">
        <v>22611</v>
      </c>
      <c r="I5530" s="136" t="s">
        <v>22612</v>
      </c>
      <c r="J5530" s="136" t="s">
        <v>22613</v>
      </c>
      <c r="L5530" s="136"/>
      <c r="M5530" s="136"/>
      <c r="N5530" s="136"/>
    </row>
    <row r="5531" spans="6:14">
      <c r="F5531" s="136" t="s">
        <v>22614</v>
      </c>
      <c r="G5531" s="136">
        <v>5528</v>
      </c>
      <c r="H5531" s="136" t="s">
        <v>22615</v>
      </c>
      <c r="I5531" s="136" t="s">
        <v>22616</v>
      </c>
      <c r="J5531" s="136" t="s">
        <v>22617</v>
      </c>
      <c r="L5531" s="136"/>
      <c r="M5531" s="136"/>
      <c r="N5531" s="136"/>
    </row>
    <row r="5532" spans="6:14">
      <c r="F5532" s="136" t="s">
        <v>22618</v>
      </c>
      <c r="G5532" s="136">
        <v>5529</v>
      </c>
      <c r="H5532" s="136" t="s">
        <v>22619</v>
      </c>
      <c r="I5532" s="136" t="s">
        <v>22620</v>
      </c>
      <c r="J5532" s="136" t="s">
        <v>22621</v>
      </c>
      <c r="L5532" s="136"/>
      <c r="M5532" s="136"/>
      <c r="N5532" s="136"/>
    </row>
    <row r="5533" spans="6:14">
      <c r="F5533" s="136" t="s">
        <v>22622</v>
      </c>
      <c r="G5533" s="136">
        <v>5530</v>
      </c>
      <c r="H5533" s="136" t="s">
        <v>22623</v>
      </c>
      <c r="I5533" s="136" t="s">
        <v>22624</v>
      </c>
      <c r="J5533" s="136" t="s">
        <v>22625</v>
      </c>
      <c r="L5533" s="136"/>
      <c r="M5533" s="136"/>
      <c r="N5533" s="136"/>
    </row>
    <row r="5534" spans="6:14">
      <c r="F5534" s="136" t="s">
        <v>22626</v>
      </c>
      <c r="G5534" s="136">
        <v>5531</v>
      </c>
      <c r="H5534" s="136" t="s">
        <v>22627</v>
      </c>
      <c r="I5534" s="136" t="s">
        <v>22627</v>
      </c>
      <c r="J5534" s="136" t="s">
        <v>22628</v>
      </c>
      <c r="L5534" s="136"/>
      <c r="M5534" s="136"/>
      <c r="N5534" s="136"/>
    </row>
    <row r="5535" spans="6:14">
      <c r="F5535" s="136" t="s">
        <v>22629</v>
      </c>
      <c r="G5535" s="136">
        <v>5532</v>
      </c>
      <c r="H5535" s="136" t="s">
        <v>22630</v>
      </c>
      <c r="I5535" s="136" t="s">
        <v>22631</v>
      </c>
      <c r="J5535" s="136" t="s">
        <v>22632</v>
      </c>
      <c r="L5535" s="136"/>
      <c r="M5535" s="136"/>
      <c r="N5535" s="136"/>
    </row>
    <row r="5536" spans="6:14">
      <c r="F5536" s="136" t="s">
        <v>22633</v>
      </c>
      <c r="G5536" s="136">
        <v>5533</v>
      </c>
      <c r="H5536" s="136" t="s">
        <v>22634</v>
      </c>
      <c r="I5536" s="136" t="s">
        <v>22634</v>
      </c>
      <c r="J5536" s="136" t="s">
        <v>22635</v>
      </c>
      <c r="L5536" s="136"/>
      <c r="M5536" s="136"/>
      <c r="N5536" s="136"/>
    </row>
    <row r="5537" spans="6:14">
      <c r="F5537" s="136" t="s">
        <v>22676</v>
      </c>
      <c r="G5537" s="136">
        <v>27000870893</v>
      </c>
      <c r="H5537" s="136" t="s">
        <v>22677</v>
      </c>
      <c r="I5537" s="136" t="s">
        <v>22677</v>
      </c>
      <c r="J5537" s="136" t="s">
        <v>22678</v>
      </c>
      <c r="L5537" s="136"/>
      <c r="M5537" s="136"/>
      <c r="N5537" s="136"/>
    </row>
    <row r="5538" spans="6:14">
      <c r="F5538" s="136" t="s">
        <v>22679</v>
      </c>
      <c r="G5538" s="136">
        <v>5535</v>
      </c>
      <c r="H5538" s="136" t="s">
        <v>22680</v>
      </c>
      <c r="I5538" s="136" t="s">
        <v>22681</v>
      </c>
      <c r="J5538" s="136" t="s">
        <v>22682</v>
      </c>
      <c r="L5538" s="136"/>
      <c r="M5538" s="136"/>
      <c r="N5538" s="136"/>
    </row>
    <row r="5539" spans="6:14">
      <c r="F5539" s="136" t="s">
        <v>22683</v>
      </c>
      <c r="G5539" s="136">
        <v>5536</v>
      </c>
      <c r="H5539" s="136" t="s">
        <v>22684</v>
      </c>
      <c r="I5539" s="136" t="s">
        <v>22684</v>
      </c>
      <c r="J5539" s="136" t="s">
        <v>22685</v>
      </c>
      <c r="L5539" s="136"/>
      <c r="M5539" s="136"/>
      <c r="N5539" s="136"/>
    </row>
    <row r="5540" spans="6:14">
      <c r="F5540" s="136" t="s">
        <v>22686</v>
      </c>
      <c r="G5540" s="136">
        <v>5537</v>
      </c>
      <c r="H5540" s="136" t="s">
        <v>22687</v>
      </c>
      <c r="I5540" s="136" t="s">
        <v>22688</v>
      </c>
      <c r="J5540" s="136" t="s">
        <v>22689</v>
      </c>
      <c r="L5540" s="136"/>
      <c r="M5540" s="136"/>
      <c r="N5540" s="136"/>
    </row>
    <row r="5541" spans="6:14">
      <c r="F5541" s="136" t="s">
        <v>22690</v>
      </c>
      <c r="G5541" s="136">
        <v>5538</v>
      </c>
      <c r="H5541" s="136" t="s">
        <v>22691</v>
      </c>
      <c r="I5541" s="136" t="s">
        <v>22692</v>
      </c>
      <c r="J5541" s="136" t="s">
        <v>22693</v>
      </c>
      <c r="L5541" s="136"/>
      <c r="M5541" s="136"/>
      <c r="N5541" s="136"/>
    </row>
    <row r="5542" spans="6:14">
      <c r="F5542" s="136" t="s">
        <v>22694</v>
      </c>
      <c r="G5542" s="136">
        <v>5539</v>
      </c>
      <c r="H5542" s="136" t="s">
        <v>22695</v>
      </c>
      <c r="I5542" s="136" t="s">
        <v>22696</v>
      </c>
      <c r="J5542" s="136" t="s">
        <v>22697</v>
      </c>
      <c r="L5542" s="136"/>
      <c r="M5542" s="136"/>
      <c r="N5542" s="136"/>
    </row>
    <row r="5543" spans="6:14">
      <c r="F5543" s="136" t="s">
        <v>22698</v>
      </c>
      <c r="G5543" s="136">
        <v>5540</v>
      </c>
      <c r="H5543" s="136" t="s">
        <v>22699</v>
      </c>
      <c r="I5543" s="136" t="s">
        <v>22700</v>
      </c>
      <c r="J5543" s="136" t="s">
        <v>22701</v>
      </c>
      <c r="L5543" s="136"/>
      <c r="M5543" s="136"/>
      <c r="N5543" s="136"/>
    </row>
    <row r="5544" spans="6:14">
      <c r="F5544" s="136" t="s">
        <v>22702</v>
      </c>
      <c r="G5544" s="136">
        <v>5541</v>
      </c>
      <c r="H5544" s="136" t="s">
        <v>22703</v>
      </c>
      <c r="I5544" s="136" t="s">
        <v>22704</v>
      </c>
      <c r="J5544" s="136" t="s">
        <v>22705</v>
      </c>
      <c r="L5544" s="136"/>
      <c r="M5544" s="136"/>
      <c r="N5544" s="136"/>
    </row>
    <row r="5545" spans="6:14">
      <c r="F5545" s="136" t="s">
        <v>22706</v>
      </c>
      <c r="G5545" s="136">
        <v>5542</v>
      </c>
      <c r="H5545" s="136" t="s">
        <v>22707</v>
      </c>
      <c r="I5545" s="136" t="s">
        <v>22708</v>
      </c>
      <c r="J5545" s="136" t="s">
        <v>22709</v>
      </c>
      <c r="L5545" s="136"/>
      <c r="M5545" s="136"/>
      <c r="N5545" s="136"/>
    </row>
    <row r="5546" spans="6:14">
      <c r="F5546" s="136" t="s">
        <v>22710</v>
      </c>
      <c r="G5546" s="136">
        <v>5543</v>
      </c>
      <c r="H5546" s="136" t="s">
        <v>22711</v>
      </c>
      <c r="I5546" s="136" t="s">
        <v>22712</v>
      </c>
      <c r="J5546" s="136" t="s">
        <v>22713</v>
      </c>
      <c r="L5546" s="136"/>
      <c r="M5546" s="136"/>
      <c r="N5546" s="136"/>
    </row>
    <row r="5547" spans="6:14">
      <c r="F5547" s="136" t="s">
        <v>22714</v>
      </c>
      <c r="G5547" s="136">
        <v>4750203165</v>
      </c>
      <c r="H5547" s="136" t="s">
        <v>22715</v>
      </c>
      <c r="I5547" s="136" t="s">
        <v>22715</v>
      </c>
      <c r="J5547" s="136" t="s">
        <v>22716</v>
      </c>
      <c r="L5547" s="136"/>
      <c r="M5547" s="136"/>
      <c r="N5547" s="136"/>
    </row>
    <row r="5548" spans="6:14">
      <c r="F5548" s="136" t="s">
        <v>22717</v>
      </c>
      <c r="G5548" s="136">
        <v>5545</v>
      </c>
      <c r="H5548" s="136" t="s">
        <v>22718</v>
      </c>
      <c r="I5548" s="136" t="s">
        <v>22718</v>
      </c>
      <c r="J5548" s="136" t="s">
        <v>22719</v>
      </c>
      <c r="L5548" s="136"/>
      <c r="M5548" s="136"/>
      <c r="N5548" s="136"/>
    </row>
    <row r="5549" spans="6:14">
      <c r="F5549" s="136" t="s">
        <v>22720</v>
      </c>
      <c r="G5549" s="136">
        <v>5546</v>
      </c>
      <c r="H5549" s="136" t="s">
        <v>22721</v>
      </c>
      <c r="I5549" s="136" t="s">
        <v>22722</v>
      </c>
      <c r="J5549" s="136" t="s">
        <v>22723</v>
      </c>
      <c r="L5549" s="136"/>
      <c r="M5549" s="136"/>
      <c r="N5549" s="136"/>
    </row>
    <row r="5550" spans="6:14">
      <c r="F5550" s="136" t="s">
        <v>22724</v>
      </c>
      <c r="G5550" s="136">
        <v>5547</v>
      </c>
      <c r="H5550" s="136" t="s">
        <v>22725</v>
      </c>
      <c r="I5550" s="136" t="s">
        <v>22726</v>
      </c>
      <c r="J5550" s="136" t="s">
        <v>22727</v>
      </c>
      <c r="L5550" s="136"/>
      <c r="M5550" s="136"/>
      <c r="N5550" s="136"/>
    </row>
    <row r="5551" spans="6:14">
      <c r="F5551" s="136" t="s">
        <v>22728</v>
      </c>
      <c r="G5551" s="136">
        <v>5548</v>
      </c>
      <c r="H5551" s="136" t="s">
        <v>22729</v>
      </c>
      <c r="I5551" s="136" t="s">
        <v>22730</v>
      </c>
      <c r="J5551" s="136" t="s">
        <v>22731</v>
      </c>
      <c r="L5551" s="136"/>
      <c r="M5551" s="136"/>
      <c r="N5551" s="136"/>
    </row>
    <row r="5552" spans="6:14">
      <c r="F5552" s="136" t="s">
        <v>22732</v>
      </c>
      <c r="G5552" s="136">
        <v>5549</v>
      </c>
      <c r="H5552" s="136" t="s">
        <v>22733</v>
      </c>
      <c r="I5552" s="136" t="s">
        <v>22734</v>
      </c>
      <c r="J5552" s="136" t="s">
        <v>22735</v>
      </c>
      <c r="L5552" s="136"/>
      <c r="M5552" s="136"/>
      <c r="N5552" s="136"/>
    </row>
    <row r="5553" spans="6:14">
      <c r="F5553" s="136" t="s">
        <v>22736</v>
      </c>
      <c r="G5553" s="136">
        <v>5550</v>
      </c>
      <c r="H5553" s="136" t="s">
        <v>22737</v>
      </c>
      <c r="I5553" s="136" t="s">
        <v>22737</v>
      </c>
      <c r="J5553" s="136" t="s">
        <v>22738</v>
      </c>
      <c r="L5553" s="136"/>
      <c r="M5553" s="136"/>
      <c r="N5553" s="136"/>
    </row>
    <row r="5554" spans="6:14">
      <c r="F5554" s="136" t="s">
        <v>22739</v>
      </c>
      <c r="G5554" s="136">
        <v>5551</v>
      </c>
      <c r="H5554" s="136" t="s">
        <v>22740</v>
      </c>
      <c r="I5554" s="136" t="s">
        <v>22740</v>
      </c>
      <c r="J5554" s="136" t="s">
        <v>22741</v>
      </c>
      <c r="L5554" s="136"/>
      <c r="M5554" s="136"/>
      <c r="N5554" s="136"/>
    </row>
    <row r="5555" spans="6:14">
      <c r="F5555" s="136" t="s">
        <v>22818</v>
      </c>
      <c r="G5555" s="136">
        <v>5552</v>
      </c>
      <c r="H5555" s="136" t="s">
        <v>22819</v>
      </c>
      <c r="I5555" s="136" t="s">
        <v>22820</v>
      </c>
      <c r="J5555" s="136" t="s">
        <v>22821</v>
      </c>
      <c r="L5555" s="136"/>
      <c r="M5555" s="136"/>
      <c r="N5555" s="136"/>
    </row>
    <row r="5556" spans="6:14">
      <c r="F5556" s="136" t="s">
        <v>22822</v>
      </c>
      <c r="G5556" s="136">
        <v>5553</v>
      </c>
      <c r="H5556" s="136" t="s">
        <v>22823</v>
      </c>
      <c r="I5556" s="136" t="s">
        <v>22823</v>
      </c>
      <c r="J5556" s="136" t="s">
        <v>22824</v>
      </c>
      <c r="L5556" s="136"/>
      <c r="M5556" s="136"/>
      <c r="N5556" s="136"/>
    </row>
    <row r="5557" spans="6:14">
      <c r="F5557" s="136" t="s">
        <v>22825</v>
      </c>
      <c r="G5557" s="136">
        <v>5554</v>
      </c>
      <c r="H5557" s="136" t="s">
        <v>22826</v>
      </c>
      <c r="I5557" s="136" t="s">
        <v>22827</v>
      </c>
      <c r="J5557" s="136" t="s">
        <v>22828</v>
      </c>
      <c r="L5557" s="136"/>
      <c r="M5557" s="136"/>
      <c r="N5557" s="136"/>
    </row>
    <row r="5558" spans="6:14">
      <c r="F5558" s="136" t="s">
        <v>22829</v>
      </c>
      <c r="G5558" s="136">
        <v>5555</v>
      </c>
      <c r="H5558" s="136" t="s">
        <v>22830</v>
      </c>
      <c r="I5558" s="136" t="s">
        <v>22831</v>
      </c>
      <c r="J5558" s="136" t="s">
        <v>22832</v>
      </c>
      <c r="L5558" s="136"/>
      <c r="M5558" s="136"/>
      <c r="N5558" s="136"/>
    </row>
    <row r="5559" spans="6:14">
      <c r="F5559" s="136" t="s">
        <v>22833</v>
      </c>
      <c r="G5559" s="136">
        <v>8149172670</v>
      </c>
      <c r="H5559" s="136" t="s">
        <v>22834</v>
      </c>
      <c r="I5559" s="136" t="s">
        <v>22835</v>
      </c>
      <c r="J5559" s="136" t="s">
        <v>22836</v>
      </c>
      <c r="L5559" s="136"/>
      <c r="M5559" s="136"/>
      <c r="N5559" s="136"/>
    </row>
    <row r="5560" spans="6:14">
      <c r="F5560" s="136" t="s">
        <v>22837</v>
      </c>
      <c r="G5560" s="136">
        <v>5557</v>
      </c>
      <c r="H5560" s="136" t="s">
        <v>13267</v>
      </c>
      <c r="I5560" s="136" t="s">
        <v>13267</v>
      </c>
      <c r="J5560" s="136" t="s">
        <v>22838</v>
      </c>
      <c r="L5560" s="136"/>
      <c r="M5560" s="136"/>
      <c r="N5560" s="136"/>
    </row>
    <row r="5561" spans="6:14">
      <c r="F5561" s="136" t="s">
        <v>22839</v>
      </c>
      <c r="G5561" s="136">
        <v>5558</v>
      </c>
      <c r="H5561" s="136" t="s">
        <v>22840</v>
      </c>
      <c r="I5561" s="136" t="s">
        <v>22841</v>
      </c>
      <c r="J5561" s="136" t="s">
        <v>22842</v>
      </c>
      <c r="L5561" s="136"/>
      <c r="M5561" s="136"/>
      <c r="N5561" s="136"/>
    </row>
    <row r="5562" spans="6:14">
      <c r="F5562" s="136" t="s">
        <v>22843</v>
      </c>
      <c r="G5562" s="136">
        <v>5559</v>
      </c>
      <c r="H5562" s="136" t="s">
        <v>22844</v>
      </c>
      <c r="I5562" s="136" t="s">
        <v>22845</v>
      </c>
      <c r="J5562" s="136" t="s">
        <v>22846</v>
      </c>
      <c r="L5562" s="136"/>
      <c r="M5562" s="136"/>
      <c r="N5562" s="136"/>
    </row>
    <row r="5563" spans="6:14">
      <c r="F5563" s="136" t="s">
        <v>22847</v>
      </c>
      <c r="G5563" s="136">
        <v>5560</v>
      </c>
      <c r="H5563" s="136" t="s">
        <v>22848</v>
      </c>
      <c r="I5563" s="136" t="s">
        <v>22849</v>
      </c>
      <c r="J5563" s="136" t="s">
        <v>22850</v>
      </c>
      <c r="L5563" s="136"/>
      <c r="M5563" s="136"/>
      <c r="N5563" s="136"/>
    </row>
    <row r="5564" spans="6:14">
      <c r="F5564" s="136" t="s">
        <v>22851</v>
      </c>
      <c r="G5564" s="136">
        <v>5561</v>
      </c>
      <c r="H5564" s="136" t="s">
        <v>22852</v>
      </c>
      <c r="I5564" s="136" t="s">
        <v>22853</v>
      </c>
      <c r="J5564" s="136" t="s">
        <v>22854</v>
      </c>
      <c r="L5564" s="136"/>
      <c r="M5564" s="136"/>
      <c r="N5564" s="136"/>
    </row>
    <row r="5565" spans="6:14">
      <c r="F5565" s="136" t="s">
        <v>22855</v>
      </c>
      <c r="G5565" s="136">
        <v>5562</v>
      </c>
      <c r="H5565" s="136" t="s">
        <v>13267</v>
      </c>
      <c r="I5565" s="136" t="s">
        <v>13267</v>
      </c>
      <c r="J5565" s="136" t="s">
        <v>22856</v>
      </c>
      <c r="L5565" s="136"/>
      <c r="M5565" s="136"/>
      <c r="N5565" s="136"/>
    </row>
    <row r="5566" spans="6:14">
      <c r="F5566" s="136" t="s">
        <v>22857</v>
      </c>
      <c r="G5566" s="136">
        <v>5563</v>
      </c>
      <c r="H5566" s="136" t="s">
        <v>22858</v>
      </c>
      <c r="I5566" s="136" t="s">
        <v>22859</v>
      </c>
      <c r="J5566" s="136" t="s">
        <v>22860</v>
      </c>
      <c r="L5566" s="136"/>
      <c r="M5566" s="136"/>
      <c r="N5566" s="136"/>
    </row>
    <row r="5567" spans="6:14">
      <c r="F5567" s="136" t="s">
        <v>22861</v>
      </c>
      <c r="G5567" s="136">
        <v>5564</v>
      </c>
      <c r="H5567" s="136" t="s">
        <v>22862</v>
      </c>
      <c r="I5567" s="136" t="s">
        <v>22863</v>
      </c>
      <c r="J5567" s="136" t="s">
        <v>22864</v>
      </c>
      <c r="L5567" s="136"/>
      <c r="M5567" s="136"/>
      <c r="N5567" s="136"/>
    </row>
    <row r="5568" spans="6:14">
      <c r="F5568" s="136" t="s">
        <v>22865</v>
      </c>
      <c r="G5568" s="136">
        <v>5565</v>
      </c>
      <c r="H5568" s="136" t="s">
        <v>22866</v>
      </c>
      <c r="I5568" s="136" t="s">
        <v>22867</v>
      </c>
      <c r="J5568" s="136" t="s">
        <v>22868</v>
      </c>
      <c r="L5568" s="136"/>
      <c r="M5568" s="136"/>
      <c r="N5568" s="136"/>
    </row>
    <row r="5569" spans="6:14">
      <c r="F5569" s="136" t="s">
        <v>22869</v>
      </c>
      <c r="G5569" s="136">
        <v>32180584814</v>
      </c>
      <c r="H5569" s="136" t="s">
        <v>22870</v>
      </c>
      <c r="I5569" s="136" t="s">
        <v>22871</v>
      </c>
      <c r="J5569" s="136" t="s">
        <v>22872</v>
      </c>
      <c r="L5569" s="136"/>
      <c r="M5569" s="136"/>
      <c r="N5569" s="136"/>
    </row>
    <row r="5570" spans="6:14">
      <c r="F5570" s="136" t="s">
        <v>22873</v>
      </c>
      <c r="G5570" s="136">
        <v>5567</v>
      </c>
      <c r="H5570" s="136" t="s">
        <v>22874</v>
      </c>
      <c r="I5570" s="136" t="s">
        <v>22875</v>
      </c>
      <c r="J5570" s="136" t="s">
        <v>22876</v>
      </c>
      <c r="L5570" s="136"/>
      <c r="M5570" s="136"/>
      <c r="N5570" s="136"/>
    </row>
    <row r="5571" spans="6:14">
      <c r="F5571" s="136" t="s">
        <v>22877</v>
      </c>
      <c r="G5571" s="136">
        <v>5568</v>
      </c>
      <c r="H5571" s="136" t="s">
        <v>22878</v>
      </c>
      <c r="I5571" s="136" t="s">
        <v>22879</v>
      </c>
      <c r="J5571" s="136" t="s">
        <v>22880</v>
      </c>
      <c r="L5571" s="136"/>
      <c r="M5571" s="136"/>
      <c r="N5571" s="136"/>
    </row>
    <row r="5572" spans="6:14">
      <c r="F5572" s="136" t="s">
        <v>22900</v>
      </c>
      <c r="G5572" s="136">
        <v>5569</v>
      </c>
      <c r="H5572" s="136" t="s">
        <v>22901</v>
      </c>
      <c r="I5572" s="136" t="s">
        <v>22901</v>
      </c>
      <c r="J5572" s="136" t="s">
        <v>22902</v>
      </c>
      <c r="L5572" s="136"/>
      <c r="M5572" s="136"/>
      <c r="N5572" s="136"/>
    </row>
    <row r="5573" spans="6:14">
      <c r="F5573" s="136" t="s">
        <v>22903</v>
      </c>
      <c r="G5573" s="136">
        <v>30924804300</v>
      </c>
      <c r="H5573" s="136" t="s">
        <v>22904</v>
      </c>
      <c r="I5573" s="136" t="s">
        <v>22904</v>
      </c>
      <c r="J5573" s="136" t="s">
        <v>22905</v>
      </c>
      <c r="L5573" s="136"/>
      <c r="M5573" s="136"/>
      <c r="N5573" s="136"/>
    </row>
    <row r="5574" spans="6:14">
      <c r="F5574" s="136" t="s">
        <v>22906</v>
      </c>
      <c r="G5574" s="136">
        <v>5571</v>
      </c>
      <c r="H5574" s="136" t="s">
        <v>22907</v>
      </c>
      <c r="I5574" s="136" t="s">
        <v>22907</v>
      </c>
      <c r="J5574" s="136" t="s">
        <v>22908</v>
      </c>
      <c r="L5574" s="136"/>
      <c r="M5574" s="136"/>
      <c r="N5574" s="136"/>
    </row>
    <row r="5575" spans="6:14">
      <c r="F5575" s="136" t="s">
        <v>22909</v>
      </c>
      <c r="G5575" s="136">
        <v>5572</v>
      </c>
      <c r="H5575" s="136" t="s">
        <v>22910</v>
      </c>
      <c r="I5575" s="136" t="s">
        <v>22911</v>
      </c>
      <c r="J5575" s="136" t="s">
        <v>22912</v>
      </c>
      <c r="L5575" s="136"/>
      <c r="M5575" s="136"/>
      <c r="N5575" s="136"/>
    </row>
    <row r="5576" spans="6:14">
      <c r="F5576" s="136" t="s">
        <v>22913</v>
      </c>
      <c r="G5576" s="136">
        <v>5573</v>
      </c>
      <c r="H5576" s="136" t="s">
        <v>22914</v>
      </c>
      <c r="I5576" s="136" t="s">
        <v>22915</v>
      </c>
      <c r="J5576" s="136" t="s">
        <v>22916</v>
      </c>
      <c r="L5576" s="136"/>
      <c r="M5576" s="136"/>
      <c r="N5576" s="136"/>
    </row>
    <row r="5577" spans="6:14">
      <c r="F5577" s="136" t="s">
        <v>22917</v>
      </c>
      <c r="G5577" s="136">
        <v>5574</v>
      </c>
      <c r="H5577" s="136" t="s">
        <v>22918</v>
      </c>
      <c r="I5577" s="136" t="s">
        <v>22919</v>
      </c>
      <c r="J5577" s="136" t="s">
        <v>22920</v>
      </c>
      <c r="L5577" s="136"/>
      <c r="M5577" s="136"/>
      <c r="N5577" s="136"/>
    </row>
    <row r="5578" spans="6:14">
      <c r="F5578" s="136" t="s">
        <v>22921</v>
      </c>
      <c r="G5578" s="136">
        <v>44577297876</v>
      </c>
      <c r="H5578" s="136" t="s">
        <v>22922</v>
      </c>
      <c r="I5578" s="136" t="s">
        <v>22923</v>
      </c>
      <c r="J5578" s="136" t="s">
        <v>22924</v>
      </c>
      <c r="L5578" s="136"/>
      <c r="M5578" s="136"/>
      <c r="N5578" s="136"/>
    </row>
    <row r="5579" spans="6:14">
      <c r="F5579" s="136" t="s">
        <v>22925</v>
      </c>
      <c r="G5579" s="136">
        <v>2702235689</v>
      </c>
      <c r="H5579" s="136" t="s">
        <v>22926</v>
      </c>
      <c r="I5579" s="136" t="s">
        <v>22927</v>
      </c>
      <c r="J5579" s="136" t="s">
        <v>22928</v>
      </c>
      <c r="L5579" s="136"/>
      <c r="M5579" s="136"/>
      <c r="N5579" s="136"/>
    </row>
    <row r="5580" spans="6:14">
      <c r="F5580" s="136" t="s">
        <v>22936</v>
      </c>
      <c r="G5580" s="136">
        <v>5577</v>
      </c>
      <c r="H5580" s="136" t="s">
        <v>22937</v>
      </c>
      <c r="I5580" s="136" t="s">
        <v>22938</v>
      </c>
      <c r="J5580" s="136" t="s">
        <v>22939</v>
      </c>
      <c r="L5580" s="136"/>
      <c r="M5580" s="136"/>
      <c r="N5580" s="136"/>
    </row>
    <row r="5581" spans="6:14">
      <c r="F5581" s="136" t="s">
        <v>22940</v>
      </c>
      <c r="G5581" s="136">
        <v>5578</v>
      </c>
      <c r="H5581" s="136" t="s">
        <v>22941</v>
      </c>
      <c r="I5581" s="136" t="s">
        <v>22942</v>
      </c>
      <c r="J5581" s="136" t="s">
        <v>22943</v>
      </c>
      <c r="L5581" s="136"/>
      <c r="M5581" s="136"/>
      <c r="N5581" s="136"/>
    </row>
    <row r="5582" spans="6:14">
      <c r="F5582" s="136" t="s">
        <v>22944</v>
      </c>
      <c r="G5582" s="136">
        <v>5579</v>
      </c>
      <c r="H5582" s="136" t="s">
        <v>22945</v>
      </c>
      <c r="I5582" s="136" t="s">
        <v>22946</v>
      </c>
      <c r="J5582" s="136" t="s">
        <v>22947</v>
      </c>
      <c r="L5582" s="136"/>
      <c r="M5582" s="136"/>
      <c r="N5582" s="136"/>
    </row>
    <row r="5583" spans="6:14">
      <c r="F5583" s="136" t="s">
        <v>22948</v>
      </c>
      <c r="G5583" s="136">
        <v>5580</v>
      </c>
      <c r="H5583" s="136" t="s">
        <v>22949</v>
      </c>
      <c r="I5583" s="136" t="s">
        <v>22950</v>
      </c>
      <c r="J5583" s="136" t="s">
        <v>22951</v>
      </c>
      <c r="L5583" s="136"/>
      <c r="M5583" s="136"/>
      <c r="N5583" s="136"/>
    </row>
    <row r="5584" spans="6:14">
      <c r="F5584" s="136" t="s">
        <v>22952</v>
      </c>
      <c r="G5584" s="136">
        <v>5581</v>
      </c>
      <c r="H5584" s="136" t="s">
        <v>22953</v>
      </c>
      <c r="I5584" s="136" t="s">
        <v>22954</v>
      </c>
      <c r="J5584" s="136" t="s">
        <v>22955</v>
      </c>
      <c r="L5584" s="136"/>
      <c r="M5584" s="136"/>
      <c r="N5584" s="136"/>
    </row>
    <row r="5585" spans="6:14">
      <c r="F5585" s="136" t="s">
        <v>22956</v>
      </c>
      <c r="G5585" s="136">
        <v>5582</v>
      </c>
      <c r="H5585" s="136" t="s">
        <v>22957</v>
      </c>
      <c r="I5585" s="136" t="s">
        <v>22958</v>
      </c>
      <c r="J5585" s="136" t="s">
        <v>22959</v>
      </c>
      <c r="L5585" s="136"/>
      <c r="M5585" s="136"/>
      <c r="N5585" s="136"/>
    </row>
    <row r="5586" spans="6:14">
      <c r="F5586" s="136" t="s">
        <v>23129</v>
      </c>
      <c r="G5586" s="136">
        <v>5583</v>
      </c>
      <c r="H5586" s="136" t="s">
        <v>23130</v>
      </c>
      <c r="I5586" s="136" t="s">
        <v>23130</v>
      </c>
      <c r="J5586" s="136" t="s">
        <v>23131</v>
      </c>
      <c r="L5586" s="136"/>
      <c r="M5586" s="136"/>
      <c r="N5586" s="136"/>
    </row>
    <row r="5587" spans="6:14">
      <c r="F5587" s="136" t="s">
        <v>23132</v>
      </c>
      <c r="G5587" s="136">
        <v>5584</v>
      </c>
      <c r="H5587" s="136" t="s">
        <v>23133</v>
      </c>
      <c r="I5587" s="136" t="s">
        <v>23134</v>
      </c>
      <c r="J5587" s="136" t="s">
        <v>23135</v>
      </c>
      <c r="L5587" s="136"/>
      <c r="M5587" s="136"/>
      <c r="N5587" s="136"/>
    </row>
    <row r="5588" spans="6:14">
      <c r="F5588" s="136" t="s">
        <v>23136</v>
      </c>
      <c r="G5588" s="136">
        <v>5585</v>
      </c>
      <c r="H5588" s="136" t="s">
        <v>23137</v>
      </c>
      <c r="I5588" s="136" t="s">
        <v>23138</v>
      </c>
      <c r="J5588" s="136" t="s">
        <v>23139</v>
      </c>
      <c r="L5588" s="136"/>
      <c r="M5588" s="136"/>
      <c r="N5588" s="136"/>
    </row>
    <row r="5589" spans="6:14">
      <c r="F5589" s="136" t="s">
        <v>23140</v>
      </c>
      <c r="G5589" s="136">
        <v>5586</v>
      </c>
      <c r="H5589" s="136" t="s">
        <v>23141</v>
      </c>
      <c r="I5589" s="136" t="s">
        <v>23142</v>
      </c>
      <c r="J5589" s="136" t="s">
        <v>23143</v>
      </c>
      <c r="L5589" s="136"/>
      <c r="M5589" s="136"/>
      <c r="N5589" s="136"/>
    </row>
    <row r="5590" spans="6:14">
      <c r="F5590" s="136" t="s">
        <v>23144</v>
      </c>
      <c r="G5590" s="136">
        <v>5587</v>
      </c>
      <c r="H5590" s="136" t="s">
        <v>23145</v>
      </c>
      <c r="I5590" s="136" t="s">
        <v>23146</v>
      </c>
      <c r="J5590" s="136" t="s">
        <v>23147</v>
      </c>
      <c r="L5590" s="136"/>
      <c r="M5590" s="136"/>
      <c r="N5590" s="136"/>
    </row>
    <row r="5591" spans="6:14">
      <c r="F5591" s="136" t="s">
        <v>23148</v>
      </c>
      <c r="G5591" s="136">
        <v>5588</v>
      </c>
      <c r="H5591" s="136" t="s">
        <v>23149</v>
      </c>
      <c r="I5591" s="136" t="s">
        <v>23150</v>
      </c>
      <c r="J5591" s="136" t="s">
        <v>23151</v>
      </c>
      <c r="L5591" s="136"/>
      <c r="M5591" s="136"/>
      <c r="N5591" s="136"/>
    </row>
    <row r="5592" spans="6:14">
      <c r="F5592" s="136" t="s">
        <v>23152</v>
      </c>
      <c r="G5592" s="136">
        <v>5589</v>
      </c>
      <c r="H5592" s="136" t="s">
        <v>23153</v>
      </c>
      <c r="I5592" s="136" t="s">
        <v>23154</v>
      </c>
      <c r="J5592" s="136" t="s">
        <v>23155</v>
      </c>
      <c r="L5592" s="136"/>
      <c r="M5592" s="136"/>
      <c r="N5592" s="136"/>
    </row>
    <row r="5593" spans="6:14">
      <c r="F5593" s="136" t="s">
        <v>23156</v>
      </c>
      <c r="G5593" s="136">
        <v>27402035867</v>
      </c>
      <c r="H5593" s="136" t="s">
        <v>23157</v>
      </c>
      <c r="I5593" s="136" t="s">
        <v>23158</v>
      </c>
      <c r="J5593" s="136" t="s">
        <v>23159</v>
      </c>
      <c r="L5593" s="136"/>
      <c r="M5593" s="136"/>
      <c r="N5593" s="136"/>
    </row>
    <row r="5594" spans="6:14">
      <c r="F5594" s="136" t="s">
        <v>23160</v>
      </c>
      <c r="G5594" s="136">
        <v>5591</v>
      </c>
      <c r="H5594" s="136" t="s">
        <v>23161</v>
      </c>
      <c r="I5594" s="136" t="s">
        <v>23162</v>
      </c>
      <c r="J5594" s="136" t="s">
        <v>23163</v>
      </c>
      <c r="L5594" s="136"/>
      <c r="M5594" s="136"/>
      <c r="N5594" s="136"/>
    </row>
    <row r="5595" spans="6:14">
      <c r="F5595" s="136" t="s">
        <v>23164</v>
      </c>
      <c r="G5595" s="136">
        <v>5592</v>
      </c>
      <c r="H5595" s="136" t="s">
        <v>23165</v>
      </c>
      <c r="I5595" s="136" t="s">
        <v>23165</v>
      </c>
      <c r="J5595" s="136" t="s">
        <v>23166</v>
      </c>
      <c r="L5595" s="136"/>
      <c r="M5595" s="136"/>
      <c r="N5595" s="136"/>
    </row>
    <row r="5596" spans="6:14">
      <c r="F5596" s="136" t="s">
        <v>23167</v>
      </c>
      <c r="G5596" s="136">
        <v>5593</v>
      </c>
      <c r="H5596" s="136" t="s">
        <v>23168</v>
      </c>
      <c r="I5596" s="136" t="s">
        <v>23168</v>
      </c>
      <c r="J5596" s="136" t="s">
        <v>23169</v>
      </c>
      <c r="L5596" s="136"/>
      <c r="M5596" s="136"/>
      <c r="N5596" s="136"/>
    </row>
    <row r="5597" spans="6:14">
      <c r="F5597" s="136" t="s">
        <v>23170</v>
      </c>
      <c r="G5597" s="136">
        <v>5594</v>
      </c>
      <c r="H5597" s="136" t="s">
        <v>23171</v>
      </c>
      <c r="I5597" s="136" t="s">
        <v>23172</v>
      </c>
      <c r="J5597" s="136" t="s">
        <v>23173</v>
      </c>
      <c r="L5597" s="136"/>
      <c r="M5597" s="136"/>
      <c r="N5597" s="136"/>
    </row>
    <row r="5598" spans="6:14">
      <c r="F5598" s="136" t="s">
        <v>23174</v>
      </c>
      <c r="G5598" s="136">
        <v>5595</v>
      </c>
      <c r="H5598" s="136" t="s">
        <v>23175</v>
      </c>
      <c r="I5598" s="136" t="s">
        <v>23176</v>
      </c>
      <c r="J5598" s="136" t="s">
        <v>23177</v>
      </c>
      <c r="L5598" s="136"/>
      <c r="M5598" s="136"/>
      <c r="N5598" s="136"/>
    </row>
    <row r="5599" spans="6:14">
      <c r="F5599" s="136" t="s">
        <v>23178</v>
      </c>
      <c r="G5599" s="136">
        <v>5596</v>
      </c>
      <c r="H5599" s="136" t="s">
        <v>23179</v>
      </c>
      <c r="I5599" s="136" t="s">
        <v>23180</v>
      </c>
      <c r="J5599" s="136" t="s">
        <v>23181</v>
      </c>
      <c r="L5599" s="136"/>
      <c r="M5599" s="136"/>
      <c r="N5599" s="136"/>
    </row>
    <row r="5600" spans="6:14">
      <c r="F5600" s="136" t="s">
        <v>23182</v>
      </c>
      <c r="G5600" s="136">
        <v>5597</v>
      </c>
      <c r="H5600" s="136" t="s">
        <v>23183</v>
      </c>
      <c r="I5600" s="136" t="s">
        <v>23184</v>
      </c>
      <c r="J5600" s="136" t="s">
        <v>23185</v>
      </c>
      <c r="L5600" s="136"/>
      <c r="M5600" s="136"/>
      <c r="N5600" s="136"/>
    </row>
    <row r="5601" spans="6:14">
      <c r="F5601" s="136" t="s">
        <v>23186</v>
      </c>
      <c r="G5601" s="136">
        <v>5598</v>
      </c>
      <c r="H5601" s="136" t="s">
        <v>23187</v>
      </c>
      <c r="I5601" s="136" t="s">
        <v>23188</v>
      </c>
      <c r="J5601" s="136" t="s">
        <v>23189</v>
      </c>
      <c r="L5601" s="136"/>
      <c r="M5601" s="136"/>
      <c r="N5601" s="136"/>
    </row>
    <row r="5602" spans="6:14">
      <c r="F5602" s="136" t="s">
        <v>23190</v>
      </c>
      <c r="G5602" s="136">
        <v>5599</v>
      </c>
      <c r="H5602" s="136" t="s">
        <v>23191</v>
      </c>
      <c r="I5602" s="136" t="s">
        <v>23191</v>
      </c>
      <c r="J5602" s="136" t="s">
        <v>23192</v>
      </c>
      <c r="L5602" s="136"/>
      <c r="M5602" s="136"/>
      <c r="N5602" s="136"/>
    </row>
    <row r="5603" spans="6:14">
      <c r="F5603" s="136" t="s">
        <v>23193</v>
      </c>
      <c r="G5603" s="136">
        <v>5600</v>
      </c>
      <c r="H5603" s="136" t="s">
        <v>23194</v>
      </c>
      <c r="I5603" s="136" t="s">
        <v>23195</v>
      </c>
      <c r="J5603" s="136" t="s">
        <v>23196</v>
      </c>
      <c r="L5603" s="136"/>
      <c r="M5603" s="136"/>
      <c r="N5603" s="136"/>
    </row>
    <row r="5604" spans="6:14">
      <c r="F5604" s="136" t="s">
        <v>23197</v>
      </c>
      <c r="G5604" s="136">
        <v>5601</v>
      </c>
      <c r="H5604" s="136" t="s">
        <v>23760</v>
      </c>
      <c r="I5604" s="136" t="s">
        <v>23761</v>
      </c>
      <c r="J5604" s="136" t="s">
        <v>23198</v>
      </c>
      <c r="L5604" s="136"/>
      <c r="M5604" s="136"/>
      <c r="N5604" s="136"/>
    </row>
    <row r="5605" spans="6:14">
      <c r="F5605" s="136" t="s">
        <v>23199</v>
      </c>
      <c r="G5605" s="136">
        <v>5602</v>
      </c>
      <c r="H5605" s="136" t="s">
        <v>23200</v>
      </c>
      <c r="I5605" s="136" t="s">
        <v>23200</v>
      </c>
      <c r="J5605" s="136" t="s">
        <v>23201</v>
      </c>
      <c r="L5605" s="136"/>
      <c r="M5605" s="136"/>
      <c r="N5605" s="136"/>
    </row>
    <row r="5606" spans="6:14">
      <c r="F5606" s="136" t="s">
        <v>23202</v>
      </c>
      <c r="G5606" s="136">
        <v>5603</v>
      </c>
      <c r="H5606" s="136" t="s">
        <v>23203</v>
      </c>
      <c r="I5606" s="136" t="s">
        <v>23204</v>
      </c>
      <c r="J5606" s="136" t="s">
        <v>23205</v>
      </c>
      <c r="L5606" s="136"/>
      <c r="M5606" s="136"/>
      <c r="N5606" s="136"/>
    </row>
    <row r="5607" spans="6:14">
      <c r="F5607" s="136" t="s">
        <v>23235</v>
      </c>
      <c r="G5607" s="136">
        <v>10757610692</v>
      </c>
      <c r="H5607" s="136" t="s">
        <v>23236</v>
      </c>
      <c r="I5607" s="136" t="s">
        <v>23237</v>
      </c>
      <c r="J5607" s="136" t="s">
        <v>23238</v>
      </c>
      <c r="L5607" s="136"/>
      <c r="M5607" s="136"/>
      <c r="N5607" s="136"/>
    </row>
    <row r="5608" spans="6:14">
      <c r="F5608" s="136" t="s">
        <v>23239</v>
      </c>
      <c r="G5608" s="136">
        <v>5605</v>
      </c>
      <c r="H5608" s="136" t="s">
        <v>23240</v>
      </c>
      <c r="I5608" s="136" t="s">
        <v>23241</v>
      </c>
      <c r="J5608" s="136" t="s">
        <v>23242</v>
      </c>
      <c r="L5608" s="136"/>
      <c r="M5608" s="136"/>
      <c r="N5608" s="136"/>
    </row>
    <row r="5609" spans="6:14">
      <c r="F5609" s="136" t="s">
        <v>23243</v>
      </c>
      <c r="G5609" s="136">
        <v>56352980520</v>
      </c>
      <c r="H5609" s="136" t="s">
        <v>23244</v>
      </c>
      <c r="I5609" s="136" t="s">
        <v>23245</v>
      </c>
      <c r="J5609" s="136" t="s">
        <v>23246</v>
      </c>
      <c r="L5609" s="136"/>
      <c r="M5609" s="136"/>
      <c r="N5609" s="136"/>
    </row>
    <row r="5610" spans="6:14">
      <c r="F5610" s="136" t="s">
        <v>23247</v>
      </c>
      <c r="G5610" s="136">
        <v>5607</v>
      </c>
      <c r="H5610" s="136" t="s">
        <v>23248</v>
      </c>
      <c r="I5610" s="136" t="s">
        <v>23249</v>
      </c>
      <c r="J5610" s="136" t="s">
        <v>23250</v>
      </c>
      <c r="L5610" s="136"/>
      <c r="M5610" s="136"/>
      <c r="N5610" s="136"/>
    </row>
    <row r="5611" spans="6:14">
      <c r="F5611" s="136" t="s">
        <v>23399</v>
      </c>
      <c r="G5611" s="136">
        <v>61335150153</v>
      </c>
      <c r="H5611" s="136" t="s">
        <v>23400</v>
      </c>
      <c r="I5611" s="136" t="s">
        <v>23401</v>
      </c>
      <c r="J5611" s="136" t="s">
        <v>23402</v>
      </c>
      <c r="L5611" s="136"/>
      <c r="M5611" s="136"/>
      <c r="N5611" s="136"/>
    </row>
    <row r="5612" spans="6:14">
      <c r="F5612" s="136" t="s">
        <v>23403</v>
      </c>
      <c r="G5612" s="136">
        <v>30139553843</v>
      </c>
      <c r="H5612" s="136" t="s">
        <v>23404</v>
      </c>
      <c r="I5612" s="136" t="s">
        <v>23405</v>
      </c>
      <c r="J5612" s="136" t="s">
        <v>23406</v>
      </c>
      <c r="L5612" s="136"/>
      <c r="M5612" s="136"/>
      <c r="N5612" s="136"/>
    </row>
    <row r="5613" spans="6:14">
      <c r="F5613" s="136" t="s">
        <v>23407</v>
      </c>
      <c r="G5613" s="136">
        <v>5610</v>
      </c>
      <c r="H5613" s="136" t="s">
        <v>23408</v>
      </c>
      <c r="I5613" s="136" t="s">
        <v>23409</v>
      </c>
      <c r="J5613" s="136" t="s">
        <v>23410</v>
      </c>
      <c r="L5613" s="136"/>
      <c r="M5613" s="136"/>
      <c r="N5613" s="136"/>
    </row>
    <row r="5614" spans="6:14">
      <c r="F5614" s="136" t="s">
        <v>23411</v>
      </c>
      <c r="G5614" s="136">
        <v>10875643795</v>
      </c>
      <c r="H5614" s="136" t="s">
        <v>23412</v>
      </c>
      <c r="I5614" s="136" t="s">
        <v>23413</v>
      </c>
      <c r="J5614" s="136" t="s">
        <v>23414</v>
      </c>
      <c r="L5614" s="136"/>
      <c r="M5614" s="136"/>
      <c r="N5614" s="136"/>
    </row>
    <row r="5615" spans="6:14">
      <c r="F5615" s="136" t="s">
        <v>23415</v>
      </c>
      <c r="G5615" s="136">
        <v>4686664357</v>
      </c>
      <c r="H5615" s="136" t="s">
        <v>23416</v>
      </c>
      <c r="I5615" s="136" t="s">
        <v>23416</v>
      </c>
      <c r="J5615" s="136" t="s">
        <v>23417</v>
      </c>
      <c r="L5615" s="136"/>
      <c r="M5615" s="136"/>
      <c r="N5615" s="136"/>
    </row>
    <row r="5616" spans="6:14">
      <c r="F5616" s="136" t="s">
        <v>23418</v>
      </c>
      <c r="G5616" s="136">
        <v>5613</v>
      </c>
      <c r="H5616" s="136" t="s">
        <v>23419</v>
      </c>
      <c r="I5616" s="136" t="s">
        <v>23419</v>
      </c>
      <c r="J5616" s="136" t="s">
        <v>23420</v>
      </c>
      <c r="L5616" s="136"/>
      <c r="M5616" s="136"/>
      <c r="N5616" s="136"/>
    </row>
    <row r="5617" spans="6:14">
      <c r="F5617" s="136" t="s">
        <v>23421</v>
      </c>
      <c r="G5617" s="136">
        <v>5614</v>
      </c>
      <c r="H5617" s="136" t="s">
        <v>23422</v>
      </c>
      <c r="I5617" s="136" t="s">
        <v>23422</v>
      </c>
      <c r="J5617" s="136" t="s">
        <v>23423</v>
      </c>
      <c r="L5617" s="136"/>
      <c r="M5617" s="136"/>
      <c r="N5617" s="136"/>
    </row>
    <row r="5618" spans="6:14">
      <c r="F5618" s="136" t="s">
        <v>23424</v>
      </c>
      <c r="G5618" s="136">
        <v>5615</v>
      </c>
      <c r="H5618" s="136" t="s">
        <v>23425</v>
      </c>
      <c r="I5618" s="136" t="s">
        <v>23426</v>
      </c>
      <c r="J5618" s="136" t="s">
        <v>23427</v>
      </c>
      <c r="L5618" s="136"/>
      <c r="M5618" s="136"/>
      <c r="N5618" s="136"/>
    </row>
    <row r="5619" spans="6:14">
      <c r="F5619" s="136" t="s">
        <v>23428</v>
      </c>
      <c r="G5619" s="136">
        <v>5616</v>
      </c>
      <c r="H5619" s="136" t="s">
        <v>23429</v>
      </c>
      <c r="I5619" s="136" t="s">
        <v>23430</v>
      </c>
      <c r="J5619" s="136" t="s">
        <v>23431</v>
      </c>
      <c r="L5619" s="136"/>
      <c r="M5619" s="136"/>
      <c r="N5619" s="136"/>
    </row>
    <row r="5620" spans="6:14">
      <c r="F5620" s="136" t="s">
        <v>23432</v>
      </c>
      <c r="G5620" s="136">
        <v>46193097880</v>
      </c>
      <c r="H5620" s="136" t="s">
        <v>23433</v>
      </c>
      <c r="I5620" s="136" t="s">
        <v>23433</v>
      </c>
      <c r="J5620" s="136" t="s">
        <v>23434</v>
      </c>
      <c r="L5620" s="136"/>
      <c r="M5620" s="136"/>
      <c r="N5620" s="136"/>
    </row>
    <row r="5621" spans="6:14">
      <c r="F5621" s="136" t="s">
        <v>23435</v>
      </c>
      <c r="G5621" s="136">
        <v>5618</v>
      </c>
      <c r="H5621" s="136" t="s">
        <v>23436</v>
      </c>
      <c r="I5621" s="136" t="s">
        <v>23436</v>
      </c>
      <c r="J5621" s="136" t="s">
        <v>23437</v>
      </c>
      <c r="L5621" s="136"/>
      <c r="M5621" s="136"/>
      <c r="N5621" s="136"/>
    </row>
    <row r="5622" spans="6:14">
      <c r="F5622" s="136" t="s">
        <v>23438</v>
      </c>
      <c r="G5622" s="136">
        <v>5619</v>
      </c>
      <c r="H5622" s="136" t="s">
        <v>23439</v>
      </c>
      <c r="I5622" s="136" t="s">
        <v>23440</v>
      </c>
      <c r="J5622" s="136" t="s">
        <v>23441</v>
      </c>
      <c r="L5622" s="136"/>
      <c r="M5622" s="136"/>
      <c r="N5622" s="136"/>
    </row>
    <row r="5623" spans="6:14">
      <c r="F5623" s="136" t="s">
        <v>23442</v>
      </c>
      <c r="G5623" s="136">
        <v>6917004863</v>
      </c>
      <c r="H5623" s="136" t="s">
        <v>23443</v>
      </c>
      <c r="I5623" s="136" t="s">
        <v>23443</v>
      </c>
      <c r="J5623" s="136" t="s">
        <v>23444</v>
      </c>
      <c r="L5623" s="136"/>
      <c r="M5623" s="136"/>
      <c r="N5623" s="136"/>
    </row>
    <row r="5624" spans="6:14">
      <c r="F5624" s="136" t="s">
        <v>23445</v>
      </c>
      <c r="G5624" s="136">
        <v>5621</v>
      </c>
      <c r="H5624" s="136" t="s">
        <v>23446</v>
      </c>
      <c r="I5624" s="136" t="s">
        <v>23447</v>
      </c>
      <c r="J5624" s="136" t="s">
        <v>23448</v>
      </c>
      <c r="L5624" s="136"/>
      <c r="M5624" s="136"/>
      <c r="N5624" s="136"/>
    </row>
    <row r="5625" spans="6:14">
      <c r="F5625" s="136" t="s">
        <v>23449</v>
      </c>
      <c r="G5625" s="136">
        <v>5622</v>
      </c>
      <c r="H5625" s="136" t="s">
        <v>23450</v>
      </c>
      <c r="I5625" s="136" t="s">
        <v>23450</v>
      </c>
      <c r="J5625" s="136" t="s">
        <v>23451</v>
      </c>
      <c r="L5625" s="136"/>
      <c r="M5625" s="136"/>
      <c r="N5625" s="136"/>
    </row>
    <row r="5626" spans="6:14">
      <c r="F5626" s="136" t="s">
        <v>23452</v>
      </c>
      <c r="G5626" s="136">
        <v>5623</v>
      </c>
      <c r="H5626" s="136" t="s">
        <v>23453</v>
      </c>
      <c r="I5626" s="136" t="s">
        <v>23454</v>
      </c>
      <c r="J5626" s="136" t="s">
        <v>23455</v>
      </c>
      <c r="L5626" s="136"/>
      <c r="M5626" s="136"/>
      <c r="N5626" s="136"/>
    </row>
    <row r="5627" spans="6:14">
      <c r="F5627" s="136" t="s">
        <v>23456</v>
      </c>
      <c r="G5627" s="136">
        <v>5624</v>
      </c>
      <c r="H5627" s="136" t="s">
        <v>23457</v>
      </c>
      <c r="I5627" s="136" t="s">
        <v>23458</v>
      </c>
      <c r="J5627" s="136" t="s">
        <v>23459</v>
      </c>
      <c r="L5627" s="136"/>
      <c r="M5627" s="136"/>
      <c r="N5627" s="136"/>
    </row>
    <row r="5628" spans="6:14">
      <c r="F5628" s="136" t="s">
        <v>23460</v>
      </c>
      <c r="G5628" s="136">
        <v>5625</v>
      </c>
      <c r="H5628" s="136" t="s">
        <v>23461</v>
      </c>
      <c r="I5628" s="136" t="s">
        <v>23462</v>
      </c>
      <c r="J5628" s="136" t="s">
        <v>23463</v>
      </c>
      <c r="L5628" s="136"/>
      <c r="M5628" s="136"/>
      <c r="N5628" s="136"/>
    </row>
    <row r="5629" spans="6:14">
      <c r="F5629" s="136" t="s">
        <v>23464</v>
      </c>
      <c r="G5629" s="136">
        <v>5626</v>
      </c>
      <c r="H5629" s="136" t="s">
        <v>23465</v>
      </c>
      <c r="I5629" s="136" t="s">
        <v>23466</v>
      </c>
      <c r="J5629" s="136" t="s">
        <v>23467</v>
      </c>
      <c r="L5629" s="136"/>
      <c r="M5629" s="136"/>
      <c r="N5629" s="136"/>
    </row>
    <row r="5630" spans="6:14">
      <c r="F5630" s="136" t="s">
        <v>23468</v>
      </c>
      <c r="G5630" s="136">
        <v>5627</v>
      </c>
      <c r="H5630" s="136" t="s">
        <v>23469</v>
      </c>
      <c r="I5630" s="136" t="s">
        <v>23470</v>
      </c>
      <c r="J5630" s="136" t="s">
        <v>23471</v>
      </c>
      <c r="L5630" s="136"/>
      <c r="M5630" s="136"/>
      <c r="N5630" s="136"/>
    </row>
    <row r="5631" spans="6:14">
      <c r="F5631" s="136" t="s">
        <v>23472</v>
      </c>
      <c r="G5631" s="136">
        <v>5628</v>
      </c>
      <c r="H5631" s="136" t="s">
        <v>23473</v>
      </c>
      <c r="I5631" s="136" t="s">
        <v>23474</v>
      </c>
      <c r="J5631" s="136" t="s">
        <v>23475</v>
      </c>
      <c r="L5631" s="136"/>
      <c r="M5631" s="136"/>
      <c r="N5631" s="136"/>
    </row>
    <row r="5632" spans="6:14">
      <c r="F5632" s="136" t="s">
        <v>23476</v>
      </c>
      <c r="G5632" s="136">
        <v>5629</v>
      </c>
      <c r="H5632" s="136" t="s">
        <v>23477</v>
      </c>
      <c r="I5632" s="136" t="s">
        <v>23478</v>
      </c>
      <c r="J5632" s="136" t="s">
        <v>23479</v>
      </c>
      <c r="L5632" s="136"/>
      <c r="M5632" s="136"/>
      <c r="N5632" s="136"/>
    </row>
    <row r="5633" spans="6:14">
      <c r="F5633" s="136" t="s">
        <v>23480</v>
      </c>
      <c r="G5633" s="136">
        <v>25358174893</v>
      </c>
      <c r="H5633" s="136" t="s">
        <v>23481</v>
      </c>
      <c r="I5633" s="136" t="s">
        <v>23481</v>
      </c>
      <c r="J5633" s="136" t="s">
        <v>23482</v>
      </c>
      <c r="L5633" s="136"/>
      <c r="M5633" s="136"/>
      <c r="N5633" s="136"/>
    </row>
    <row r="5634" spans="6:14">
      <c r="F5634" s="136" t="s">
        <v>23483</v>
      </c>
      <c r="G5634" s="136">
        <v>5631</v>
      </c>
      <c r="H5634" s="136" t="s">
        <v>23484</v>
      </c>
      <c r="I5634" s="136" t="s">
        <v>23485</v>
      </c>
      <c r="J5634" s="136" t="s">
        <v>23486</v>
      </c>
      <c r="L5634" s="136"/>
      <c r="M5634" s="136"/>
      <c r="N5634" s="136"/>
    </row>
    <row r="5635" spans="6:14">
      <c r="F5635" s="136" t="s">
        <v>23487</v>
      </c>
      <c r="G5635" s="136">
        <v>5632</v>
      </c>
      <c r="H5635" s="136" t="s">
        <v>23488</v>
      </c>
      <c r="I5635" s="136" t="s">
        <v>23489</v>
      </c>
      <c r="J5635" s="136" t="s">
        <v>23490</v>
      </c>
      <c r="L5635" s="136"/>
      <c r="M5635" s="136"/>
      <c r="N5635" s="136"/>
    </row>
    <row r="5636" spans="6:14">
      <c r="F5636" s="136" t="s">
        <v>23491</v>
      </c>
      <c r="G5636" s="136">
        <v>5633</v>
      </c>
      <c r="H5636" s="136" t="s">
        <v>23492</v>
      </c>
      <c r="I5636" s="136" t="s">
        <v>23492</v>
      </c>
      <c r="J5636" s="136" t="s">
        <v>23493</v>
      </c>
      <c r="L5636" s="136"/>
      <c r="M5636" s="136"/>
      <c r="N5636" s="136"/>
    </row>
    <row r="5637" spans="6:14">
      <c r="F5637" s="136" t="s">
        <v>23518</v>
      </c>
      <c r="G5637" s="136">
        <v>5634</v>
      </c>
      <c r="H5637" s="136" t="s">
        <v>23519</v>
      </c>
      <c r="I5637" s="136" t="s">
        <v>23520</v>
      </c>
      <c r="J5637" s="136" t="s">
        <v>23521</v>
      </c>
      <c r="L5637" s="136"/>
      <c r="M5637" s="136"/>
      <c r="N5637" s="136"/>
    </row>
    <row r="5638" spans="6:14">
      <c r="F5638" s="136" t="s">
        <v>23522</v>
      </c>
      <c r="G5638" s="136">
        <v>5635</v>
      </c>
      <c r="H5638" s="136" t="s">
        <v>23523</v>
      </c>
      <c r="I5638" s="136" t="s">
        <v>23524</v>
      </c>
      <c r="J5638" s="136" t="s">
        <v>23525</v>
      </c>
      <c r="L5638" s="136"/>
      <c r="M5638" s="136"/>
      <c r="N5638" s="136"/>
    </row>
    <row r="5639" spans="6:14">
      <c r="F5639" s="136" t="s">
        <v>23526</v>
      </c>
      <c r="G5639" s="136">
        <v>5636</v>
      </c>
      <c r="H5639" s="136" t="s">
        <v>23527</v>
      </c>
      <c r="I5639" s="136" t="s">
        <v>23528</v>
      </c>
      <c r="J5639" s="136" t="s">
        <v>23529</v>
      </c>
      <c r="L5639" s="136"/>
      <c r="M5639" s="136"/>
      <c r="N5639" s="136"/>
    </row>
    <row r="5640" spans="6:14">
      <c r="F5640" s="136" t="s">
        <v>23530</v>
      </c>
      <c r="G5640" s="136">
        <v>36249407839</v>
      </c>
      <c r="H5640" s="136" t="s">
        <v>23531</v>
      </c>
      <c r="I5640" s="136" t="s">
        <v>23531</v>
      </c>
      <c r="J5640" s="136" t="s">
        <v>23532</v>
      </c>
      <c r="L5640" s="136"/>
      <c r="M5640" s="136"/>
      <c r="N5640" s="136"/>
    </row>
    <row r="5641" spans="6:14">
      <c r="F5641" s="136" t="s">
        <v>23586</v>
      </c>
      <c r="G5641" s="136">
        <v>5638</v>
      </c>
      <c r="H5641" s="136" t="s">
        <v>23587</v>
      </c>
      <c r="I5641" s="136" t="s">
        <v>23588</v>
      </c>
      <c r="J5641" s="136" t="s">
        <v>23589</v>
      </c>
      <c r="L5641" s="136"/>
      <c r="M5641" s="136"/>
      <c r="N5641" s="136"/>
    </row>
    <row r="5642" spans="6:14">
      <c r="F5642" s="136" t="s">
        <v>23590</v>
      </c>
      <c r="G5642" s="136">
        <v>12373039745</v>
      </c>
      <c r="H5642" s="136" t="s">
        <v>23591</v>
      </c>
      <c r="I5642" s="136" t="s">
        <v>23591</v>
      </c>
      <c r="J5642" s="136" t="s">
        <v>23592</v>
      </c>
      <c r="L5642" s="136"/>
      <c r="M5642" s="136"/>
      <c r="N5642" s="136"/>
    </row>
    <row r="5643" spans="6:14">
      <c r="F5643" s="136" t="s">
        <v>23593</v>
      </c>
      <c r="G5643" s="136">
        <v>5640</v>
      </c>
      <c r="H5643" s="136" t="s">
        <v>23594</v>
      </c>
      <c r="I5643" s="136" t="s">
        <v>23594</v>
      </c>
      <c r="J5643" s="136" t="s">
        <v>23595</v>
      </c>
      <c r="L5643" s="136"/>
      <c r="M5643" s="136"/>
      <c r="N5643" s="136"/>
    </row>
    <row r="5644" spans="6:14">
      <c r="F5644" s="136" t="s">
        <v>23596</v>
      </c>
      <c r="G5644" s="136">
        <v>5641</v>
      </c>
      <c r="H5644" s="136" t="s">
        <v>23597</v>
      </c>
      <c r="I5644" s="136" t="s">
        <v>23598</v>
      </c>
      <c r="J5644" s="136" t="s">
        <v>23599</v>
      </c>
      <c r="L5644" s="136"/>
      <c r="M5644" s="136"/>
      <c r="N5644" s="136"/>
    </row>
    <row r="5645" spans="6:14">
      <c r="F5645" s="136" t="s">
        <v>23600</v>
      </c>
      <c r="G5645" s="136">
        <v>5642</v>
      </c>
      <c r="H5645" s="136" t="s">
        <v>23601</v>
      </c>
      <c r="I5645" s="136" t="s">
        <v>23602</v>
      </c>
      <c r="J5645" s="136" t="s">
        <v>23603</v>
      </c>
      <c r="L5645" s="136"/>
      <c r="M5645" s="136"/>
      <c r="N5645" s="136"/>
    </row>
    <row r="5646" spans="6:14">
      <c r="F5646" s="136" t="s">
        <v>23604</v>
      </c>
      <c r="G5646" s="136">
        <v>5643</v>
      </c>
      <c r="H5646" s="136" t="s">
        <v>23605</v>
      </c>
      <c r="I5646" s="136" t="s">
        <v>23606</v>
      </c>
      <c r="J5646" s="136" t="s">
        <v>23607</v>
      </c>
      <c r="L5646" s="136"/>
      <c r="M5646" s="136"/>
      <c r="N5646" s="136"/>
    </row>
    <row r="5647" spans="6:14">
      <c r="F5647" s="136" t="s">
        <v>23608</v>
      </c>
      <c r="G5647" s="136">
        <v>5644</v>
      </c>
      <c r="H5647" s="136" t="s">
        <v>19108</v>
      </c>
      <c r="I5647" s="136" t="s">
        <v>19109</v>
      </c>
      <c r="J5647" s="136" t="s">
        <v>23609</v>
      </c>
      <c r="L5647" s="136"/>
      <c r="M5647" s="136"/>
      <c r="N5647" s="136"/>
    </row>
    <row r="5648" spans="6:14">
      <c r="F5648" s="136" t="s">
        <v>23610</v>
      </c>
      <c r="G5648" s="136">
        <v>5645</v>
      </c>
      <c r="H5648" s="136" t="s">
        <v>23611</v>
      </c>
      <c r="I5648" s="136" t="s">
        <v>2911</v>
      </c>
      <c r="J5648" s="136" t="s">
        <v>23612</v>
      </c>
      <c r="L5648" s="136"/>
      <c r="M5648" s="136"/>
      <c r="N5648" s="136"/>
    </row>
    <row r="5649" spans="6:14">
      <c r="F5649" s="136" t="s">
        <v>23613</v>
      </c>
      <c r="G5649" s="136">
        <v>5646</v>
      </c>
      <c r="H5649" s="136" t="s">
        <v>23614</v>
      </c>
      <c r="I5649" s="136" t="s">
        <v>23615</v>
      </c>
      <c r="J5649" s="136" t="s">
        <v>23616</v>
      </c>
      <c r="L5649" s="136"/>
      <c r="M5649" s="136"/>
      <c r="N5649" s="136"/>
    </row>
    <row r="5650" spans="6:14">
      <c r="F5650" s="136" t="s">
        <v>23617</v>
      </c>
      <c r="G5650" s="136">
        <v>5647</v>
      </c>
      <c r="H5650" s="136" t="s">
        <v>23618</v>
      </c>
      <c r="I5650" s="136" t="s">
        <v>23619</v>
      </c>
      <c r="J5650" s="136" t="s">
        <v>23620</v>
      </c>
      <c r="L5650" s="136"/>
      <c r="M5650" s="136"/>
      <c r="N5650" s="136"/>
    </row>
    <row r="5651" spans="6:14">
      <c r="F5651" s="136" t="s">
        <v>23621</v>
      </c>
      <c r="G5651" s="136">
        <v>66995205120</v>
      </c>
      <c r="H5651" s="136" t="s">
        <v>23622</v>
      </c>
      <c r="I5651" s="136" t="s">
        <v>23622</v>
      </c>
      <c r="J5651" s="136" t="s">
        <v>23623</v>
      </c>
      <c r="L5651" s="136"/>
      <c r="M5651" s="136"/>
      <c r="N5651" s="136"/>
    </row>
    <row r="5652" spans="6:14">
      <c r="F5652" s="136" t="s">
        <v>23624</v>
      </c>
      <c r="G5652" s="136">
        <v>5649</v>
      </c>
      <c r="H5652" s="136" t="s">
        <v>23625</v>
      </c>
      <c r="I5652" s="136" t="s">
        <v>23626</v>
      </c>
      <c r="J5652" s="136" t="s">
        <v>23627</v>
      </c>
      <c r="L5652" s="136"/>
      <c r="M5652" s="136"/>
      <c r="N5652" s="136"/>
    </row>
    <row r="5653" spans="6:14">
      <c r="F5653" s="136" t="s">
        <v>23628</v>
      </c>
      <c r="G5653" s="136">
        <v>5650</v>
      </c>
      <c r="H5653" s="136" t="s">
        <v>23629</v>
      </c>
      <c r="I5653" s="136" t="s">
        <v>23630</v>
      </c>
      <c r="J5653" s="136" t="s">
        <v>23631</v>
      </c>
      <c r="L5653" s="136"/>
      <c r="M5653" s="136"/>
      <c r="N5653" s="136"/>
    </row>
    <row r="5654" spans="6:14">
      <c r="F5654" s="136" t="s">
        <v>23632</v>
      </c>
      <c r="G5654" s="136">
        <v>5651</v>
      </c>
      <c r="H5654" s="136" t="s">
        <v>23633</v>
      </c>
      <c r="I5654" s="136" t="s">
        <v>23634</v>
      </c>
      <c r="J5654" s="136" t="s">
        <v>23635</v>
      </c>
      <c r="L5654" s="136"/>
      <c r="M5654" s="136"/>
      <c r="N5654" s="136"/>
    </row>
    <row r="5655" spans="6:14">
      <c r="F5655" s="136" t="s">
        <v>23636</v>
      </c>
      <c r="G5655" s="136">
        <v>5652</v>
      </c>
      <c r="H5655" s="136" t="s">
        <v>23637</v>
      </c>
      <c r="I5655" s="136" t="s">
        <v>23638</v>
      </c>
      <c r="J5655" s="136" t="s">
        <v>23639</v>
      </c>
      <c r="L5655" s="136"/>
      <c r="M5655" s="136"/>
      <c r="N5655" s="136"/>
    </row>
    <row r="5656" spans="6:14">
      <c r="F5656" s="136" t="s">
        <v>23640</v>
      </c>
      <c r="G5656" s="136">
        <v>5653</v>
      </c>
      <c r="H5656" s="136" t="s">
        <v>23641</v>
      </c>
      <c r="I5656" s="136" t="s">
        <v>23642</v>
      </c>
      <c r="J5656" s="136" t="s">
        <v>23643</v>
      </c>
      <c r="L5656" s="136"/>
      <c r="M5656" s="136"/>
      <c r="N5656" s="136"/>
    </row>
    <row r="5657" spans="6:14">
      <c r="F5657" s="136" t="s">
        <v>23644</v>
      </c>
      <c r="G5657" s="136">
        <v>5654</v>
      </c>
      <c r="H5657" s="136" t="s">
        <v>23645</v>
      </c>
      <c r="I5657" s="136" t="s">
        <v>23646</v>
      </c>
      <c r="J5657" s="136" t="s">
        <v>23647</v>
      </c>
      <c r="L5657" s="136"/>
      <c r="M5657" s="136"/>
      <c r="N5657" s="136"/>
    </row>
    <row r="5658" spans="6:14">
      <c r="F5658" s="136" t="s">
        <v>23648</v>
      </c>
      <c r="G5658" s="136">
        <v>5655</v>
      </c>
      <c r="H5658" s="136" t="s">
        <v>23649</v>
      </c>
      <c r="I5658" s="136" t="s">
        <v>23650</v>
      </c>
      <c r="J5658" s="136" t="s">
        <v>23651</v>
      </c>
      <c r="L5658" s="136"/>
      <c r="M5658" s="136"/>
      <c r="N5658" s="136"/>
    </row>
    <row r="5659" spans="6:14">
      <c r="F5659" s="136" t="s">
        <v>23652</v>
      </c>
      <c r="G5659" s="136">
        <v>5656</v>
      </c>
      <c r="H5659" s="136" t="s">
        <v>23653</v>
      </c>
      <c r="I5659" s="136" t="s">
        <v>23653</v>
      </c>
      <c r="J5659" s="136" t="s">
        <v>23654</v>
      </c>
      <c r="L5659" s="136"/>
      <c r="M5659" s="136"/>
      <c r="N5659" s="136"/>
    </row>
    <row r="5660" spans="6:14">
      <c r="F5660" s="136" t="s">
        <v>23655</v>
      </c>
      <c r="G5660" s="136">
        <v>5657</v>
      </c>
      <c r="H5660" s="136" t="s">
        <v>23656</v>
      </c>
      <c r="I5660" s="136" t="s">
        <v>23657</v>
      </c>
      <c r="J5660" s="136" t="s">
        <v>23658</v>
      </c>
      <c r="L5660" s="136"/>
      <c r="M5660" s="136"/>
      <c r="N5660" s="136"/>
    </row>
    <row r="5661" spans="6:14">
      <c r="F5661" s="136" t="s">
        <v>23659</v>
      </c>
      <c r="G5661" s="136">
        <v>5658</v>
      </c>
      <c r="H5661" s="136" t="s">
        <v>23660</v>
      </c>
      <c r="I5661" s="136" t="s">
        <v>23660</v>
      </c>
      <c r="J5661" s="136" t="s">
        <v>23661</v>
      </c>
      <c r="L5661" s="136"/>
      <c r="M5661" s="136"/>
      <c r="N5661" s="136"/>
    </row>
    <row r="5662" spans="6:14">
      <c r="F5662" s="136" t="s">
        <v>23662</v>
      </c>
      <c r="G5662" s="136">
        <v>6653504654</v>
      </c>
      <c r="H5662" s="136" t="s">
        <v>23663</v>
      </c>
      <c r="I5662" s="136" t="s">
        <v>23664</v>
      </c>
      <c r="J5662" s="136" t="s">
        <v>23665</v>
      </c>
      <c r="L5662" s="136"/>
      <c r="M5662" s="136"/>
      <c r="N5662" s="136"/>
    </row>
    <row r="5663" spans="6:14">
      <c r="F5663" s="136" t="s">
        <v>23714</v>
      </c>
      <c r="G5663" s="136">
        <v>5660</v>
      </c>
      <c r="H5663" s="136" t="s">
        <v>23715</v>
      </c>
      <c r="I5663" s="136" t="s">
        <v>10677</v>
      </c>
      <c r="J5663" s="136" t="s">
        <v>23716</v>
      </c>
      <c r="L5663" s="136"/>
      <c r="M5663" s="136"/>
      <c r="N5663" s="136"/>
    </row>
    <row r="5664" spans="6:14">
      <c r="F5664" s="136" t="s">
        <v>23717</v>
      </c>
      <c r="G5664" s="136">
        <v>5661</v>
      </c>
      <c r="H5664" s="136" t="s">
        <v>23718</v>
      </c>
      <c r="I5664" s="136" t="s">
        <v>23718</v>
      </c>
      <c r="J5664" s="136" t="s">
        <v>23719</v>
      </c>
      <c r="L5664" s="136"/>
      <c r="M5664" s="136"/>
      <c r="N5664" s="136"/>
    </row>
    <row r="5665" spans="6:14">
      <c r="F5665" s="136" t="s">
        <v>23720</v>
      </c>
      <c r="G5665" s="136">
        <v>5662</v>
      </c>
      <c r="H5665" s="136" t="s">
        <v>23721</v>
      </c>
      <c r="I5665" s="136" t="s">
        <v>23721</v>
      </c>
      <c r="J5665" s="136" t="s">
        <v>23722</v>
      </c>
      <c r="L5665" s="136"/>
      <c r="M5665" s="136"/>
      <c r="N5665" s="136"/>
    </row>
    <row r="5666" spans="6:14">
      <c r="F5666" s="136" t="s">
        <v>23723</v>
      </c>
      <c r="G5666" s="136">
        <v>5663</v>
      </c>
      <c r="H5666" s="136" t="s">
        <v>23724</v>
      </c>
      <c r="I5666" s="136" t="s">
        <v>23724</v>
      </c>
      <c r="J5666" s="136" t="s">
        <v>23725</v>
      </c>
      <c r="L5666" s="136"/>
      <c r="M5666" s="136"/>
      <c r="N5666" s="136"/>
    </row>
    <row r="5667" spans="6:14">
      <c r="F5667" s="136" t="s">
        <v>23726</v>
      </c>
      <c r="G5667" s="136">
        <v>29029282894</v>
      </c>
      <c r="H5667" s="136" t="s">
        <v>23727</v>
      </c>
      <c r="I5667" s="136" t="s">
        <v>23727</v>
      </c>
      <c r="J5667" s="136" t="s">
        <v>23728</v>
      </c>
      <c r="L5667" s="136"/>
      <c r="M5667" s="136"/>
      <c r="N5667" s="136"/>
    </row>
    <row r="5668" spans="6:14">
      <c r="F5668" s="136" t="s">
        <v>23729</v>
      </c>
      <c r="G5668" s="136">
        <v>51197123806</v>
      </c>
      <c r="H5668" s="136" t="s">
        <v>23730</v>
      </c>
      <c r="I5668" s="136" t="s">
        <v>23730</v>
      </c>
      <c r="J5668" s="136" t="s">
        <v>23731</v>
      </c>
      <c r="L5668" s="136"/>
      <c r="M5668" s="136"/>
      <c r="N5668" s="136"/>
    </row>
    <row r="5669" spans="6:14">
      <c r="F5669" s="136" t="s">
        <v>23732</v>
      </c>
      <c r="G5669" s="136">
        <v>5666</v>
      </c>
      <c r="H5669" s="136" t="s">
        <v>23733</v>
      </c>
      <c r="I5669" s="136" t="s">
        <v>23733</v>
      </c>
      <c r="J5669" s="136" t="s">
        <v>23734</v>
      </c>
      <c r="L5669" s="136"/>
      <c r="M5669" s="136"/>
      <c r="N5669" s="136"/>
    </row>
    <row r="5670" spans="6:14">
      <c r="F5670" s="136" t="s">
        <v>23762</v>
      </c>
      <c r="G5670" s="136">
        <v>5667</v>
      </c>
      <c r="H5670" s="136" t="s">
        <v>23763</v>
      </c>
      <c r="I5670" s="136" t="s">
        <v>23764</v>
      </c>
      <c r="J5670" s="136" t="s">
        <v>23765</v>
      </c>
      <c r="L5670" s="136"/>
      <c r="M5670" s="136"/>
      <c r="N5670" s="136"/>
    </row>
    <row r="5671" spans="6:14">
      <c r="F5671" s="136" t="s">
        <v>23766</v>
      </c>
      <c r="G5671" s="136">
        <v>5668</v>
      </c>
      <c r="H5671" s="136" t="s">
        <v>23767</v>
      </c>
      <c r="I5671" s="136" t="s">
        <v>23768</v>
      </c>
      <c r="J5671" s="136" t="s">
        <v>23769</v>
      </c>
      <c r="L5671" s="136"/>
      <c r="M5671" s="136"/>
      <c r="N5671" s="136"/>
    </row>
    <row r="5672" spans="6:14">
      <c r="F5672" s="136" t="s">
        <v>23770</v>
      </c>
      <c r="G5672" s="136">
        <v>5669</v>
      </c>
      <c r="H5672" s="136" t="s">
        <v>1930</v>
      </c>
      <c r="I5672" s="136" t="s">
        <v>23771</v>
      </c>
      <c r="J5672" s="136" t="s">
        <v>23772</v>
      </c>
      <c r="L5672" s="136"/>
      <c r="M5672" s="136"/>
      <c r="N5672" s="136"/>
    </row>
    <row r="5673" spans="6:14">
      <c r="F5673" s="136" t="s">
        <v>23773</v>
      </c>
      <c r="G5673" s="136">
        <v>5670</v>
      </c>
      <c r="H5673" s="136" t="s">
        <v>23774</v>
      </c>
      <c r="I5673" s="136" t="s">
        <v>23775</v>
      </c>
      <c r="J5673" s="136" t="s">
        <v>23776</v>
      </c>
      <c r="L5673" s="136"/>
      <c r="M5673" s="136"/>
      <c r="N5673" s="136"/>
    </row>
    <row r="5674" spans="6:14">
      <c r="F5674" s="136" t="s">
        <v>23777</v>
      </c>
      <c r="G5674" s="136">
        <v>5671</v>
      </c>
      <c r="H5674" s="136" t="s">
        <v>23778</v>
      </c>
      <c r="I5674" s="136" t="s">
        <v>23779</v>
      </c>
      <c r="J5674" s="136" t="s">
        <v>23780</v>
      </c>
      <c r="L5674" s="136"/>
      <c r="M5674" s="136"/>
      <c r="N5674" s="136"/>
    </row>
    <row r="5675" spans="6:14">
      <c r="F5675" s="136" t="s">
        <v>23781</v>
      </c>
      <c r="G5675" s="136">
        <v>5672</v>
      </c>
      <c r="H5675" s="136" t="s">
        <v>23782</v>
      </c>
      <c r="I5675" s="136" t="s">
        <v>23783</v>
      </c>
      <c r="J5675" s="136" t="s">
        <v>23784</v>
      </c>
      <c r="L5675" s="136"/>
      <c r="M5675" s="136"/>
      <c r="N5675" s="136"/>
    </row>
    <row r="5676" spans="6:14">
      <c r="F5676" s="136" t="s">
        <v>23785</v>
      </c>
      <c r="G5676" s="136">
        <v>5673</v>
      </c>
      <c r="H5676" s="136" t="s">
        <v>23786</v>
      </c>
      <c r="I5676" s="136" t="s">
        <v>23787</v>
      </c>
      <c r="J5676" s="136" t="s">
        <v>23788</v>
      </c>
      <c r="L5676" s="136"/>
      <c r="M5676" s="136"/>
      <c r="N5676" s="136"/>
    </row>
    <row r="5677" spans="6:14">
      <c r="F5677" s="136" t="s">
        <v>23789</v>
      </c>
      <c r="G5677" s="136">
        <v>5674</v>
      </c>
      <c r="H5677" s="136" t="s">
        <v>5115</v>
      </c>
      <c r="I5677" s="136" t="s">
        <v>23790</v>
      </c>
      <c r="J5677" s="136" t="s">
        <v>23791</v>
      </c>
      <c r="L5677" s="136"/>
      <c r="M5677" s="136"/>
      <c r="N5677" s="136"/>
    </row>
    <row r="5678" spans="6:14">
      <c r="F5678" s="136" t="s">
        <v>23792</v>
      </c>
      <c r="G5678" s="136">
        <v>5675</v>
      </c>
      <c r="H5678" s="136" t="s">
        <v>23793</v>
      </c>
      <c r="I5678" s="136" t="s">
        <v>23794</v>
      </c>
      <c r="J5678" s="136" t="s">
        <v>23795</v>
      </c>
      <c r="L5678" s="136"/>
      <c r="M5678" s="136"/>
      <c r="N5678" s="136"/>
    </row>
    <row r="5679" spans="6:14">
      <c r="F5679" s="136" t="s">
        <v>23796</v>
      </c>
      <c r="G5679" s="136">
        <v>5676</v>
      </c>
      <c r="H5679" s="136" t="s">
        <v>23797</v>
      </c>
      <c r="I5679" s="136" t="s">
        <v>23798</v>
      </c>
      <c r="J5679" s="136" t="s">
        <v>23799</v>
      </c>
      <c r="L5679" s="136"/>
      <c r="M5679" s="136"/>
      <c r="N5679" s="136"/>
    </row>
    <row r="5680" spans="6:14">
      <c r="F5680" s="136" t="s">
        <v>23800</v>
      </c>
      <c r="G5680" s="136">
        <v>41638927880</v>
      </c>
      <c r="H5680" s="136" t="s">
        <v>23801</v>
      </c>
      <c r="I5680" s="136" t="s">
        <v>23801</v>
      </c>
      <c r="J5680" s="136" t="s">
        <v>23802</v>
      </c>
      <c r="L5680" s="136"/>
      <c r="M5680" s="136"/>
      <c r="N5680" s="136"/>
    </row>
    <row r="5681" spans="6:14">
      <c r="F5681" s="136" t="s">
        <v>23803</v>
      </c>
      <c r="G5681" s="136">
        <v>99283840615</v>
      </c>
      <c r="H5681" s="136" t="s">
        <v>23804</v>
      </c>
      <c r="I5681" s="136" t="s">
        <v>23805</v>
      </c>
      <c r="J5681" s="136" t="s">
        <v>23806</v>
      </c>
      <c r="L5681" s="136"/>
      <c r="M5681" s="136"/>
      <c r="N5681" s="136"/>
    </row>
    <row r="5682" spans="6:14">
      <c r="F5682" s="136" t="s">
        <v>23807</v>
      </c>
      <c r="G5682" s="136">
        <v>5679</v>
      </c>
      <c r="H5682" s="136" t="s">
        <v>23808</v>
      </c>
      <c r="I5682" s="136" t="s">
        <v>23809</v>
      </c>
      <c r="J5682" s="136" t="s">
        <v>23810</v>
      </c>
      <c r="L5682" s="136"/>
      <c r="M5682" s="136"/>
      <c r="N5682" s="136"/>
    </row>
    <row r="5683" spans="6:14">
      <c r="F5683" s="136" t="s">
        <v>23811</v>
      </c>
      <c r="G5683" s="136">
        <v>5680</v>
      </c>
      <c r="H5683" s="136" t="s">
        <v>23812</v>
      </c>
      <c r="I5683" s="136" t="s">
        <v>23813</v>
      </c>
      <c r="J5683" s="136" t="s">
        <v>23814</v>
      </c>
      <c r="L5683" s="136"/>
      <c r="M5683" s="136"/>
      <c r="N5683" s="136"/>
    </row>
    <row r="5684" spans="6:14">
      <c r="F5684" s="136" t="s">
        <v>23815</v>
      </c>
      <c r="G5684" s="136">
        <v>5681</v>
      </c>
      <c r="H5684" s="136" t="s">
        <v>23816</v>
      </c>
      <c r="I5684" s="136" t="s">
        <v>24419</v>
      </c>
      <c r="J5684" s="136" t="s">
        <v>23817</v>
      </c>
      <c r="L5684" s="136"/>
      <c r="M5684" s="136"/>
      <c r="N5684" s="136"/>
    </row>
    <row r="5685" spans="6:14">
      <c r="F5685" s="136" t="s">
        <v>24252</v>
      </c>
      <c r="G5685" s="136">
        <v>5682</v>
      </c>
      <c r="H5685" s="136" t="s">
        <v>24253</v>
      </c>
      <c r="I5685" s="136" t="s">
        <v>24254</v>
      </c>
      <c r="J5685" s="136" t="s">
        <v>24255</v>
      </c>
      <c r="L5685" s="136"/>
      <c r="M5685" s="136"/>
      <c r="N5685" s="136"/>
    </row>
    <row r="5686" spans="6:14">
      <c r="F5686" s="136" t="s">
        <v>24256</v>
      </c>
      <c r="G5686" s="136">
        <v>5683</v>
      </c>
      <c r="H5686" s="136" t="s">
        <v>24257</v>
      </c>
      <c r="I5686" s="136" t="s">
        <v>24257</v>
      </c>
      <c r="J5686" s="136" t="s">
        <v>24258</v>
      </c>
      <c r="L5686" s="136"/>
      <c r="M5686" s="136"/>
      <c r="N5686" s="136"/>
    </row>
    <row r="5687" spans="6:14">
      <c r="F5687" s="136" t="s">
        <v>24259</v>
      </c>
      <c r="G5687" s="136">
        <v>5684</v>
      </c>
      <c r="H5687" s="136" t="s">
        <v>24260</v>
      </c>
      <c r="I5687" s="136" t="s">
        <v>24260</v>
      </c>
      <c r="J5687" s="136" t="s">
        <v>24261</v>
      </c>
      <c r="L5687" s="136"/>
      <c r="M5687" s="136"/>
      <c r="N5687" s="136"/>
    </row>
    <row r="5688" spans="6:14">
      <c r="F5688" s="136" t="s">
        <v>24262</v>
      </c>
      <c r="G5688" s="136">
        <v>5685</v>
      </c>
      <c r="H5688" s="136" t="s">
        <v>24263</v>
      </c>
      <c r="I5688" s="136" t="s">
        <v>24263</v>
      </c>
      <c r="J5688" s="136" t="s">
        <v>24264</v>
      </c>
      <c r="L5688" s="136"/>
      <c r="M5688" s="136"/>
      <c r="N5688" s="136"/>
    </row>
    <row r="5689" spans="6:14">
      <c r="F5689" s="136" t="s">
        <v>24265</v>
      </c>
      <c r="G5689" s="136">
        <v>5686</v>
      </c>
      <c r="H5689" s="136" t="s">
        <v>24266</v>
      </c>
      <c r="I5689" s="136" t="s">
        <v>24267</v>
      </c>
      <c r="J5689" s="136" t="s">
        <v>24268</v>
      </c>
      <c r="L5689" s="136"/>
      <c r="M5689" s="136"/>
      <c r="N5689" s="136"/>
    </row>
    <row r="5690" spans="6:14">
      <c r="F5690" s="136" t="s">
        <v>24269</v>
      </c>
      <c r="G5690" s="136">
        <v>5687</v>
      </c>
      <c r="H5690" s="136" t="s">
        <v>24270</v>
      </c>
      <c r="I5690" s="136" t="s">
        <v>24271</v>
      </c>
      <c r="J5690" s="136" t="s">
        <v>24272</v>
      </c>
      <c r="L5690" s="136"/>
      <c r="M5690" s="136"/>
      <c r="N5690" s="136"/>
    </row>
    <row r="5691" spans="6:14">
      <c r="F5691" s="136" t="s">
        <v>24273</v>
      </c>
      <c r="G5691" s="136">
        <v>5688</v>
      </c>
      <c r="H5691" s="136" t="s">
        <v>24274</v>
      </c>
      <c r="I5691" s="136" t="s">
        <v>24274</v>
      </c>
      <c r="J5691" s="136" t="s">
        <v>24275</v>
      </c>
      <c r="L5691" s="136"/>
      <c r="M5691" s="136"/>
      <c r="N5691" s="136"/>
    </row>
    <row r="5692" spans="6:14">
      <c r="F5692" s="136" t="s">
        <v>24276</v>
      </c>
      <c r="G5692" s="136">
        <v>5689</v>
      </c>
      <c r="H5692" s="136" t="s">
        <v>24277</v>
      </c>
      <c r="I5692" s="136" t="s">
        <v>24278</v>
      </c>
      <c r="J5692" s="136" t="s">
        <v>24279</v>
      </c>
      <c r="L5692" s="136"/>
      <c r="M5692" s="136"/>
      <c r="N5692" s="136"/>
    </row>
    <row r="5693" spans="6:14">
      <c r="F5693" s="136" t="s">
        <v>24280</v>
      </c>
      <c r="G5693" s="136">
        <v>5690</v>
      </c>
      <c r="H5693" s="136" t="s">
        <v>24281</v>
      </c>
      <c r="I5693" s="136" t="s">
        <v>24282</v>
      </c>
      <c r="J5693" s="136" t="s">
        <v>24283</v>
      </c>
      <c r="L5693" s="136"/>
      <c r="M5693" s="136"/>
      <c r="N5693" s="136"/>
    </row>
    <row r="5694" spans="6:14">
      <c r="F5694" s="136" t="s">
        <v>24284</v>
      </c>
      <c r="G5694" s="136">
        <v>5691</v>
      </c>
      <c r="H5694" s="136" t="s">
        <v>24285</v>
      </c>
      <c r="I5694" s="136" t="s">
        <v>24286</v>
      </c>
      <c r="J5694" s="136" t="s">
        <v>24287</v>
      </c>
      <c r="L5694" s="136"/>
      <c r="M5694" s="136"/>
      <c r="N5694" s="136"/>
    </row>
    <row r="5695" spans="6:14">
      <c r="F5695" s="136" t="s">
        <v>24288</v>
      </c>
      <c r="G5695" s="136">
        <v>5692</v>
      </c>
      <c r="H5695" s="136" t="s">
        <v>24289</v>
      </c>
      <c r="I5695" s="136" t="s">
        <v>24289</v>
      </c>
      <c r="J5695" s="136" t="s">
        <v>24290</v>
      </c>
      <c r="L5695" s="136"/>
      <c r="M5695" s="136"/>
      <c r="N5695" s="136"/>
    </row>
    <row r="5696" spans="6:14">
      <c r="F5696" s="136" t="s">
        <v>24291</v>
      </c>
      <c r="G5696" s="136">
        <v>5693</v>
      </c>
      <c r="H5696" s="136" t="s">
        <v>24292</v>
      </c>
      <c r="I5696" s="136" t="s">
        <v>24292</v>
      </c>
      <c r="J5696" s="136" t="s">
        <v>24293</v>
      </c>
      <c r="L5696" s="136"/>
      <c r="M5696" s="136"/>
      <c r="N5696" s="136"/>
    </row>
    <row r="5697" spans="6:14">
      <c r="F5697" s="136" t="s">
        <v>24294</v>
      </c>
      <c r="G5697" s="136">
        <v>7475785408</v>
      </c>
      <c r="H5697" s="136" t="s">
        <v>3994</v>
      </c>
      <c r="I5697" s="136" t="s">
        <v>3994</v>
      </c>
      <c r="J5697" s="136" t="s">
        <v>24295</v>
      </c>
      <c r="L5697" s="136"/>
      <c r="M5697" s="136"/>
      <c r="N5697" s="136"/>
    </row>
    <row r="5698" spans="6:14">
      <c r="F5698" s="136" t="s">
        <v>24296</v>
      </c>
      <c r="G5698" s="136">
        <v>10612463702</v>
      </c>
      <c r="H5698" s="136" t="s">
        <v>24297</v>
      </c>
      <c r="I5698" s="136" t="s">
        <v>24297</v>
      </c>
      <c r="J5698" s="136" t="s">
        <v>24298</v>
      </c>
      <c r="L5698" s="136"/>
      <c r="M5698" s="136"/>
      <c r="N5698" s="136"/>
    </row>
    <row r="5699" spans="6:14">
      <c r="F5699" s="136" t="s">
        <v>24299</v>
      </c>
      <c r="G5699" s="136">
        <v>12205132709</v>
      </c>
      <c r="H5699" s="136" t="s">
        <v>24300</v>
      </c>
      <c r="I5699" s="136" t="s">
        <v>24300</v>
      </c>
      <c r="J5699" s="136" t="s">
        <v>24301</v>
      </c>
      <c r="L5699" s="136"/>
      <c r="M5699" s="136"/>
      <c r="N5699" s="136"/>
    </row>
    <row r="5700" spans="6:14">
      <c r="F5700" s="136" t="s">
        <v>24302</v>
      </c>
      <c r="G5700" s="136">
        <v>33583943520</v>
      </c>
      <c r="H5700" s="136" t="s">
        <v>24303</v>
      </c>
      <c r="I5700" s="136" t="s">
        <v>24304</v>
      </c>
      <c r="J5700" s="136" t="s">
        <v>24305</v>
      </c>
      <c r="L5700" s="136"/>
      <c r="M5700" s="136"/>
      <c r="N5700" s="136"/>
    </row>
    <row r="5701" spans="6:14">
      <c r="F5701" s="136" t="s">
        <v>24306</v>
      </c>
      <c r="G5701" s="136">
        <v>5698</v>
      </c>
      <c r="H5701" s="136" t="s">
        <v>24307</v>
      </c>
      <c r="I5701" s="136" t="s">
        <v>24308</v>
      </c>
      <c r="J5701" s="136" t="s">
        <v>24309</v>
      </c>
      <c r="L5701" s="136"/>
      <c r="M5701" s="136"/>
      <c r="N5701" s="136"/>
    </row>
    <row r="5702" spans="6:14">
      <c r="F5702" s="136" t="s">
        <v>24310</v>
      </c>
      <c r="G5702" s="136">
        <v>5699</v>
      </c>
      <c r="H5702" s="136" t="s">
        <v>24311</v>
      </c>
      <c r="I5702" s="136" t="s">
        <v>24312</v>
      </c>
      <c r="J5702" s="136" t="s">
        <v>24313</v>
      </c>
      <c r="L5702" s="136"/>
      <c r="M5702" s="136"/>
      <c r="N5702" s="136"/>
    </row>
    <row r="5703" spans="6:14">
      <c r="F5703" s="136" t="s">
        <v>24314</v>
      </c>
      <c r="G5703" s="136">
        <v>15516179866</v>
      </c>
      <c r="H5703" s="136" t="s">
        <v>24315</v>
      </c>
      <c r="I5703" s="136" t="s">
        <v>24316</v>
      </c>
      <c r="J5703" s="136" t="s">
        <v>24317</v>
      </c>
      <c r="L5703" s="136"/>
      <c r="M5703" s="136"/>
      <c r="N5703" s="136"/>
    </row>
    <row r="5704" spans="6:14">
      <c r="F5704" s="136" t="s">
        <v>24318</v>
      </c>
      <c r="G5704" s="136">
        <v>5701</v>
      </c>
      <c r="H5704" s="136" t="s">
        <v>24319</v>
      </c>
      <c r="I5704" s="136" t="s">
        <v>24320</v>
      </c>
      <c r="J5704" s="136" t="s">
        <v>24321</v>
      </c>
      <c r="L5704" s="136"/>
      <c r="M5704" s="136"/>
      <c r="N5704" s="136"/>
    </row>
    <row r="5705" spans="6:14">
      <c r="F5705" s="136" t="s">
        <v>24322</v>
      </c>
      <c r="G5705" s="136">
        <v>41688690832</v>
      </c>
      <c r="H5705" s="136" t="s">
        <v>24323</v>
      </c>
      <c r="I5705" s="136" t="s">
        <v>24324</v>
      </c>
      <c r="J5705" s="136" t="s">
        <v>24325</v>
      </c>
      <c r="L5705" s="136"/>
      <c r="M5705" s="136"/>
      <c r="N5705" s="136"/>
    </row>
    <row r="5706" spans="6:14">
      <c r="F5706" s="136" t="s">
        <v>24326</v>
      </c>
      <c r="G5706" s="136">
        <v>6805589851</v>
      </c>
      <c r="H5706" s="136" t="s">
        <v>24327</v>
      </c>
      <c r="I5706" s="136" t="s">
        <v>24328</v>
      </c>
      <c r="J5706" s="136" t="s">
        <v>24329</v>
      </c>
      <c r="L5706" s="136"/>
      <c r="M5706" s="136"/>
      <c r="N5706" s="136"/>
    </row>
    <row r="5707" spans="6:14">
      <c r="F5707" s="136" t="s">
        <v>24330</v>
      </c>
      <c r="G5707" s="136">
        <v>5704</v>
      </c>
      <c r="H5707" s="136" t="s">
        <v>24331</v>
      </c>
      <c r="I5707" s="136" t="s">
        <v>24332</v>
      </c>
      <c r="J5707" s="136" t="s">
        <v>24333</v>
      </c>
      <c r="L5707" s="136"/>
      <c r="M5707" s="136"/>
      <c r="N5707" s="136"/>
    </row>
    <row r="5708" spans="6:14">
      <c r="F5708" s="136" t="s">
        <v>24334</v>
      </c>
      <c r="G5708" s="136">
        <v>5705</v>
      </c>
      <c r="H5708" s="136" t="s">
        <v>24335</v>
      </c>
      <c r="I5708" s="136" t="s">
        <v>24336</v>
      </c>
      <c r="J5708" s="136" t="s">
        <v>24337</v>
      </c>
      <c r="L5708" s="136"/>
      <c r="M5708" s="136"/>
      <c r="N5708" s="136"/>
    </row>
    <row r="5709" spans="6:14">
      <c r="F5709" s="136" t="s">
        <v>24338</v>
      </c>
      <c r="G5709" s="136">
        <v>5706</v>
      </c>
      <c r="H5709" s="136" t="s">
        <v>24339</v>
      </c>
      <c r="I5709" s="136" t="s">
        <v>24340</v>
      </c>
      <c r="J5709" s="136" t="s">
        <v>24341</v>
      </c>
      <c r="L5709" s="136"/>
      <c r="M5709" s="136"/>
      <c r="N5709" s="136"/>
    </row>
    <row r="5710" spans="6:14">
      <c r="F5710" s="136" t="s">
        <v>24342</v>
      </c>
      <c r="G5710" s="136">
        <v>5707</v>
      </c>
      <c r="H5710" s="136" t="s">
        <v>24343</v>
      </c>
      <c r="I5710" s="136" t="s">
        <v>24344</v>
      </c>
      <c r="J5710" s="136" t="s">
        <v>24345</v>
      </c>
      <c r="L5710" s="136"/>
      <c r="M5710" s="136"/>
      <c r="N5710" s="136"/>
    </row>
    <row r="5711" spans="6:14">
      <c r="F5711" s="136" t="s">
        <v>24346</v>
      </c>
      <c r="G5711" s="136">
        <v>5708</v>
      </c>
      <c r="H5711" s="136" t="s">
        <v>24347</v>
      </c>
      <c r="I5711" s="136" t="s">
        <v>24348</v>
      </c>
      <c r="J5711" s="136" t="s">
        <v>24349</v>
      </c>
      <c r="L5711" s="136"/>
      <c r="M5711" s="136"/>
      <c r="N5711" s="136"/>
    </row>
    <row r="5712" spans="6:14">
      <c r="F5712" s="136" t="s">
        <v>24350</v>
      </c>
      <c r="G5712" s="136">
        <v>5709</v>
      </c>
      <c r="H5712" s="136" t="s">
        <v>24351</v>
      </c>
      <c r="I5712" s="136" t="s">
        <v>24352</v>
      </c>
      <c r="J5712" s="136" t="s">
        <v>24353</v>
      </c>
      <c r="L5712" s="136"/>
      <c r="M5712" s="136"/>
      <c r="N5712" s="136"/>
    </row>
    <row r="5713" spans="6:14">
      <c r="F5713" s="136" t="s">
        <v>24354</v>
      </c>
      <c r="G5713" s="136">
        <v>5710</v>
      </c>
      <c r="H5713" s="136" t="s">
        <v>24355</v>
      </c>
      <c r="I5713" s="136" t="s">
        <v>24356</v>
      </c>
      <c r="J5713" s="136" t="s">
        <v>24357</v>
      </c>
      <c r="L5713" s="136"/>
      <c r="M5713" s="136"/>
      <c r="N5713" s="136"/>
    </row>
    <row r="5714" spans="6:14">
      <c r="F5714" s="136" t="s">
        <v>24358</v>
      </c>
      <c r="G5714" s="136">
        <v>5711</v>
      </c>
      <c r="H5714" s="136" t="s">
        <v>24359</v>
      </c>
      <c r="I5714" s="136" t="s">
        <v>24360</v>
      </c>
      <c r="J5714" s="136" t="s">
        <v>24361</v>
      </c>
      <c r="L5714" s="136"/>
      <c r="M5714" s="136"/>
      <c r="N5714" s="136"/>
    </row>
    <row r="5715" spans="6:14">
      <c r="F5715" s="136" t="s">
        <v>24362</v>
      </c>
      <c r="G5715" s="136">
        <v>5712</v>
      </c>
      <c r="H5715" s="136" t="s">
        <v>24363</v>
      </c>
      <c r="I5715" s="136" t="s">
        <v>24364</v>
      </c>
      <c r="J5715" s="136" t="s">
        <v>24365</v>
      </c>
      <c r="L5715" s="136"/>
      <c r="M5715" s="136"/>
      <c r="N5715" s="136"/>
    </row>
    <row r="5716" spans="6:14">
      <c r="F5716" s="136" t="s">
        <v>24366</v>
      </c>
      <c r="G5716" s="136">
        <v>5713</v>
      </c>
      <c r="H5716" s="136" t="s">
        <v>24367</v>
      </c>
      <c r="I5716" s="136" t="s">
        <v>24368</v>
      </c>
      <c r="J5716" s="136" t="s">
        <v>24369</v>
      </c>
      <c r="L5716" s="136"/>
      <c r="M5716" s="136"/>
      <c r="N5716" s="136"/>
    </row>
    <row r="5717" spans="6:14">
      <c r="F5717" s="136" t="s">
        <v>24370</v>
      </c>
      <c r="G5717" s="136">
        <v>5714</v>
      </c>
      <c r="H5717" s="136" t="s">
        <v>24371</v>
      </c>
      <c r="I5717" s="136" t="s">
        <v>24372</v>
      </c>
      <c r="J5717" s="136" t="s">
        <v>24373</v>
      </c>
      <c r="L5717" s="136"/>
      <c r="M5717" s="136"/>
      <c r="N5717" s="136"/>
    </row>
    <row r="5718" spans="6:14">
      <c r="F5718" s="136" t="s">
        <v>24420</v>
      </c>
      <c r="G5718" s="136">
        <v>5715</v>
      </c>
      <c r="H5718" s="136" t="s">
        <v>24421</v>
      </c>
      <c r="I5718" s="136" t="s">
        <v>24422</v>
      </c>
      <c r="J5718" s="136" t="s">
        <v>24423</v>
      </c>
      <c r="L5718" s="136"/>
      <c r="M5718" s="136"/>
      <c r="N5718" s="136"/>
    </row>
    <row r="5719" spans="6:14">
      <c r="F5719" s="136" t="s">
        <v>24424</v>
      </c>
      <c r="G5719" s="136">
        <v>5716</v>
      </c>
      <c r="H5719" s="136" t="s">
        <v>24425</v>
      </c>
      <c r="I5719" s="136" t="s">
        <v>24426</v>
      </c>
      <c r="J5719" s="136" t="s">
        <v>24427</v>
      </c>
      <c r="L5719" s="136"/>
      <c r="M5719" s="136"/>
      <c r="N5719" s="136"/>
    </row>
    <row r="5720" spans="6:14">
      <c r="F5720" s="136" t="s">
        <v>24428</v>
      </c>
      <c r="G5720" s="136">
        <v>5717</v>
      </c>
      <c r="H5720" s="136" t="s">
        <v>24429</v>
      </c>
      <c r="I5720" s="136" t="s">
        <v>24429</v>
      </c>
      <c r="J5720" s="136" t="s">
        <v>24430</v>
      </c>
      <c r="L5720" s="136"/>
      <c r="M5720" s="136"/>
      <c r="N5720" s="136"/>
    </row>
    <row r="5721" spans="6:14">
      <c r="F5721" s="136" t="s">
        <v>24431</v>
      </c>
      <c r="G5721" s="136">
        <v>5718</v>
      </c>
      <c r="H5721" s="136" t="s">
        <v>24432</v>
      </c>
      <c r="I5721" s="136" t="s">
        <v>24432</v>
      </c>
      <c r="J5721" s="136" t="s">
        <v>24433</v>
      </c>
      <c r="L5721" s="136"/>
      <c r="M5721" s="136"/>
      <c r="N5721" s="136"/>
    </row>
    <row r="5722" spans="6:14">
      <c r="F5722" s="136" t="s">
        <v>24434</v>
      </c>
      <c r="G5722" s="136">
        <v>5719</v>
      </c>
      <c r="H5722" s="136" t="s">
        <v>24435</v>
      </c>
      <c r="I5722" s="136" t="s">
        <v>24436</v>
      </c>
      <c r="J5722" s="136" t="s">
        <v>24437</v>
      </c>
      <c r="L5722" s="136"/>
      <c r="M5722" s="136"/>
      <c r="N5722" s="136"/>
    </row>
    <row r="5723" spans="6:14">
      <c r="F5723" s="136" t="s">
        <v>24438</v>
      </c>
      <c r="G5723" s="136">
        <v>5720</v>
      </c>
      <c r="H5723" s="136" t="s">
        <v>24439</v>
      </c>
      <c r="I5723" s="136" t="s">
        <v>24440</v>
      </c>
      <c r="J5723" s="136" t="s">
        <v>24441</v>
      </c>
      <c r="L5723" s="136"/>
      <c r="M5723" s="136"/>
      <c r="N5723" s="136"/>
    </row>
    <row r="5724" spans="6:14">
      <c r="F5724" s="136" t="s">
        <v>24442</v>
      </c>
      <c r="G5724" s="136">
        <v>5721</v>
      </c>
      <c r="H5724" s="136" t="s">
        <v>24443</v>
      </c>
      <c r="I5724" s="136" t="s">
        <v>24444</v>
      </c>
      <c r="J5724" s="136" t="s">
        <v>24445</v>
      </c>
      <c r="L5724" s="136"/>
      <c r="M5724" s="136"/>
      <c r="N5724" s="136"/>
    </row>
    <row r="5725" spans="6:14">
      <c r="F5725" s="136" t="s">
        <v>24446</v>
      </c>
      <c r="G5725" s="136">
        <v>26515416806</v>
      </c>
      <c r="H5725" s="136" t="s">
        <v>24447</v>
      </c>
      <c r="I5725" s="136" t="s">
        <v>24447</v>
      </c>
      <c r="J5725" s="136" t="s">
        <v>24448</v>
      </c>
      <c r="L5725" s="136"/>
      <c r="M5725" s="136"/>
      <c r="N5725" s="136"/>
    </row>
    <row r="5726" spans="6:14">
      <c r="F5726" s="136" t="s">
        <v>24449</v>
      </c>
      <c r="G5726" s="136">
        <v>5723</v>
      </c>
      <c r="H5726" s="136" t="s">
        <v>24450</v>
      </c>
      <c r="I5726" s="136" t="s">
        <v>24451</v>
      </c>
      <c r="J5726" s="136" t="s">
        <v>24452</v>
      </c>
      <c r="L5726" s="136"/>
      <c r="M5726" s="136"/>
      <c r="N5726" s="136"/>
    </row>
    <row r="5727" spans="6:14">
      <c r="F5727" s="136" t="s">
        <v>24453</v>
      </c>
      <c r="G5727" s="136">
        <v>5724</v>
      </c>
      <c r="H5727" s="136" t="s">
        <v>24454</v>
      </c>
      <c r="I5727" s="136" t="s">
        <v>24455</v>
      </c>
      <c r="J5727" s="136" t="s">
        <v>24456</v>
      </c>
      <c r="L5727" s="136"/>
      <c r="M5727" s="136"/>
      <c r="N5727" s="136"/>
    </row>
    <row r="5728" spans="6:14">
      <c r="F5728" s="136" t="s">
        <v>24457</v>
      </c>
      <c r="G5728" s="136">
        <v>5725</v>
      </c>
      <c r="H5728" s="136" t="s">
        <v>24458</v>
      </c>
      <c r="I5728" s="136" t="s">
        <v>24459</v>
      </c>
      <c r="J5728" s="136" t="s">
        <v>24460</v>
      </c>
      <c r="L5728" s="136"/>
      <c r="M5728" s="136"/>
      <c r="N5728" s="136"/>
    </row>
    <row r="5729" spans="6:14">
      <c r="F5729" s="136" t="s">
        <v>24461</v>
      </c>
      <c r="G5729" s="136">
        <v>5726</v>
      </c>
      <c r="H5729" s="136" t="s">
        <v>24462</v>
      </c>
      <c r="I5729" s="136" t="s">
        <v>24463</v>
      </c>
      <c r="J5729" s="136" t="s">
        <v>24464</v>
      </c>
      <c r="L5729" s="136"/>
      <c r="M5729" s="136"/>
      <c r="N5729" s="136"/>
    </row>
    <row r="5730" spans="6:14">
      <c r="F5730" s="136" t="s">
        <v>24465</v>
      </c>
      <c r="G5730" s="136">
        <v>5727</v>
      </c>
      <c r="H5730" s="136" t="s">
        <v>24466</v>
      </c>
      <c r="I5730" s="136" t="s">
        <v>24467</v>
      </c>
      <c r="J5730" s="136" t="s">
        <v>24468</v>
      </c>
      <c r="L5730" s="136"/>
      <c r="M5730" s="136"/>
      <c r="N5730" s="136"/>
    </row>
    <row r="5731" spans="6:14">
      <c r="F5731" s="136" t="s">
        <v>24597</v>
      </c>
      <c r="G5731" s="136">
        <v>5728</v>
      </c>
      <c r="H5731" s="136" t="s">
        <v>24598</v>
      </c>
      <c r="I5731" s="136" t="s">
        <v>24599</v>
      </c>
      <c r="J5731" s="136" t="s">
        <v>24600</v>
      </c>
      <c r="L5731" s="136"/>
      <c r="M5731" s="136"/>
      <c r="N5731" s="136"/>
    </row>
    <row r="5732" spans="6:14">
      <c r="F5732" s="136" t="s">
        <v>24601</v>
      </c>
      <c r="G5732" s="136">
        <v>5729</v>
      </c>
      <c r="H5732" s="136" t="s">
        <v>24602</v>
      </c>
      <c r="I5732" s="136" t="s">
        <v>24603</v>
      </c>
      <c r="J5732" s="136" t="s">
        <v>24604</v>
      </c>
      <c r="L5732" s="136"/>
      <c r="M5732" s="136"/>
      <c r="N5732" s="136"/>
    </row>
    <row r="5733" spans="6:14">
      <c r="F5733" s="136" t="s">
        <v>24605</v>
      </c>
      <c r="G5733" s="136">
        <v>5730</v>
      </c>
      <c r="H5733" s="136" t="s">
        <v>24606</v>
      </c>
      <c r="I5733" s="136" t="s">
        <v>24607</v>
      </c>
      <c r="J5733" s="136" t="s">
        <v>24608</v>
      </c>
      <c r="L5733" s="136"/>
      <c r="M5733" s="136"/>
      <c r="N5733" s="136"/>
    </row>
    <row r="5734" spans="6:14">
      <c r="F5734" s="136" t="s">
        <v>24609</v>
      </c>
      <c r="G5734" s="136">
        <v>5731</v>
      </c>
      <c r="H5734" s="136" t="s">
        <v>24610</v>
      </c>
      <c r="I5734" s="136" t="s">
        <v>24611</v>
      </c>
      <c r="J5734" s="136" t="s">
        <v>24612</v>
      </c>
      <c r="L5734" s="136"/>
      <c r="M5734" s="136"/>
      <c r="N5734" s="136"/>
    </row>
    <row r="5735" spans="6:14">
      <c r="F5735" s="136" t="s">
        <v>24613</v>
      </c>
      <c r="G5735" s="136">
        <v>5732</v>
      </c>
      <c r="H5735" s="136" t="s">
        <v>24614</v>
      </c>
      <c r="I5735" s="136" t="s">
        <v>24615</v>
      </c>
      <c r="J5735" s="136" t="s">
        <v>24616</v>
      </c>
      <c r="L5735" s="136"/>
      <c r="M5735" s="136"/>
      <c r="N5735" s="136"/>
    </row>
    <row r="5736" spans="6:14">
      <c r="F5736" s="136" t="s">
        <v>24617</v>
      </c>
      <c r="G5736" s="136">
        <v>5733</v>
      </c>
      <c r="H5736" s="136" t="s">
        <v>24618</v>
      </c>
      <c r="I5736" s="136" t="s">
        <v>24618</v>
      </c>
      <c r="J5736" s="136" t="s">
        <v>24619</v>
      </c>
      <c r="L5736" s="136"/>
      <c r="M5736" s="136"/>
      <c r="N5736" s="136"/>
    </row>
    <row r="5737" spans="6:14">
      <c r="F5737" s="136" t="s">
        <v>24620</v>
      </c>
      <c r="G5737" s="136">
        <v>5734</v>
      </c>
      <c r="H5737" s="136" t="s">
        <v>24621</v>
      </c>
      <c r="I5737" s="136" t="s">
        <v>24622</v>
      </c>
      <c r="J5737" s="136" t="s">
        <v>24623</v>
      </c>
      <c r="L5737" s="136"/>
      <c r="M5737" s="136"/>
      <c r="N5737" s="136"/>
    </row>
    <row r="5738" spans="6:14">
      <c r="F5738" s="136" t="s">
        <v>24624</v>
      </c>
      <c r="G5738" s="136">
        <v>5735</v>
      </c>
      <c r="H5738" s="136" t="s">
        <v>24625</v>
      </c>
      <c r="I5738" s="136" t="s">
        <v>24626</v>
      </c>
      <c r="J5738" s="136" t="s">
        <v>24627</v>
      </c>
      <c r="L5738" s="136"/>
      <c r="M5738" s="136"/>
      <c r="N5738" s="136"/>
    </row>
    <row r="5739" spans="6:14">
      <c r="F5739" s="136" t="s">
        <v>24628</v>
      </c>
      <c r="G5739" s="136">
        <v>5736</v>
      </c>
      <c r="H5739" s="136" t="s">
        <v>24629</v>
      </c>
      <c r="I5739" s="136" t="s">
        <v>24629</v>
      </c>
      <c r="J5739" s="136" t="s">
        <v>24630</v>
      </c>
      <c r="L5739" s="136"/>
      <c r="M5739" s="136"/>
      <c r="N5739" s="136"/>
    </row>
    <row r="5740" spans="6:14">
      <c r="F5740" s="136" t="s">
        <v>24631</v>
      </c>
      <c r="G5740" s="136">
        <v>5737</v>
      </c>
      <c r="H5740" s="136" t="s">
        <v>24632</v>
      </c>
      <c r="I5740" s="136" t="s">
        <v>24632</v>
      </c>
      <c r="J5740" s="136" t="s">
        <v>24633</v>
      </c>
      <c r="L5740" s="136"/>
      <c r="M5740" s="136"/>
      <c r="N5740" s="136"/>
    </row>
    <row r="5741" spans="6:14">
      <c r="F5741" s="136" t="s">
        <v>24634</v>
      </c>
      <c r="G5741" s="136">
        <v>5738</v>
      </c>
      <c r="H5741" s="136" t="s">
        <v>24635</v>
      </c>
      <c r="I5741" s="136" t="s">
        <v>24636</v>
      </c>
      <c r="J5741" s="136" t="s">
        <v>24637</v>
      </c>
      <c r="L5741" s="136"/>
      <c r="M5741" s="136"/>
      <c r="N5741" s="136"/>
    </row>
    <row r="5742" spans="6:14">
      <c r="F5742" s="136" t="s">
        <v>24638</v>
      </c>
      <c r="G5742" s="136">
        <v>5739</v>
      </c>
      <c r="H5742" s="136" t="s">
        <v>24639</v>
      </c>
      <c r="I5742" s="136" t="s">
        <v>24640</v>
      </c>
      <c r="J5742" s="136" t="s">
        <v>24641</v>
      </c>
      <c r="L5742" s="136"/>
      <c r="M5742" s="136"/>
      <c r="N5742" s="136"/>
    </row>
    <row r="5743" spans="6:14">
      <c r="F5743" s="136" t="s">
        <v>24642</v>
      </c>
      <c r="G5743" s="136">
        <v>5740</v>
      </c>
      <c r="H5743" s="136" t="s">
        <v>24643</v>
      </c>
      <c r="I5743" s="136" t="s">
        <v>24643</v>
      </c>
      <c r="J5743" s="136" t="s">
        <v>24644</v>
      </c>
      <c r="L5743" s="136"/>
      <c r="M5743" s="136"/>
      <c r="N5743" s="136"/>
    </row>
    <row r="5744" spans="6:14">
      <c r="F5744" s="136" t="s">
        <v>24645</v>
      </c>
      <c r="G5744" s="136">
        <v>5741</v>
      </c>
      <c r="H5744" s="136" t="s">
        <v>24646</v>
      </c>
      <c r="I5744" s="136" t="s">
        <v>24647</v>
      </c>
      <c r="J5744" s="136" t="s">
        <v>24648</v>
      </c>
      <c r="L5744" s="136"/>
      <c r="M5744" s="136"/>
      <c r="N5744" s="136"/>
    </row>
    <row r="5745" spans="6:14">
      <c r="F5745" s="136" t="s">
        <v>24649</v>
      </c>
      <c r="G5745" s="136">
        <v>5742</v>
      </c>
      <c r="H5745" s="136" t="s">
        <v>24650</v>
      </c>
      <c r="I5745" s="136" t="s">
        <v>24651</v>
      </c>
      <c r="J5745" s="136" t="s">
        <v>24652</v>
      </c>
      <c r="L5745" s="136"/>
      <c r="M5745" s="136"/>
      <c r="N5745" s="136"/>
    </row>
    <row r="5746" spans="6:14">
      <c r="F5746" s="136" t="s">
        <v>24653</v>
      </c>
      <c r="G5746" s="136">
        <v>5743</v>
      </c>
      <c r="H5746" s="136" t="s">
        <v>13267</v>
      </c>
      <c r="I5746" s="136" t="s">
        <v>13267</v>
      </c>
      <c r="J5746" s="136" t="s">
        <v>24654</v>
      </c>
      <c r="L5746" s="136"/>
      <c r="M5746" s="136"/>
      <c r="N5746" s="136"/>
    </row>
    <row r="5747" spans="6:14">
      <c r="F5747" s="136" t="s">
        <v>24655</v>
      </c>
      <c r="G5747" s="136">
        <v>5744</v>
      </c>
      <c r="H5747" s="136" t="s">
        <v>24656</v>
      </c>
      <c r="I5747" s="136" t="s">
        <v>24657</v>
      </c>
      <c r="J5747" s="136" t="s">
        <v>24658</v>
      </c>
      <c r="L5747" s="136"/>
      <c r="M5747" s="136"/>
      <c r="N5747" s="136"/>
    </row>
    <row r="5748" spans="6:14">
      <c r="F5748" s="136" t="s">
        <v>24659</v>
      </c>
      <c r="G5748" s="136">
        <v>9848677674</v>
      </c>
      <c r="H5748" s="136" t="s">
        <v>24660</v>
      </c>
      <c r="I5748" s="136" t="s">
        <v>24660</v>
      </c>
      <c r="J5748" s="136" t="s">
        <v>24661</v>
      </c>
      <c r="L5748" s="136"/>
      <c r="M5748" s="136"/>
      <c r="N5748" s="136"/>
    </row>
    <row r="5749" spans="6:14">
      <c r="F5749" s="136" t="s">
        <v>24662</v>
      </c>
      <c r="G5749" s="136">
        <v>68894244504</v>
      </c>
      <c r="H5749" s="136" t="s">
        <v>24663</v>
      </c>
      <c r="I5749" s="136" t="s">
        <v>24664</v>
      </c>
      <c r="J5749" s="136" t="s">
        <v>24665</v>
      </c>
      <c r="L5749" s="136"/>
      <c r="M5749" s="136"/>
      <c r="N5749" s="136"/>
    </row>
    <row r="5750" spans="6:14">
      <c r="F5750" s="136" t="s">
        <v>24666</v>
      </c>
      <c r="G5750" s="136">
        <v>5747</v>
      </c>
      <c r="H5750" s="136" t="s">
        <v>24667</v>
      </c>
      <c r="I5750" s="136" t="s">
        <v>24667</v>
      </c>
      <c r="J5750" s="136" t="s">
        <v>24668</v>
      </c>
      <c r="L5750" s="136"/>
      <c r="M5750" s="136"/>
      <c r="N5750" s="136"/>
    </row>
    <row r="5751" spans="6:14">
      <c r="F5751" s="136" t="s">
        <v>24669</v>
      </c>
      <c r="G5751" s="136">
        <v>5748</v>
      </c>
      <c r="H5751" s="136" t="s">
        <v>24670</v>
      </c>
      <c r="I5751" s="136" t="s">
        <v>24670</v>
      </c>
      <c r="J5751" s="136" t="s">
        <v>24671</v>
      </c>
      <c r="L5751" s="136"/>
      <c r="M5751" s="136"/>
      <c r="N5751" s="136"/>
    </row>
    <row r="5752" spans="6:14">
      <c r="F5752" s="136" t="s">
        <v>24672</v>
      </c>
      <c r="G5752" s="136">
        <v>9122762825</v>
      </c>
      <c r="H5752" s="136" t="s">
        <v>24673</v>
      </c>
      <c r="I5752" s="136" t="s">
        <v>24674</v>
      </c>
      <c r="J5752" s="136" t="s">
        <v>24675</v>
      </c>
      <c r="L5752" s="136"/>
      <c r="M5752" s="136"/>
      <c r="N5752" s="136"/>
    </row>
    <row r="5753" spans="6:14">
      <c r="F5753" s="136" t="s">
        <v>24676</v>
      </c>
      <c r="G5753" s="136">
        <v>5750</v>
      </c>
      <c r="H5753" s="136" t="s">
        <v>24677</v>
      </c>
      <c r="I5753" s="136" t="s">
        <v>24677</v>
      </c>
      <c r="J5753" s="136" t="s">
        <v>24678</v>
      </c>
      <c r="L5753" s="136"/>
      <c r="M5753" s="136"/>
      <c r="N5753" s="136"/>
    </row>
    <row r="5754" spans="6:14">
      <c r="F5754" s="136" t="s">
        <v>24679</v>
      </c>
      <c r="G5754" s="136">
        <v>536800146</v>
      </c>
      <c r="H5754" s="136" t="s">
        <v>24680</v>
      </c>
      <c r="I5754" s="136" t="s">
        <v>24680</v>
      </c>
      <c r="J5754" s="136" t="s">
        <v>24681</v>
      </c>
      <c r="L5754" s="136"/>
      <c r="M5754" s="136"/>
      <c r="N5754" s="136"/>
    </row>
    <row r="5755" spans="6:14">
      <c r="F5755" s="136" t="s">
        <v>24682</v>
      </c>
      <c r="G5755" s="136">
        <v>5766194773</v>
      </c>
      <c r="H5755" s="136" t="s">
        <v>24683</v>
      </c>
      <c r="I5755" s="136" t="s">
        <v>24683</v>
      </c>
      <c r="J5755" s="136" t="s">
        <v>24684</v>
      </c>
      <c r="L5755" s="136"/>
      <c r="M5755" s="136"/>
      <c r="N5755" s="136"/>
    </row>
    <row r="5756" spans="6:14">
      <c r="F5756" s="136" t="s">
        <v>24685</v>
      </c>
      <c r="G5756" s="136">
        <v>2861200979</v>
      </c>
      <c r="H5756" s="136" t="s">
        <v>24686</v>
      </c>
      <c r="I5756" s="136" t="s">
        <v>24686</v>
      </c>
      <c r="J5756" s="136" t="s">
        <v>24687</v>
      </c>
      <c r="L5756" s="136"/>
      <c r="M5756" s="136"/>
      <c r="N5756" s="136"/>
    </row>
    <row r="5757" spans="6:14">
      <c r="F5757" s="136" t="s">
        <v>24688</v>
      </c>
      <c r="G5757" s="136">
        <v>2182856633</v>
      </c>
      <c r="H5757" s="136" t="s">
        <v>24689</v>
      </c>
      <c r="I5757" s="136" t="s">
        <v>24689</v>
      </c>
      <c r="J5757" s="136" t="s">
        <v>24690</v>
      </c>
      <c r="L5757" s="136"/>
      <c r="M5757" s="136"/>
      <c r="N5757" s="136"/>
    </row>
    <row r="5758" spans="6:14">
      <c r="F5758" s="136" t="s">
        <v>24691</v>
      </c>
      <c r="G5758" s="136">
        <v>5755</v>
      </c>
      <c r="H5758" s="136" t="s">
        <v>24692</v>
      </c>
      <c r="I5758" s="136" t="s">
        <v>24693</v>
      </c>
      <c r="J5758" s="136" t="s">
        <v>24694</v>
      </c>
      <c r="L5758" s="136"/>
      <c r="M5758" s="136"/>
      <c r="N5758" s="136"/>
    </row>
    <row r="5759" spans="6:14">
      <c r="F5759" s="136" t="s">
        <v>24695</v>
      </c>
      <c r="G5759" s="136">
        <v>5756</v>
      </c>
      <c r="H5759" s="136" t="s">
        <v>24696</v>
      </c>
      <c r="I5759" s="136" t="s">
        <v>24697</v>
      </c>
      <c r="J5759" s="136" t="s">
        <v>24698</v>
      </c>
      <c r="L5759" s="136"/>
      <c r="M5759" s="136"/>
      <c r="N5759" s="136"/>
    </row>
    <row r="5760" spans="6:14">
      <c r="F5760" s="136" t="s">
        <v>24699</v>
      </c>
      <c r="G5760" s="136">
        <v>5757</v>
      </c>
      <c r="H5760" s="136" t="s">
        <v>24700</v>
      </c>
      <c r="I5760" s="136" t="s">
        <v>24336</v>
      </c>
      <c r="J5760" s="136" t="s">
        <v>24701</v>
      </c>
      <c r="L5760" s="136"/>
      <c r="M5760" s="136"/>
      <c r="N5760" s="136"/>
    </row>
    <row r="5761" spans="6:14">
      <c r="F5761" s="136" t="s">
        <v>24702</v>
      </c>
      <c r="G5761" s="136">
        <v>5758</v>
      </c>
      <c r="H5761" s="136" t="s">
        <v>24703</v>
      </c>
      <c r="I5761" s="136" t="s">
        <v>24704</v>
      </c>
      <c r="J5761" s="136" t="s">
        <v>24705</v>
      </c>
      <c r="L5761" s="136"/>
      <c r="M5761" s="136"/>
      <c r="N5761" s="136"/>
    </row>
    <row r="5762" spans="6:14">
      <c r="F5762" s="136" t="s">
        <v>24706</v>
      </c>
      <c r="G5762" s="136">
        <v>5759</v>
      </c>
      <c r="H5762" s="136" t="s">
        <v>24707</v>
      </c>
      <c r="I5762" s="136" t="s">
        <v>24708</v>
      </c>
      <c r="J5762" s="136" t="s">
        <v>24709</v>
      </c>
      <c r="L5762" s="136"/>
      <c r="M5762" s="136"/>
      <c r="N5762" s="136"/>
    </row>
    <row r="5763" spans="6:14">
      <c r="F5763" s="136" t="s">
        <v>24710</v>
      </c>
      <c r="G5763" s="136">
        <v>5760</v>
      </c>
      <c r="H5763" s="136" t="s">
        <v>24711</v>
      </c>
      <c r="I5763" s="136" t="s">
        <v>24711</v>
      </c>
      <c r="J5763" s="136" t="s">
        <v>24712</v>
      </c>
      <c r="L5763" s="136"/>
      <c r="M5763" s="136"/>
      <c r="N5763" s="136"/>
    </row>
    <row r="5764" spans="6:14">
      <c r="F5764" s="136" t="s">
        <v>24713</v>
      </c>
      <c r="G5764" s="136">
        <v>5761</v>
      </c>
      <c r="H5764" s="136" t="s">
        <v>24714</v>
      </c>
      <c r="I5764" s="136" t="s">
        <v>24715</v>
      </c>
      <c r="J5764" s="136" t="s">
        <v>24716</v>
      </c>
      <c r="L5764" s="136"/>
      <c r="M5764" s="136"/>
      <c r="N5764" s="136"/>
    </row>
    <row r="5765" spans="6:14">
      <c r="F5765" s="136" t="s">
        <v>24717</v>
      </c>
      <c r="G5765" s="136">
        <v>5762</v>
      </c>
      <c r="H5765" s="136" t="s">
        <v>24718</v>
      </c>
      <c r="I5765" s="136" t="s">
        <v>24719</v>
      </c>
      <c r="J5765" s="136" t="s">
        <v>24720</v>
      </c>
      <c r="L5765" s="136"/>
      <c r="M5765" s="136"/>
      <c r="N5765" s="136"/>
    </row>
    <row r="5766" spans="6:14">
      <c r="F5766" s="136" t="s">
        <v>24721</v>
      </c>
      <c r="G5766" s="136">
        <v>5763</v>
      </c>
      <c r="H5766" s="136" t="s">
        <v>24722</v>
      </c>
      <c r="I5766" s="136" t="s">
        <v>24722</v>
      </c>
      <c r="J5766" s="136" t="s">
        <v>24723</v>
      </c>
      <c r="L5766" s="136"/>
      <c r="M5766" s="136"/>
      <c r="N5766" s="136"/>
    </row>
    <row r="5767" spans="6:14">
      <c r="F5767" s="136" t="s">
        <v>24926</v>
      </c>
      <c r="G5767" s="136">
        <v>5764</v>
      </c>
      <c r="H5767" s="136" t="s">
        <v>24927</v>
      </c>
      <c r="I5767" s="136" t="s">
        <v>24928</v>
      </c>
      <c r="J5767" s="136" t="s">
        <v>24929</v>
      </c>
      <c r="L5767" s="136"/>
      <c r="M5767" s="136"/>
      <c r="N5767" s="136"/>
    </row>
    <row r="5768" spans="6:14">
      <c r="F5768" s="136" t="s">
        <v>24930</v>
      </c>
      <c r="G5768" s="136">
        <v>5765</v>
      </c>
      <c r="H5768" s="136" t="s">
        <v>24931</v>
      </c>
      <c r="I5768" s="136" t="s">
        <v>24931</v>
      </c>
      <c r="J5768" s="136" t="s">
        <v>24932</v>
      </c>
      <c r="L5768" s="136"/>
      <c r="M5768" s="136"/>
      <c r="N5768" s="136"/>
    </row>
    <row r="5769" spans="6:14">
      <c r="F5769" s="136" t="s">
        <v>24933</v>
      </c>
      <c r="G5769" s="136">
        <v>5766</v>
      </c>
      <c r="H5769" s="136" t="s">
        <v>24934</v>
      </c>
      <c r="I5769" s="136" t="s">
        <v>24934</v>
      </c>
      <c r="J5769" s="136" t="s">
        <v>24935</v>
      </c>
      <c r="L5769" s="136"/>
      <c r="M5769" s="136"/>
      <c r="N5769" s="136"/>
    </row>
    <row r="5770" spans="6:14">
      <c r="F5770" s="136" t="s">
        <v>24936</v>
      </c>
      <c r="G5770" s="136">
        <v>5767</v>
      </c>
      <c r="H5770" s="136" t="s">
        <v>24937</v>
      </c>
      <c r="I5770" s="136" t="s">
        <v>24938</v>
      </c>
      <c r="J5770" s="136" t="s">
        <v>24939</v>
      </c>
      <c r="L5770" s="136"/>
      <c r="M5770" s="136"/>
      <c r="N5770" s="136"/>
    </row>
    <row r="5771" spans="6:14">
      <c r="F5771" s="136" t="s">
        <v>24940</v>
      </c>
      <c r="G5771" s="136">
        <v>5768</v>
      </c>
      <c r="H5771" s="136" t="s">
        <v>24941</v>
      </c>
      <c r="I5771" s="136" t="s">
        <v>24942</v>
      </c>
      <c r="J5771" s="136" t="s">
        <v>24943</v>
      </c>
      <c r="L5771" s="136"/>
      <c r="M5771" s="136"/>
      <c r="N5771" s="136"/>
    </row>
    <row r="5772" spans="6:14">
      <c r="F5772" s="136" t="s">
        <v>24944</v>
      </c>
      <c r="G5772" s="136">
        <v>5769</v>
      </c>
      <c r="H5772" s="136" t="s">
        <v>24945</v>
      </c>
      <c r="I5772" s="136" t="s">
        <v>24946</v>
      </c>
      <c r="J5772" s="136" t="s">
        <v>24947</v>
      </c>
      <c r="L5772" s="136"/>
      <c r="M5772" s="136"/>
      <c r="N5772" s="136"/>
    </row>
    <row r="5773" spans="6:14">
      <c r="F5773" s="136" t="s">
        <v>24948</v>
      </c>
      <c r="G5773" s="136">
        <v>5770</v>
      </c>
      <c r="H5773" s="136" t="s">
        <v>24949</v>
      </c>
      <c r="I5773" s="136" t="s">
        <v>24950</v>
      </c>
      <c r="J5773" s="136" t="s">
        <v>24951</v>
      </c>
      <c r="L5773" s="136"/>
      <c r="M5773" s="136"/>
      <c r="N5773" s="136"/>
    </row>
    <row r="5774" spans="6:14">
      <c r="F5774" s="136" t="s">
        <v>24952</v>
      </c>
      <c r="G5774" s="136">
        <v>5771</v>
      </c>
      <c r="H5774" s="136" t="s">
        <v>24953</v>
      </c>
      <c r="I5774" s="136" t="s">
        <v>24954</v>
      </c>
      <c r="J5774" s="136" t="s">
        <v>24955</v>
      </c>
      <c r="L5774" s="136"/>
      <c r="M5774" s="136"/>
      <c r="N5774" s="136"/>
    </row>
    <row r="5775" spans="6:14">
      <c r="F5775" s="136" t="s">
        <v>24956</v>
      </c>
      <c r="G5775" s="136">
        <v>5772</v>
      </c>
      <c r="H5775" s="136" t="s">
        <v>16274</v>
      </c>
      <c r="I5775" s="136" t="s">
        <v>24957</v>
      </c>
      <c r="J5775" s="136" t="s">
        <v>24958</v>
      </c>
      <c r="L5775" s="136"/>
      <c r="M5775" s="136"/>
      <c r="N5775" s="136"/>
    </row>
    <row r="5776" spans="6:14">
      <c r="F5776" s="136" t="s">
        <v>24959</v>
      </c>
      <c r="G5776" s="136">
        <v>5773</v>
      </c>
      <c r="H5776" s="136" t="s">
        <v>24960</v>
      </c>
      <c r="I5776" s="136" t="s">
        <v>24961</v>
      </c>
      <c r="J5776" s="136" t="s">
        <v>24962</v>
      </c>
      <c r="L5776" s="136"/>
      <c r="M5776" s="136"/>
      <c r="N5776" s="136"/>
    </row>
    <row r="5777" spans="6:14">
      <c r="F5777" s="136" t="s">
        <v>24963</v>
      </c>
      <c r="G5777" s="136">
        <v>5774</v>
      </c>
      <c r="H5777" s="136" t="s">
        <v>24964</v>
      </c>
      <c r="I5777" s="136" t="s">
        <v>24964</v>
      </c>
      <c r="J5777" s="136" t="s">
        <v>24965</v>
      </c>
      <c r="L5777" s="136"/>
      <c r="M5777" s="136"/>
      <c r="N5777" s="136"/>
    </row>
    <row r="5778" spans="6:14">
      <c r="F5778" s="136" t="s">
        <v>24966</v>
      </c>
      <c r="G5778" s="136">
        <v>5775</v>
      </c>
      <c r="H5778" s="136" t="s">
        <v>24967</v>
      </c>
      <c r="I5778" s="136" t="s">
        <v>24967</v>
      </c>
      <c r="J5778" s="136" t="s">
        <v>24968</v>
      </c>
      <c r="L5778" s="136"/>
      <c r="M5778" s="136"/>
      <c r="N5778" s="136"/>
    </row>
    <row r="5779" spans="6:14">
      <c r="F5779" s="136" t="s">
        <v>24969</v>
      </c>
      <c r="G5779" s="136">
        <v>5776</v>
      </c>
      <c r="H5779" s="136" t="s">
        <v>24970</v>
      </c>
      <c r="I5779" s="136" t="s">
        <v>24971</v>
      </c>
      <c r="J5779" s="136" t="s">
        <v>24972</v>
      </c>
      <c r="L5779" s="136"/>
      <c r="M5779" s="136"/>
      <c r="N5779" s="136"/>
    </row>
    <row r="5780" spans="6:14">
      <c r="F5780" s="136" t="s">
        <v>24973</v>
      </c>
      <c r="G5780" s="136">
        <v>21576934837</v>
      </c>
      <c r="H5780" s="136" t="s">
        <v>24974</v>
      </c>
      <c r="I5780" s="136" t="s">
        <v>24974</v>
      </c>
      <c r="J5780" s="136" t="s">
        <v>24975</v>
      </c>
      <c r="L5780" s="136"/>
      <c r="M5780" s="136"/>
      <c r="N5780" s="136"/>
    </row>
    <row r="5781" spans="6:14">
      <c r="F5781" s="136" t="s">
        <v>24976</v>
      </c>
      <c r="G5781" s="136">
        <v>6245126738</v>
      </c>
      <c r="H5781" s="136" t="s">
        <v>24977</v>
      </c>
      <c r="I5781" s="136" t="s">
        <v>24977</v>
      </c>
      <c r="J5781" s="136" t="s">
        <v>24978</v>
      </c>
      <c r="L5781" s="136"/>
      <c r="M5781" s="136"/>
      <c r="N5781" s="136"/>
    </row>
    <row r="5782" spans="6:14">
      <c r="F5782" s="136" t="s">
        <v>24979</v>
      </c>
      <c r="G5782" s="136">
        <v>5779</v>
      </c>
      <c r="H5782" s="136" t="s">
        <v>24980</v>
      </c>
      <c r="I5782" s="136" t="s">
        <v>24981</v>
      </c>
      <c r="J5782" s="136" t="s">
        <v>24982</v>
      </c>
      <c r="L5782" s="136"/>
      <c r="M5782" s="136"/>
      <c r="N5782" s="136"/>
    </row>
    <row r="5783" spans="6:14">
      <c r="F5783" s="136" t="s">
        <v>24983</v>
      </c>
      <c r="G5783" s="136">
        <v>5780</v>
      </c>
      <c r="H5783" s="136" t="s">
        <v>24984</v>
      </c>
      <c r="I5783" s="136" t="s">
        <v>24984</v>
      </c>
      <c r="J5783" s="136" t="s">
        <v>24985</v>
      </c>
      <c r="L5783" s="136"/>
      <c r="M5783" s="136"/>
      <c r="N5783" s="136"/>
    </row>
    <row r="5784" spans="6:14">
      <c r="F5784" s="136" t="s">
        <v>24986</v>
      </c>
      <c r="G5784" s="136">
        <v>5781</v>
      </c>
      <c r="H5784" s="136" t="s">
        <v>24987</v>
      </c>
      <c r="I5784" s="136" t="s">
        <v>24988</v>
      </c>
      <c r="J5784" s="136" t="s">
        <v>24989</v>
      </c>
      <c r="L5784" s="136"/>
      <c r="M5784" s="136"/>
      <c r="N5784" s="136"/>
    </row>
    <row r="5785" spans="6:14">
      <c r="F5785" s="136" t="s">
        <v>24990</v>
      </c>
      <c r="G5785" s="136">
        <v>5782</v>
      </c>
      <c r="H5785" s="136" t="s">
        <v>24991</v>
      </c>
      <c r="I5785" s="136" t="s">
        <v>24992</v>
      </c>
      <c r="J5785" s="136" t="s">
        <v>24993</v>
      </c>
      <c r="L5785" s="136"/>
      <c r="M5785" s="136"/>
      <c r="N5785" s="136"/>
    </row>
    <row r="5786" spans="6:14">
      <c r="F5786" s="136" t="s">
        <v>24994</v>
      </c>
      <c r="G5786" s="136">
        <v>5783</v>
      </c>
      <c r="H5786" s="136" t="s">
        <v>24995</v>
      </c>
      <c r="I5786" s="136" t="s">
        <v>24996</v>
      </c>
      <c r="J5786" s="136" t="s">
        <v>24997</v>
      </c>
      <c r="L5786" s="136"/>
      <c r="M5786" s="136"/>
      <c r="N5786" s="136"/>
    </row>
    <row r="5787" spans="6:14">
      <c r="F5787" s="136" t="s">
        <v>24998</v>
      </c>
      <c r="G5787" s="136">
        <v>5784</v>
      </c>
      <c r="H5787" s="136" t="s">
        <v>24999</v>
      </c>
      <c r="I5787" s="136" t="s">
        <v>24999</v>
      </c>
      <c r="J5787" s="136" t="s">
        <v>25000</v>
      </c>
      <c r="L5787" s="136"/>
      <c r="M5787" s="136"/>
      <c r="N5787" s="136"/>
    </row>
    <row r="5788" spans="6:14">
      <c r="F5788" s="136" t="s">
        <v>25001</v>
      </c>
      <c r="G5788" s="136">
        <v>5785</v>
      </c>
      <c r="H5788" s="136" t="s">
        <v>25002</v>
      </c>
      <c r="I5788" s="136" t="s">
        <v>25002</v>
      </c>
      <c r="J5788" s="136" t="s">
        <v>25003</v>
      </c>
      <c r="L5788" s="136"/>
      <c r="M5788" s="136"/>
      <c r="N5788" s="136"/>
    </row>
    <row r="5789" spans="6:14">
      <c r="F5789" s="136" t="s">
        <v>25004</v>
      </c>
      <c r="G5789" s="136">
        <v>5786</v>
      </c>
      <c r="H5789" s="136" t="s">
        <v>25005</v>
      </c>
      <c r="I5789" s="136" t="s">
        <v>25006</v>
      </c>
      <c r="J5789" s="136" t="s">
        <v>25007</v>
      </c>
      <c r="L5789" s="136"/>
      <c r="M5789" s="136"/>
      <c r="N5789" s="136"/>
    </row>
    <row r="5790" spans="6:14">
      <c r="F5790" s="136"/>
      <c r="G5790" s="136"/>
      <c r="H5790" s="136"/>
      <c r="I5790" s="136"/>
      <c r="J5790" s="136"/>
      <c r="L5790" s="136"/>
      <c r="M5790" s="136"/>
      <c r="N5790" s="136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9"/>
  <sheetViews>
    <sheetView topLeftCell="A1338" workbookViewId="0">
      <selection activeCell="E52" sqref="E52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21253</v>
      </c>
      <c r="B1" t="s">
        <v>20501</v>
      </c>
      <c r="C1" t="s">
        <v>21252</v>
      </c>
    </row>
    <row r="2" spans="1:3">
      <c r="A2">
        <v>103012167</v>
      </c>
      <c r="B2" t="s">
        <v>21190</v>
      </c>
      <c r="C2" t="s">
        <v>21189</v>
      </c>
    </row>
    <row r="3" spans="1:3">
      <c r="A3">
        <v>210112487</v>
      </c>
      <c r="B3" t="s">
        <v>24135</v>
      </c>
      <c r="C3" t="s">
        <v>24136</v>
      </c>
    </row>
    <row r="4" spans="1:3">
      <c r="A4">
        <v>210385012</v>
      </c>
      <c r="B4" t="s">
        <v>21110</v>
      </c>
      <c r="C4" t="s">
        <v>21109</v>
      </c>
    </row>
    <row r="5" spans="1:3">
      <c r="A5">
        <v>210518559</v>
      </c>
      <c r="B5" t="s">
        <v>20696</v>
      </c>
      <c r="C5" t="s">
        <v>20695</v>
      </c>
    </row>
    <row r="6" spans="1:3">
      <c r="A6">
        <v>211078601</v>
      </c>
      <c r="B6" t="s">
        <v>21215</v>
      </c>
      <c r="C6" t="s">
        <v>21214</v>
      </c>
    </row>
    <row r="7" spans="1:3">
      <c r="A7">
        <v>330171406</v>
      </c>
      <c r="B7" t="s">
        <v>24724</v>
      </c>
      <c r="C7" t="s">
        <v>24725</v>
      </c>
    </row>
    <row r="8" spans="1:3">
      <c r="A8">
        <v>1101015336</v>
      </c>
      <c r="B8" t="s">
        <v>21275</v>
      </c>
      <c r="C8" t="s">
        <v>21276</v>
      </c>
    </row>
    <row r="9" spans="1:3">
      <c r="A9">
        <v>1102685333</v>
      </c>
      <c r="B9" t="s">
        <v>21277</v>
      </c>
      <c r="C9" t="s">
        <v>21278</v>
      </c>
    </row>
    <row r="10" spans="1:3">
      <c r="A10">
        <v>1102685334</v>
      </c>
      <c r="B10" t="s">
        <v>21279</v>
      </c>
      <c r="C10" t="s">
        <v>21280</v>
      </c>
    </row>
    <row r="11" spans="1:3">
      <c r="A11">
        <v>1102689530</v>
      </c>
      <c r="B11" t="s">
        <v>20628</v>
      </c>
      <c r="C11" t="s">
        <v>20627</v>
      </c>
    </row>
    <row r="12" spans="1:3">
      <c r="A12">
        <v>1114309657</v>
      </c>
      <c r="B12" t="s">
        <v>24726</v>
      </c>
      <c r="C12" t="s">
        <v>24727</v>
      </c>
    </row>
    <row r="13" spans="1:3">
      <c r="A13">
        <v>2101011231</v>
      </c>
      <c r="B13" t="s">
        <v>23847</v>
      </c>
      <c r="C13" t="s">
        <v>23848</v>
      </c>
    </row>
    <row r="14" spans="1:3">
      <c r="A14">
        <v>2101012393</v>
      </c>
      <c r="B14" t="s">
        <v>21684</v>
      </c>
      <c r="C14" t="s">
        <v>21685</v>
      </c>
    </row>
    <row r="15" spans="1:3">
      <c r="A15">
        <v>2101012401</v>
      </c>
      <c r="B15" t="s">
        <v>21686</v>
      </c>
      <c r="C15" t="s">
        <v>21687</v>
      </c>
    </row>
    <row r="16" spans="1:3">
      <c r="A16">
        <v>2101012407</v>
      </c>
      <c r="B16" t="s">
        <v>21686</v>
      </c>
      <c r="C16" t="s">
        <v>21688</v>
      </c>
    </row>
    <row r="17" spans="1:3">
      <c r="A17">
        <v>2101012433</v>
      </c>
      <c r="B17" t="s">
        <v>23849</v>
      </c>
      <c r="C17" t="s">
        <v>20656</v>
      </c>
    </row>
    <row r="18" spans="1:3">
      <c r="A18">
        <v>2101012439</v>
      </c>
      <c r="B18" t="s">
        <v>23850</v>
      </c>
      <c r="C18" t="s">
        <v>20655</v>
      </c>
    </row>
    <row r="19" spans="1:3">
      <c r="A19">
        <v>2101012447</v>
      </c>
      <c r="B19" t="s">
        <v>21686</v>
      </c>
      <c r="C19" t="s">
        <v>21689</v>
      </c>
    </row>
    <row r="20" spans="1:3">
      <c r="A20">
        <v>2101012452</v>
      </c>
      <c r="B20" t="s">
        <v>21690</v>
      </c>
      <c r="C20" t="s">
        <v>21691</v>
      </c>
    </row>
    <row r="21" spans="1:3">
      <c r="A21">
        <v>2101012454</v>
      </c>
      <c r="B21" t="s">
        <v>21690</v>
      </c>
      <c r="C21" t="s">
        <v>21692</v>
      </c>
    </row>
    <row r="22" spans="1:3">
      <c r="A22">
        <v>2101012973</v>
      </c>
      <c r="B22" t="s">
        <v>23851</v>
      </c>
      <c r="C22" t="s">
        <v>20654</v>
      </c>
    </row>
    <row r="23" spans="1:3">
      <c r="A23">
        <v>2101012979</v>
      </c>
      <c r="B23" t="s">
        <v>21686</v>
      </c>
      <c r="C23" t="s">
        <v>21693</v>
      </c>
    </row>
    <row r="24" spans="1:3">
      <c r="A24">
        <v>2101014250</v>
      </c>
      <c r="B24" t="s">
        <v>21686</v>
      </c>
      <c r="C24" t="s">
        <v>21694</v>
      </c>
    </row>
    <row r="25" spans="1:3">
      <c r="A25">
        <v>2101015260</v>
      </c>
      <c r="B25" t="s">
        <v>21474</v>
      </c>
      <c r="C25" t="s">
        <v>21475</v>
      </c>
    </row>
    <row r="26" spans="1:3">
      <c r="A26">
        <v>2101015261</v>
      </c>
      <c r="B26" t="s">
        <v>21248</v>
      </c>
      <c r="C26" t="s">
        <v>21247</v>
      </c>
    </row>
    <row r="27" spans="1:3">
      <c r="A27">
        <v>2101018582</v>
      </c>
      <c r="B27" t="s">
        <v>21050</v>
      </c>
      <c r="C27" t="s">
        <v>21049</v>
      </c>
    </row>
    <row r="28" spans="1:3">
      <c r="A28">
        <v>2101018624</v>
      </c>
      <c r="B28" t="s">
        <v>21151</v>
      </c>
      <c r="C28" t="s">
        <v>21150</v>
      </c>
    </row>
    <row r="29" spans="1:3">
      <c r="A29">
        <v>2101019656</v>
      </c>
      <c r="B29" t="s">
        <v>21695</v>
      </c>
      <c r="C29" t="s">
        <v>21696</v>
      </c>
    </row>
    <row r="30" spans="1:3">
      <c r="A30">
        <v>2101019658</v>
      </c>
      <c r="B30" t="s">
        <v>21697</v>
      </c>
      <c r="C30" t="s">
        <v>21698</v>
      </c>
    </row>
    <row r="31" spans="1:3">
      <c r="A31">
        <v>2101019890</v>
      </c>
      <c r="B31" t="s">
        <v>23030</v>
      </c>
      <c r="C31" t="s">
        <v>23031</v>
      </c>
    </row>
    <row r="32" spans="1:3">
      <c r="A32">
        <v>2101020059</v>
      </c>
      <c r="B32" t="s">
        <v>20702</v>
      </c>
      <c r="C32" t="s">
        <v>20701</v>
      </c>
    </row>
    <row r="33" spans="1:3">
      <c r="A33">
        <v>2101021070</v>
      </c>
      <c r="B33" t="s">
        <v>23309</v>
      </c>
      <c r="C33" t="s">
        <v>23310</v>
      </c>
    </row>
    <row r="34" spans="1:3">
      <c r="A34">
        <v>2101021214</v>
      </c>
      <c r="B34" t="s">
        <v>23852</v>
      </c>
      <c r="C34" t="s">
        <v>23853</v>
      </c>
    </row>
    <row r="35" spans="1:3">
      <c r="A35">
        <v>2101021234</v>
      </c>
      <c r="B35" t="s">
        <v>23854</v>
      </c>
      <c r="C35" t="s">
        <v>23855</v>
      </c>
    </row>
    <row r="36" spans="1:3">
      <c r="A36">
        <v>2101022497</v>
      </c>
      <c r="B36" t="s">
        <v>23311</v>
      </c>
      <c r="C36" t="s">
        <v>21700</v>
      </c>
    </row>
    <row r="37" spans="1:3">
      <c r="A37">
        <v>2101022498</v>
      </c>
      <c r="B37" t="s">
        <v>23312</v>
      </c>
      <c r="C37" t="s">
        <v>20660</v>
      </c>
    </row>
    <row r="38" spans="1:3">
      <c r="A38">
        <v>2101022499</v>
      </c>
      <c r="B38" t="s">
        <v>21699</v>
      </c>
      <c r="C38" t="s">
        <v>21701</v>
      </c>
    </row>
    <row r="39" spans="1:3">
      <c r="A39">
        <v>2101022500</v>
      </c>
      <c r="B39" t="s">
        <v>21699</v>
      </c>
      <c r="C39" t="s">
        <v>20659</v>
      </c>
    </row>
    <row r="40" spans="1:3">
      <c r="A40">
        <v>2101022974</v>
      </c>
      <c r="B40" t="s">
        <v>21699</v>
      </c>
      <c r="C40" t="s">
        <v>20658</v>
      </c>
    </row>
    <row r="41" spans="1:3">
      <c r="A41">
        <v>2101022975</v>
      </c>
      <c r="B41" t="s">
        <v>6260</v>
      </c>
      <c r="C41" t="s">
        <v>21702</v>
      </c>
    </row>
    <row r="42" spans="1:3">
      <c r="A42">
        <v>2101024241</v>
      </c>
      <c r="B42" t="s">
        <v>20550</v>
      </c>
      <c r="C42" t="s">
        <v>20549</v>
      </c>
    </row>
    <row r="43" spans="1:3">
      <c r="A43">
        <v>2101024288</v>
      </c>
      <c r="B43" t="s">
        <v>23313</v>
      </c>
      <c r="C43" t="s">
        <v>21703</v>
      </c>
    </row>
    <row r="44" spans="1:3">
      <c r="A44">
        <v>2101025118</v>
      </c>
      <c r="B44" t="s">
        <v>21699</v>
      </c>
      <c r="C44" t="s">
        <v>20657</v>
      </c>
    </row>
    <row r="45" spans="1:3">
      <c r="A45">
        <v>2101025248</v>
      </c>
      <c r="B45" t="s">
        <v>23856</v>
      </c>
      <c r="C45" t="s">
        <v>20653</v>
      </c>
    </row>
    <row r="46" spans="1:3">
      <c r="A46">
        <v>2101028498</v>
      </c>
      <c r="B46" t="s">
        <v>21378</v>
      </c>
      <c r="C46" t="s">
        <v>21379</v>
      </c>
    </row>
    <row r="47" spans="1:3">
      <c r="A47">
        <v>2101028849</v>
      </c>
      <c r="B47" t="s">
        <v>23032</v>
      </c>
      <c r="C47" t="s">
        <v>23033</v>
      </c>
    </row>
    <row r="48" spans="1:3">
      <c r="A48">
        <v>2101029613</v>
      </c>
      <c r="B48" t="s">
        <v>21705</v>
      </c>
      <c r="C48" t="s">
        <v>21706</v>
      </c>
    </row>
    <row r="49" spans="1:3">
      <c r="A49">
        <v>2101029863</v>
      </c>
      <c r="B49" t="s">
        <v>23314</v>
      </c>
      <c r="C49" t="s">
        <v>23315</v>
      </c>
    </row>
    <row r="50" spans="1:3">
      <c r="A50">
        <v>2101029894</v>
      </c>
      <c r="B50" t="s">
        <v>22753</v>
      </c>
      <c r="C50" t="s">
        <v>22754</v>
      </c>
    </row>
    <row r="51" spans="1:3">
      <c r="A51">
        <v>2101032357</v>
      </c>
      <c r="B51" t="s">
        <v>21177</v>
      </c>
      <c r="C51" t="s">
        <v>21176</v>
      </c>
    </row>
    <row r="52" spans="1:3">
      <c r="A52">
        <v>2101032489</v>
      </c>
      <c r="B52" t="s">
        <v>21233</v>
      </c>
      <c r="C52" t="s">
        <v>21232</v>
      </c>
    </row>
    <row r="53" spans="1:3">
      <c r="A53">
        <v>2101033503</v>
      </c>
      <c r="B53" t="s">
        <v>23673</v>
      </c>
      <c r="C53" t="s">
        <v>23674</v>
      </c>
    </row>
    <row r="54" spans="1:3">
      <c r="A54">
        <v>2101038623</v>
      </c>
      <c r="B54" t="s">
        <v>21153</v>
      </c>
      <c r="C54" t="s">
        <v>21152</v>
      </c>
    </row>
    <row r="55" spans="1:3">
      <c r="A55">
        <v>2101039910</v>
      </c>
      <c r="B55" t="s">
        <v>22890</v>
      </c>
      <c r="C55" t="s">
        <v>22891</v>
      </c>
    </row>
    <row r="56" spans="1:3">
      <c r="A56">
        <v>2101041148</v>
      </c>
      <c r="B56" t="s">
        <v>23316</v>
      </c>
      <c r="C56" t="s">
        <v>23317</v>
      </c>
    </row>
    <row r="57" spans="1:3">
      <c r="A57">
        <v>2101042056</v>
      </c>
      <c r="B57" t="s">
        <v>21028</v>
      </c>
      <c r="C57" t="s">
        <v>21281</v>
      </c>
    </row>
    <row r="58" spans="1:3">
      <c r="A58">
        <v>2101042368</v>
      </c>
      <c r="B58" t="s">
        <v>23318</v>
      </c>
      <c r="C58" t="s">
        <v>21708</v>
      </c>
    </row>
    <row r="59" spans="1:3">
      <c r="A59">
        <v>2101042369</v>
      </c>
      <c r="B59" t="s">
        <v>21707</v>
      </c>
      <c r="C59" t="s">
        <v>21709</v>
      </c>
    </row>
    <row r="60" spans="1:3">
      <c r="A60">
        <v>2101042483</v>
      </c>
      <c r="B60" t="s">
        <v>21075</v>
      </c>
      <c r="C60" t="s">
        <v>21074</v>
      </c>
    </row>
    <row r="61" spans="1:3">
      <c r="A61">
        <v>2101042975</v>
      </c>
      <c r="B61" t="s">
        <v>23224</v>
      </c>
      <c r="C61" t="s">
        <v>21710</v>
      </c>
    </row>
    <row r="62" spans="1:3">
      <c r="A62">
        <v>2101042976</v>
      </c>
      <c r="B62" t="s">
        <v>23207</v>
      </c>
      <c r="C62" t="s">
        <v>21711</v>
      </c>
    </row>
    <row r="63" spans="1:3">
      <c r="A63">
        <v>2101043460</v>
      </c>
      <c r="B63" t="s">
        <v>21116</v>
      </c>
      <c r="C63" t="s">
        <v>21115</v>
      </c>
    </row>
    <row r="64" spans="1:3">
      <c r="A64">
        <v>2101044086</v>
      </c>
      <c r="B64" t="s">
        <v>20772</v>
      </c>
      <c r="C64" t="s">
        <v>20771</v>
      </c>
    </row>
    <row r="65" spans="1:3">
      <c r="A65">
        <v>2101046053</v>
      </c>
      <c r="B65" t="s">
        <v>23857</v>
      </c>
      <c r="C65" t="s">
        <v>23858</v>
      </c>
    </row>
    <row r="66" spans="1:3">
      <c r="A66">
        <v>2101046444</v>
      </c>
      <c r="B66" t="s">
        <v>21114</v>
      </c>
      <c r="C66" t="s">
        <v>21113</v>
      </c>
    </row>
    <row r="67" spans="1:3">
      <c r="A67">
        <v>2101046858</v>
      </c>
      <c r="B67" t="s">
        <v>24728</v>
      </c>
      <c r="C67" t="s">
        <v>24729</v>
      </c>
    </row>
    <row r="68" spans="1:3">
      <c r="A68">
        <v>2101048565</v>
      </c>
      <c r="B68" t="s">
        <v>21041</v>
      </c>
      <c r="C68" t="s">
        <v>21040</v>
      </c>
    </row>
    <row r="69" spans="1:3">
      <c r="A69">
        <v>2101048638</v>
      </c>
      <c r="B69" t="s">
        <v>21173</v>
      </c>
      <c r="C69" t="s">
        <v>21172</v>
      </c>
    </row>
    <row r="70" spans="1:3">
      <c r="A70">
        <v>2101049617</v>
      </c>
      <c r="B70" t="s">
        <v>21712</v>
      </c>
      <c r="C70" t="s">
        <v>21713</v>
      </c>
    </row>
    <row r="71" spans="1:3">
      <c r="A71">
        <v>2101049619</v>
      </c>
      <c r="B71" t="s">
        <v>21714</v>
      </c>
      <c r="C71" t="s">
        <v>21715</v>
      </c>
    </row>
    <row r="72" spans="1:3">
      <c r="A72">
        <v>2101049753</v>
      </c>
      <c r="B72" t="s">
        <v>21716</v>
      </c>
      <c r="C72" t="s">
        <v>21717</v>
      </c>
    </row>
    <row r="73" spans="1:3">
      <c r="A73">
        <v>2101049763</v>
      </c>
      <c r="B73" t="s">
        <v>22464</v>
      </c>
      <c r="C73" t="s">
        <v>22465</v>
      </c>
    </row>
    <row r="74" spans="1:3">
      <c r="A74">
        <v>2101050221</v>
      </c>
      <c r="B74" t="s">
        <v>21192</v>
      </c>
      <c r="C74" t="s">
        <v>21191</v>
      </c>
    </row>
    <row r="75" spans="1:3">
      <c r="A75">
        <v>2101051142</v>
      </c>
      <c r="B75" t="s">
        <v>23319</v>
      </c>
      <c r="C75" t="s">
        <v>23320</v>
      </c>
    </row>
    <row r="76" spans="1:3">
      <c r="A76">
        <v>2101051172</v>
      </c>
      <c r="B76" t="s">
        <v>23675</v>
      </c>
      <c r="C76" t="s">
        <v>23676</v>
      </c>
    </row>
    <row r="77" spans="1:3">
      <c r="A77">
        <v>2101051173</v>
      </c>
      <c r="B77" t="s">
        <v>23677</v>
      </c>
      <c r="C77" t="s">
        <v>23678</v>
      </c>
    </row>
    <row r="78" spans="1:3">
      <c r="A78">
        <v>2101051176</v>
      </c>
      <c r="B78" t="s">
        <v>23679</v>
      </c>
      <c r="C78" t="s">
        <v>23680</v>
      </c>
    </row>
    <row r="79" spans="1:3">
      <c r="A79">
        <v>2101051183</v>
      </c>
      <c r="B79" t="s">
        <v>23859</v>
      </c>
      <c r="C79" t="s">
        <v>23860</v>
      </c>
    </row>
    <row r="80" spans="1:3">
      <c r="A80">
        <v>2101051870</v>
      </c>
      <c r="B80" t="s">
        <v>23861</v>
      </c>
      <c r="C80" t="s">
        <v>20775</v>
      </c>
    </row>
    <row r="81" spans="1:3">
      <c r="A81">
        <v>2101051871</v>
      </c>
      <c r="B81" t="s">
        <v>22755</v>
      </c>
      <c r="C81" t="s">
        <v>22756</v>
      </c>
    </row>
    <row r="82" spans="1:3">
      <c r="A82">
        <v>2101058044</v>
      </c>
      <c r="B82" t="s">
        <v>21163</v>
      </c>
      <c r="C82" t="s">
        <v>21162</v>
      </c>
    </row>
    <row r="83" spans="1:3">
      <c r="A83">
        <v>2101058046</v>
      </c>
      <c r="B83" t="s">
        <v>20768</v>
      </c>
      <c r="C83" t="s">
        <v>20767</v>
      </c>
    </row>
    <row r="84" spans="1:3">
      <c r="A84">
        <v>2101059572</v>
      </c>
      <c r="B84" t="s">
        <v>21718</v>
      </c>
      <c r="C84" t="s">
        <v>21719</v>
      </c>
    </row>
    <row r="85" spans="1:3">
      <c r="A85">
        <v>2101059573</v>
      </c>
      <c r="B85" t="s">
        <v>21720</v>
      </c>
      <c r="C85" t="s">
        <v>21721</v>
      </c>
    </row>
    <row r="86" spans="1:3">
      <c r="A86">
        <v>2101059620</v>
      </c>
      <c r="B86" t="s">
        <v>21722</v>
      </c>
      <c r="C86" t="s">
        <v>21723</v>
      </c>
    </row>
    <row r="87" spans="1:3">
      <c r="A87">
        <v>2101061044</v>
      </c>
      <c r="B87" t="s">
        <v>24137</v>
      </c>
      <c r="C87" t="s">
        <v>24138</v>
      </c>
    </row>
    <row r="88" spans="1:3">
      <c r="A88">
        <v>2101061045</v>
      </c>
      <c r="B88" t="s">
        <v>23862</v>
      </c>
      <c r="C88" t="s">
        <v>23863</v>
      </c>
    </row>
    <row r="89" spans="1:3">
      <c r="A89">
        <v>2101061046</v>
      </c>
      <c r="B89" t="s">
        <v>24139</v>
      </c>
      <c r="C89" t="s">
        <v>24140</v>
      </c>
    </row>
    <row r="90" spans="1:3">
      <c r="A90">
        <v>2101061047</v>
      </c>
      <c r="B90" t="s">
        <v>24141</v>
      </c>
      <c r="C90" t="s">
        <v>24142</v>
      </c>
    </row>
    <row r="91" spans="1:3">
      <c r="A91">
        <v>2101061048</v>
      </c>
      <c r="B91" t="s">
        <v>23864</v>
      </c>
      <c r="C91" t="s">
        <v>23865</v>
      </c>
    </row>
    <row r="92" spans="1:3">
      <c r="A92">
        <v>2101061049</v>
      </c>
      <c r="B92" t="s">
        <v>24143</v>
      </c>
      <c r="C92" t="s">
        <v>24144</v>
      </c>
    </row>
    <row r="93" spans="1:3">
      <c r="A93">
        <v>2101061050</v>
      </c>
      <c r="B93" t="s">
        <v>24145</v>
      </c>
      <c r="C93" t="s">
        <v>24146</v>
      </c>
    </row>
    <row r="94" spans="1:3">
      <c r="A94">
        <v>2101061051</v>
      </c>
      <c r="B94" t="s">
        <v>23866</v>
      </c>
      <c r="C94" t="s">
        <v>23867</v>
      </c>
    </row>
    <row r="95" spans="1:3">
      <c r="A95">
        <v>2101061052</v>
      </c>
      <c r="B95" t="s">
        <v>24147</v>
      </c>
      <c r="C95" t="s">
        <v>24148</v>
      </c>
    </row>
    <row r="96" spans="1:3">
      <c r="A96">
        <v>2101061082</v>
      </c>
      <c r="B96" t="s">
        <v>23321</v>
      </c>
      <c r="C96" t="s">
        <v>23322</v>
      </c>
    </row>
    <row r="97" spans="1:3">
      <c r="A97">
        <v>2101061083</v>
      </c>
      <c r="B97" t="s">
        <v>23323</v>
      </c>
      <c r="C97" t="s">
        <v>23324</v>
      </c>
    </row>
    <row r="98" spans="1:3">
      <c r="A98">
        <v>2101061229</v>
      </c>
      <c r="B98" t="s">
        <v>23868</v>
      </c>
      <c r="C98" t="s">
        <v>23869</v>
      </c>
    </row>
    <row r="99" spans="1:3">
      <c r="A99">
        <v>2101061311</v>
      </c>
      <c r="B99" t="s">
        <v>24149</v>
      </c>
      <c r="C99" t="s">
        <v>24150</v>
      </c>
    </row>
    <row r="100" spans="1:3">
      <c r="A100">
        <v>2101061341</v>
      </c>
      <c r="B100" t="s">
        <v>24469</v>
      </c>
      <c r="C100" t="s">
        <v>24470</v>
      </c>
    </row>
    <row r="101" spans="1:3">
      <c r="A101">
        <v>2101061409</v>
      </c>
      <c r="B101" t="s">
        <v>24730</v>
      </c>
      <c r="C101" t="s">
        <v>24731</v>
      </c>
    </row>
    <row r="102" spans="1:3">
      <c r="A102">
        <v>2101061455</v>
      </c>
      <c r="B102" t="s">
        <v>24865</v>
      </c>
      <c r="C102" t="s">
        <v>24866</v>
      </c>
    </row>
    <row r="103" spans="1:3">
      <c r="A103">
        <v>2101063053</v>
      </c>
      <c r="B103" t="s">
        <v>20940</v>
      </c>
      <c r="C103" t="s">
        <v>20939</v>
      </c>
    </row>
    <row r="104" spans="1:3">
      <c r="A104">
        <v>2101063146</v>
      </c>
      <c r="B104" t="s">
        <v>20736</v>
      </c>
      <c r="C104" t="s">
        <v>20735</v>
      </c>
    </row>
    <row r="105" spans="1:3">
      <c r="A105">
        <v>2101063344</v>
      </c>
      <c r="B105" t="s">
        <v>20712</v>
      </c>
      <c r="C105" t="s">
        <v>20711</v>
      </c>
    </row>
    <row r="106" spans="1:3">
      <c r="A106">
        <v>2101063504</v>
      </c>
      <c r="B106" t="s">
        <v>23681</v>
      </c>
      <c r="C106" t="s">
        <v>23682</v>
      </c>
    </row>
    <row r="107" spans="1:3">
      <c r="A107">
        <v>2101064252</v>
      </c>
      <c r="B107" t="s">
        <v>23208</v>
      </c>
      <c r="C107" t="s">
        <v>21725</v>
      </c>
    </row>
    <row r="108" spans="1:3">
      <c r="A108">
        <v>2101064272</v>
      </c>
      <c r="B108" t="s">
        <v>21724</v>
      </c>
      <c r="C108" t="s">
        <v>21726</v>
      </c>
    </row>
    <row r="109" spans="1:3">
      <c r="A109">
        <v>2101064285</v>
      </c>
      <c r="B109" t="s">
        <v>23209</v>
      </c>
      <c r="C109" t="s">
        <v>21727</v>
      </c>
    </row>
    <row r="110" spans="1:3">
      <c r="A110">
        <v>2101064286</v>
      </c>
      <c r="B110" t="s">
        <v>6260</v>
      </c>
      <c r="C110" t="s">
        <v>21728</v>
      </c>
    </row>
    <row r="111" spans="1:3">
      <c r="A111">
        <v>2101064296</v>
      </c>
      <c r="B111" t="s">
        <v>21724</v>
      </c>
      <c r="C111" t="s">
        <v>20637</v>
      </c>
    </row>
    <row r="112" spans="1:3">
      <c r="A112">
        <v>2101064314</v>
      </c>
      <c r="B112" t="s">
        <v>21724</v>
      </c>
      <c r="C112" t="s">
        <v>21729</v>
      </c>
    </row>
    <row r="113" spans="1:3">
      <c r="A113">
        <v>2101064417</v>
      </c>
      <c r="B113" t="s">
        <v>21006</v>
      </c>
      <c r="C113" t="s">
        <v>21005</v>
      </c>
    </row>
    <row r="114" spans="1:3">
      <c r="A114">
        <v>2101065171</v>
      </c>
      <c r="B114" t="s">
        <v>23210</v>
      </c>
      <c r="C114" t="s">
        <v>21730</v>
      </c>
    </row>
    <row r="115" spans="1:3">
      <c r="A115">
        <v>2101065196</v>
      </c>
      <c r="B115" t="s">
        <v>21724</v>
      </c>
      <c r="C115" t="s">
        <v>21731</v>
      </c>
    </row>
    <row r="116" spans="1:3">
      <c r="A116">
        <v>2101065692</v>
      </c>
      <c r="B116" t="s">
        <v>24471</v>
      </c>
      <c r="C116" t="s">
        <v>21544</v>
      </c>
    </row>
    <row r="117" spans="1:3">
      <c r="A117">
        <v>2101065884</v>
      </c>
      <c r="B117" t="s">
        <v>22651</v>
      </c>
      <c r="C117" t="s">
        <v>22652</v>
      </c>
    </row>
    <row r="118" spans="1:3">
      <c r="A118">
        <v>2101065926</v>
      </c>
      <c r="B118" t="s">
        <v>23495</v>
      </c>
      <c r="C118" t="s">
        <v>23496</v>
      </c>
    </row>
    <row r="119" spans="1:3">
      <c r="A119">
        <v>2101065927</v>
      </c>
      <c r="B119" t="s">
        <v>23497</v>
      </c>
      <c r="C119" t="s">
        <v>23498</v>
      </c>
    </row>
    <row r="120" spans="1:3">
      <c r="A120">
        <v>2101065978</v>
      </c>
      <c r="B120" t="s">
        <v>24472</v>
      </c>
      <c r="C120" t="s">
        <v>24473</v>
      </c>
    </row>
    <row r="121" spans="1:3">
      <c r="A121">
        <v>2101066054</v>
      </c>
      <c r="B121" t="s">
        <v>20936</v>
      </c>
      <c r="C121" t="s">
        <v>20935</v>
      </c>
    </row>
    <row r="122" spans="1:3">
      <c r="A122">
        <v>2101066940</v>
      </c>
      <c r="B122" t="s">
        <v>24474</v>
      </c>
      <c r="C122" t="s">
        <v>24475</v>
      </c>
    </row>
    <row r="123" spans="1:3">
      <c r="A123">
        <v>2101067799</v>
      </c>
      <c r="B123" t="s">
        <v>22757</v>
      </c>
      <c r="C123" t="s">
        <v>22758</v>
      </c>
    </row>
    <row r="124" spans="1:3">
      <c r="A124">
        <v>2101067951</v>
      </c>
      <c r="B124" t="s">
        <v>23211</v>
      </c>
      <c r="C124" t="s">
        <v>23212</v>
      </c>
    </row>
    <row r="125" spans="1:3">
      <c r="A125">
        <v>2101068416</v>
      </c>
      <c r="B125" t="s">
        <v>21732</v>
      </c>
      <c r="C125" t="s">
        <v>21733</v>
      </c>
    </row>
    <row r="126" spans="1:3">
      <c r="A126">
        <v>2101068570</v>
      </c>
      <c r="B126" t="s">
        <v>20777</v>
      </c>
      <c r="C126" t="s">
        <v>20776</v>
      </c>
    </row>
    <row r="127" spans="1:3">
      <c r="A127">
        <v>2101068585</v>
      </c>
      <c r="B127" t="s">
        <v>20938</v>
      </c>
      <c r="C127" t="s">
        <v>20937</v>
      </c>
    </row>
    <row r="128" spans="1:3">
      <c r="A128">
        <v>2101068594</v>
      </c>
      <c r="B128" t="s">
        <v>21122</v>
      </c>
      <c r="C128" t="s">
        <v>21121</v>
      </c>
    </row>
    <row r="129" spans="1:3">
      <c r="A129">
        <v>2101068595</v>
      </c>
      <c r="B129" t="s">
        <v>21004</v>
      </c>
      <c r="C129" t="s">
        <v>21003</v>
      </c>
    </row>
    <row r="130" spans="1:3">
      <c r="A130">
        <v>2101068614</v>
      </c>
      <c r="B130" t="s">
        <v>21180</v>
      </c>
      <c r="C130" t="s">
        <v>21179</v>
      </c>
    </row>
    <row r="131" spans="1:3">
      <c r="A131">
        <v>2101068615</v>
      </c>
      <c r="B131" t="s">
        <v>21182</v>
      </c>
      <c r="C131" t="s">
        <v>21181</v>
      </c>
    </row>
    <row r="132" spans="1:3">
      <c r="A132">
        <v>2101068805</v>
      </c>
      <c r="B132" t="s">
        <v>21545</v>
      </c>
      <c r="C132" t="s">
        <v>21546</v>
      </c>
    </row>
    <row r="133" spans="1:3">
      <c r="A133">
        <v>2101069009</v>
      </c>
      <c r="B133" t="s">
        <v>24867</v>
      </c>
      <c r="C133" t="s">
        <v>24868</v>
      </c>
    </row>
    <row r="134" spans="1:3">
      <c r="A134">
        <v>2101069076</v>
      </c>
      <c r="B134" t="s">
        <v>24869</v>
      </c>
      <c r="C134" t="s">
        <v>24870</v>
      </c>
    </row>
    <row r="135" spans="1:3">
      <c r="A135">
        <v>2101069312</v>
      </c>
      <c r="B135" t="s">
        <v>21211</v>
      </c>
      <c r="C135" t="s">
        <v>21210</v>
      </c>
    </row>
    <row r="136" spans="1:3">
      <c r="A136">
        <v>2101069327</v>
      </c>
      <c r="B136" t="s">
        <v>22759</v>
      </c>
      <c r="C136" t="s">
        <v>22760</v>
      </c>
    </row>
    <row r="137" spans="1:3">
      <c r="A137">
        <v>2101069537</v>
      </c>
      <c r="B137" t="s">
        <v>21282</v>
      </c>
      <c r="C137" t="s">
        <v>21283</v>
      </c>
    </row>
    <row r="138" spans="1:3">
      <c r="A138">
        <v>2101069574</v>
      </c>
      <c r="B138" t="s">
        <v>21734</v>
      </c>
      <c r="C138" t="s">
        <v>21735</v>
      </c>
    </row>
    <row r="139" spans="1:3">
      <c r="A139">
        <v>2101069575</v>
      </c>
      <c r="B139" t="s">
        <v>21736</v>
      </c>
      <c r="C139" t="s">
        <v>21737</v>
      </c>
    </row>
    <row r="140" spans="1:3">
      <c r="A140">
        <v>2101069635</v>
      </c>
      <c r="B140" t="s">
        <v>21738</v>
      </c>
      <c r="C140" t="s">
        <v>21739</v>
      </c>
    </row>
    <row r="141" spans="1:3">
      <c r="A141">
        <v>2101069655</v>
      </c>
      <c r="B141" t="s">
        <v>21284</v>
      </c>
      <c r="C141" t="s">
        <v>21285</v>
      </c>
    </row>
    <row r="142" spans="1:3">
      <c r="A142">
        <v>2101069656</v>
      </c>
      <c r="B142" t="s">
        <v>21286</v>
      </c>
      <c r="C142" t="s">
        <v>21287</v>
      </c>
    </row>
    <row r="143" spans="1:3">
      <c r="A143">
        <v>2101069657</v>
      </c>
      <c r="B143" t="s">
        <v>21288</v>
      </c>
      <c r="C143" t="s">
        <v>21289</v>
      </c>
    </row>
    <row r="144" spans="1:3">
      <c r="A144">
        <v>2101069661</v>
      </c>
      <c r="B144" t="s">
        <v>21290</v>
      </c>
      <c r="C144" t="s">
        <v>21291</v>
      </c>
    </row>
    <row r="145" spans="1:3">
      <c r="A145">
        <v>2101069665</v>
      </c>
      <c r="B145" t="s">
        <v>23870</v>
      </c>
      <c r="C145" t="s">
        <v>20674</v>
      </c>
    </row>
    <row r="146" spans="1:3">
      <c r="A146">
        <v>2101069667</v>
      </c>
      <c r="B146" t="s">
        <v>21292</v>
      </c>
      <c r="C146" t="s">
        <v>21293</v>
      </c>
    </row>
    <row r="147" spans="1:3">
      <c r="A147">
        <v>2101069668</v>
      </c>
      <c r="B147" t="s">
        <v>20676</v>
      </c>
      <c r="C147" t="s">
        <v>20675</v>
      </c>
    </row>
    <row r="148" spans="1:3">
      <c r="A148">
        <v>2101069671</v>
      </c>
      <c r="B148" t="s">
        <v>21294</v>
      </c>
      <c r="C148" t="s">
        <v>21295</v>
      </c>
    </row>
    <row r="149" spans="1:3">
      <c r="A149">
        <v>2101069672</v>
      </c>
      <c r="B149" t="s">
        <v>21296</v>
      </c>
      <c r="C149" t="s">
        <v>21297</v>
      </c>
    </row>
    <row r="150" spans="1:3">
      <c r="A150">
        <v>2101069674</v>
      </c>
      <c r="B150" t="s">
        <v>20678</v>
      </c>
      <c r="C150" t="s">
        <v>20677</v>
      </c>
    </row>
    <row r="151" spans="1:3">
      <c r="A151">
        <v>2101069709</v>
      </c>
      <c r="B151" t="s">
        <v>21740</v>
      </c>
      <c r="C151" t="s">
        <v>21741</v>
      </c>
    </row>
    <row r="152" spans="1:3">
      <c r="A152">
        <v>2101069710</v>
      </c>
      <c r="B152" t="s">
        <v>21742</v>
      </c>
      <c r="C152" t="s">
        <v>21743</v>
      </c>
    </row>
    <row r="153" spans="1:3">
      <c r="A153">
        <v>2101069711</v>
      </c>
      <c r="B153" t="s">
        <v>21744</v>
      </c>
      <c r="C153" t="s">
        <v>21745</v>
      </c>
    </row>
    <row r="154" spans="1:3">
      <c r="A154">
        <v>2101069712</v>
      </c>
      <c r="B154" t="s">
        <v>21746</v>
      </c>
      <c r="C154" t="s">
        <v>21747</v>
      </c>
    </row>
    <row r="155" spans="1:3">
      <c r="A155">
        <v>2101069713</v>
      </c>
      <c r="B155" t="s">
        <v>21748</v>
      </c>
      <c r="C155" t="s">
        <v>21749</v>
      </c>
    </row>
    <row r="156" spans="1:3">
      <c r="A156">
        <v>2101069714</v>
      </c>
      <c r="B156" t="s">
        <v>21750</v>
      </c>
      <c r="C156" t="s">
        <v>21751</v>
      </c>
    </row>
    <row r="157" spans="1:3">
      <c r="A157">
        <v>2101069715</v>
      </c>
      <c r="B157" t="s">
        <v>21752</v>
      </c>
      <c r="C157" t="s">
        <v>21753</v>
      </c>
    </row>
    <row r="158" spans="1:3">
      <c r="A158">
        <v>2101069716</v>
      </c>
      <c r="B158" t="s">
        <v>21754</v>
      </c>
      <c r="C158" t="s">
        <v>21755</v>
      </c>
    </row>
    <row r="159" spans="1:3">
      <c r="A159">
        <v>2101069717</v>
      </c>
      <c r="B159" t="s">
        <v>21756</v>
      </c>
      <c r="C159" t="s">
        <v>21757</v>
      </c>
    </row>
    <row r="160" spans="1:3">
      <c r="A160">
        <v>2101069718</v>
      </c>
      <c r="B160" t="s">
        <v>21758</v>
      </c>
      <c r="C160" t="s">
        <v>21759</v>
      </c>
    </row>
    <row r="161" spans="1:3">
      <c r="A161">
        <v>2101069719</v>
      </c>
      <c r="B161" t="s">
        <v>21760</v>
      </c>
      <c r="C161" t="s">
        <v>21761</v>
      </c>
    </row>
    <row r="162" spans="1:3">
      <c r="A162">
        <v>2101069720</v>
      </c>
      <c r="B162" t="s">
        <v>21762</v>
      </c>
      <c r="C162" t="s">
        <v>21763</v>
      </c>
    </row>
    <row r="163" spans="1:3">
      <c r="A163">
        <v>2101069721</v>
      </c>
      <c r="B163" t="s">
        <v>21764</v>
      </c>
      <c r="C163" t="s">
        <v>21765</v>
      </c>
    </row>
    <row r="164" spans="1:3">
      <c r="A164">
        <v>2101069726</v>
      </c>
      <c r="B164" t="s">
        <v>21476</v>
      </c>
      <c r="C164" t="s">
        <v>21477</v>
      </c>
    </row>
    <row r="165" spans="1:3">
      <c r="A165">
        <v>2101069744</v>
      </c>
      <c r="B165" t="s">
        <v>21766</v>
      </c>
      <c r="C165" t="s">
        <v>21767</v>
      </c>
    </row>
    <row r="166" spans="1:3">
      <c r="A166">
        <v>2101069841</v>
      </c>
      <c r="B166" t="s">
        <v>23871</v>
      </c>
      <c r="C166" t="s">
        <v>22653</v>
      </c>
    </row>
    <row r="167" spans="1:3">
      <c r="A167">
        <v>2101069842</v>
      </c>
      <c r="B167" t="s">
        <v>23499</v>
      </c>
      <c r="C167" t="s">
        <v>22654</v>
      </c>
    </row>
    <row r="168" spans="1:3">
      <c r="A168">
        <v>2101069843</v>
      </c>
      <c r="B168" t="s">
        <v>23872</v>
      </c>
      <c r="C168" t="s">
        <v>22655</v>
      </c>
    </row>
    <row r="169" spans="1:3">
      <c r="A169">
        <v>2101069846</v>
      </c>
      <c r="B169" t="s">
        <v>23500</v>
      </c>
      <c r="C169" t="s">
        <v>22656</v>
      </c>
    </row>
    <row r="170" spans="1:3">
      <c r="A170">
        <v>2101069911</v>
      </c>
      <c r="B170" t="s">
        <v>23034</v>
      </c>
      <c r="C170" t="s">
        <v>23035</v>
      </c>
    </row>
    <row r="171" spans="1:3">
      <c r="A171">
        <v>2101071271</v>
      </c>
      <c r="B171" t="s">
        <v>24151</v>
      </c>
      <c r="C171" t="s">
        <v>24152</v>
      </c>
    </row>
    <row r="172" spans="1:3">
      <c r="A172">
        <v>2101071272</v>
      </c>
      <c r="B172" t="s">
        <v>24153</v>
      </c>
      <c r="C172" t="s">
        <v>24154</v>
      </c>
    </row>
    <row r="173" spans="1:3">
      <c r="A173">
        <v>2101071273</v>
      </c>
      <c r="B173" t="s">
        <v>24155</v>
      </c>
      <c r="C173" t="s">
        <v>24156</v>
      </c>
    </row>
    <row r="174" spans="1:3">
      <c r="A174">
        <v>2101071275</v>
      </c>
      <c r="B174" t="s">
        <v>24157</v>
      </c>
      <c r="C174" t="s">
        <v>24158</v>
      </c>
    </row>
    <row r="175" spans="1:3">
      <c r="A175">
        <v>2101071276</v>
      </c>
      <c r="B175" t="s">
        <v>24159</v>
      </c>
      <c r="C175" t="s">
        <v>24160</v>
      </c>
    </row>
    <row r="176" spans="1:3">
      <c r="A176">
        <v>2101071277</v>
      </c>
      <c r="B176" t="s">
        <v>24161</v>
      </c>
      <c r="C176" t="s">
        <v>24162</v>
      </c>
    </row>
    <row r="177" spans="1:3">
      <c r="A177">
        <v>2101071278</v>
      </c>
      <c r="B177" t="s">
        <v>24163</v>
      </c>
      <c r="C177" t="s">
        <v>24164</v>
      </c>
    </row>
    <row r="178" spans="1:3">
      <c r="A178">
        <v>2101071279</v>
      </c>
      <c r="B178" t="s">
        <v>24165</v>
      </c>
      <c r="C178" t="s">
        <v>24166</v>
      </c>
    </row>
    <row r="179" spans="1:3">
      <c r="A179">
        <v>2101071280</v>
      </c>
      <c r="B179" t="s">
        <v>24167</v>
      </c>
      <c r="C179" t="s">
        <v>24168</v>
      </c>
    </row>
    <row r="180" spans="1:3">
      <c r="A180">
        <v>2101071281</v>
      </c>
      <c r="B180" t="s">
        <v>24169</v>
      </c>
      <c r="C180" t="s">
        <v>24170</v>
      </c>
    </row>
    <row r="181" spans="1:3">
      <c r="A181">
        <v>2101071282</v>
      </c>
      <c r="B181" t="s">
        <v>24171</v>
      </c>
      <c r="C181" t="s">
        <v>24172</v>
      </c>
    </row>
    <row r="182" spans="1:3">
      <c r="A182">
        <v>2101071283</v>
      </c>
      <c r="B182" t="s">
        <v>24173</v>
      </c>
      <c r="C182" t="s">
        <v>24174</v>
      </c>
    </row>
    <row r="183" spans="1:3">
      <c r="A183">
        <v>2101071284</v>
      </c>
      <c r="B183" t="s">
        <v>24175</v>
      </c>
      <c r="C183" t="s">
        <v>24176</v>
      </c>
    </row>
    <row r="184" spans="1:3">
      <c r="A184">
        <v>2101071285</v>
      </c>
      <c r="B184" t="s">
        <v>24177</v>
      </c>
      <c r="C184" t="s">
        <v>24178</v>
      </c>
    </row>
    <row r="185" spans="1:3">
      <c r="A185">
        <v>2101071286</v>
      </c>
      <c r="B185" t="s">
        <v>24179</v>
      </c>
      <c r="C185" t="s">
        <v>24180</v>
      </c>
    </row>
    <row r="186" spans="1:3">
      <c r="A186">
        <v>2101071287</v>
      </c>
      <c r="B186" t="s">
        <v>24181</v>
      </c>
      <c r="C186" t="s">
        <v>24182</v>
      </c>
    </row>
    <row r="187" spans="1:3">
      <c r="A187">
        <v>2101071288</v>
      </c>
      <c r="B187" t="s">
        <v>24183</v>
      </c>
      <c r="C187" t="s">
        <v>24184</v>
      </c>
    </row>
    <row r="188" spans="1:3">
      <c r="A188">
        <v>2101076924</v>
      </c>
      <c r="B188" t="s">
        <v>21380</v>
      </c>
      <c r="C188" t="s">
        <v>21381</v>
      </c>
    </row>
    <row r="189" spans="1:3">
      <c r="A189">
        <v>2101083077</v>
      </c>
      <c r="B189" t="s">
        <v>20944</v>
      </c>
      <c r="C189" t="s">
        <v>20943</v>
      </c>
    </row>
    <row r="190" spans="1:3">
      <c r="A190">
        <v>2101099844</v>
      </c>
      <c r="B190" t="s">
        <v>23873</v>
      </c>
      <c r="C190" t="s">
        <v>22657</v>
      </c>
    </row>
    <row r="191" spans="1:3">
      <c r="A191">
        <v>2101101230</v>
      </c>
      <c r="B191" t="s">
        <v>23874</v>
      </c>
      <c r="C191" t="s">
        <v>23875</v>
      </c>
    </row>
    <row r="192" spans="1:3">
      <c r="A192">
        <v>2101101237</v>
      </c>
      <c r="B192" t="s">
        <v>23876</v>
      </c>
      <c r="C192" t="s">
        <v>23877</v>
      </c>
    </row>
    <row r="193" spans="1:3">
      <c r="A193">
        <v>2101101361</v>
      </c>
      <c r="B193" t="s">
        <v>24476</v>
      </c>
      <c r="C193" t="s">
        <v>24477</v>
      </c>
    </row>
    <row r="194" spans="1:3">
      <c r="A194">
        <v>2101102487</v>
      </c>
      <c r="B194" t="s">
        <v>20800</v>
      </c>
      <c r="C194" t="s">
        <v>20799</v>
      </c>
    </row>
    <row r="195" spans="1:3">
      <c r="A195">
        <v>2101102488</v>
      </c>
      <c r="B195" t="s">
        <v>21478</v>
      </c>
      <c r="C195" t="s">
        <v>20794</v>
      </c>
    </row>
    <row r="196" spans="1:3">
      <c r="A196">
        <v>2101105263</v>
      </c>
      <c r="B196" t="s">
        <v>21768</v>
      </c>
      <c r="C196" t="s">
        <v>21243</v>
      </c>
    </row>
    <row r="197" spans="1:3">
      <c r="A197">
        <v>2101105264</v>
      </c>
      <c r="B197" t="s">
        <v>21239</v>
      </c>
      <c r="C197" t="s">
        <v>21238</v>
      </c>
    </row>
    <row r="198" spans="1:3">
      <c r="A198">
        <v>2101107032</v>
      </c>
      <c r="B198" t="s">
        <v>20802</v>
      </c>
      <c r="C198" t="s">
        <v>20801</v>
      </c>
    </row>
    <row r="199" spans="1:3">
      <c r="A199">
        <v>2101107946</v>
      </c>
      <c r="B199" t="s">
        <v>21769</v>
      </c>
      <c r="C199" t="s">
        <v>21770</v>
      </c>
    </row>
    <row r="200" spans="1:3">
      <c r="A200">
        <v>2101107948</v>
      </c>
      <c r="B200" t="s">
        <v>21448</v>
      </c>
      <c r="C200" t="s">
        <v>21479</v>
      </c>
    </row>
    <row r="201" spans="1:3">
      <c r="A201">
        <v>2101107950</v>
      </c>
      <c r="B201" t="s">
        <v>20706</v>
      </c>
      <c r="C201" t="s">
        <v>20705</v>
      </c>
    </row>
    <row r="202" spans="1:3">
      <c r="A202">
        <v>2101108562</v>
      </c>
      <c r="B202" t="s">
        <v>21237</v>
      </c>
      <c r="C202" t="s">
        <v>21236</v>
      </c>
    </row>
    <row r="203" spans="1:3">
      <c r="A203">
        <v>2101109332</v>
      </c>
      <c r="B203" t="s">
        <v>21547</v>
      </c>
      <c r="C203" t="s">
        <v>21244</v>
      </c>
    </row>
    <row r="204" spans="1:3">
      <c r="A204">
        <v>2101111078</v>
      </c>
      <c r="B204" t="s">
        <v>23325</v>
      </c>
      <c r="C204" t="s">
        <v>23326</v>
      </c>
    </row>
    <row r="205" spans="1:3">
      <c r="A205">
        <v>2101111079</v>
      </c>
      <c r="B205" t="s">
        <v>23327</v>
      </c>
      <c r="C205" t="s">
        <v>23328</v>
      </c>
    </row>
    <row r="206" spans="1:3">
      <c r="A206">
        <v>2101111169</v>
      </c>
      <c r="B206" t="s">
        <v>23683</v>
      </c>
      <c r="C206" t="s">
        <v>23684</v>
      </c>
    </row>
    <row r="207" spans="1:3">
      <c r="A207">
        <v>2101111177</v>
      </c>
      <c r="B207" t="s">
        <v>23878</v>
      </c>
      <c r="C207" t="s">
        <v>23685</v>
      </c>
    </row>
    <row r="208" spans="1:3">
      <c r="A208">
        <v>2101112653</v>
      </c>
      <c r="B208" t="s">
        <v>20816</v>
      </c>
      <c r="C208" t="s">
        <v>20815</v>
      </c>
    </row>
    <row r="209" spans="1:3">
      <c r="A209">
        <v>2101112654</v>
      </c>
      <c r="B209" t="s">
        <v>20818</v>
      </c>
      <c r="C209" t="s">
        <v>20817</v>
      </c>
    </row>
    <row r="210" spans="1:3">
      <c r="A210">
        <v>2101477188</v>
      </c>
      <c r="B210" t="s">
        <v>24478</v>
      </c>
      <c r="C210" t="s">
        <v>24479</v>
      </c>
    </row>
    <row r="211" spans="1:3">
      <c r="A211">
        <v>2101851773</v>
      </c>
      <c r="B211" t="s">
        <v>23329</v>
      </c>
      <c r="C211" t="s">
        <v>22761</v>
      </c>
    </row>
    <row r="212" spans="1:3">
      <c r="A212">
        <v>2101862252</v>
      </c>
      <c r="B212" t="s">
        <v>22466</v>
      </c>
      <c r="C212" t="s">
        <v>22467</v>
      </c>
    </row>
    <row r="213" spans="1:3">
      <c r="A213">
        <v>2102021171</v>
      </c>
      <c r="B213" t="s">
        <v>23686</v>
      </c>
      <c r="C213" t="s">
        <v>23687</v>
      </c>
    </row>
    <row r="214" spans="1:3">
      <c r="A214">
        <v>2102021179</v>
      </c>
      <c r="B214" t="s">
        <v>23879</v>
      </c>
      <c r="C214" t="s">
        <v>23688</v>
      </c>
    </row>
    <row r="215" spans="1:3">
      <c r="A215">
        <v>2102021348</v>
      </c>
      <c r="B215" t="s">
        <v>24480</v>
      </c>
      <c r="C215" t="s">
        <v>24481</v>
      </c>
    </row>
    <row r="216" spans="1:3">
      <c r="A216">
        <v>2102023333</v>
      </c>
      <c r="B216" t="s">
        <v>20714</v>
      </c>
      <c r="C216" t="s">
        <v>20713</v>
      </c>
    </row>
    <row r="217" spans="1:3">
      <c r="A217">
        <v>2102029317</v>
      </c>
      <c r="B217" t="s">
        <v>21194</v>
      </c>
      <c r="C217" t="s">
        <v>21193</v>
      </c>
    </row>
    <row r="218" spans="1:3">
      <c r="A218">
        <v>2102029565</v>
      </c>
      <c r="B218" t="s">
        <v>21771</v>
      </c>
      <c r="C218" t="s">
        <v>21772</v>
      </c>
    </row>
    <row r="219" spans="1:3">
      <c r="A219">
        <v>2102029652</v>
      </c>
      <c r="B219" t="s">
        <v>20960</v>
      </c>
      <c r="C219" t="s">
        <v>20959</v>
      </c>
    </row>
    <row r="220" spans="1:3">
      <c r="A220">
        <v>2102029772</v>
      </c>
      <c r="B220" t="s">
        <v>21773</v>
      </c>
      <c r="C220" t="s">
        <v>21774</v>
      </c>
    </row>
    <row r="221" spans="1:3">
      <c r="A221">
        <v>2102033211</v>
      </c>
      <c r="B221" t="s">
        <v>20734</v>
      </c>
      <c r="C221" t="s">
        <v>20733</v>
      </c>
    </row>
    <row r="222" spans="1:3">
      <c r="A222">
        <v>2102039754</v>
      </c>
      <c r="B222" t="s">
        <v>21775</v>
      </c>
      <c r="C222" t="s">
        <v>21776</v>
      </c>
    </row>
    <row r="223" spans="1:3">
      <c r="A223">
        <v>2102049892</v>
      </c>
      <c r="B223" t="s">
        <v>22762</v>
      </c>
      <c r="C223" t="s">
        <v>22763</v>
      </c>
    </row>
    <row r="224" spans="1:3">
      <c r="A224">
        <v>2102049893</v>
      </c>
      <c r="B224" t="s">
        <v>22764</v>
      </c>
      <c r="C224" t="s">
        <v>22765</v>
      </c>
    </row>
    <row r="225" spans="1:3">
      <c r="A225">
        <v>2102049924</v>
      </c>
      <c r="B225" t="s">
        <v>22766</v>
      </c>
      <c r="C225" t="s">
        <v>22767</v>
      </c>
    </row>
    <row r="226" spans="1:3">
      <c r="A226">
        <v>2102057307</v>
      </c>
      <c r="B226" t="s">
        <v>24482</v>
      </c>
      <c r="C226" t="s">
        <v>21548</v>
      </c>
    </row>
    <row r="227" spans="1:3">
      <c r="A227">
        <v>2102059758</v>
      </c>
      <c r="B227" t="s">
        <v>21777</v>
      </c>
      <c r="C227" t="s">
        <v>21778</v>
      </c>
    </row>
    <row r="228" spans="1:3">
      <c r="A228">
        <v>2102061185</v>
      </c>
      <c r="B228" t="s">
        <v>23880</v>
      </c>
      <c r="C228" t="s">
        <v>23881</v>
      </c>
    </row>
    <row r="229" spans="1:3">
      <c r="A229">
        <v>2102061186</v>
      </c>
      <c r="B229" t="s">
        <v>23882</v>
      </c>
      <c r="C229" t="s">
        <v>23883</v>
      </c>
    </row>
    <row r="230" spans="1:3">
      <c r="A230">
        <v>2102061187</v>
      </c>
      <c r="B230" t="s">
        <v>23884</v>
      </c>
      <c r="C230" t="s">
        <v>23885</v>
      </c>
    </row>
    <row r="231" spans="1:3">
      <c r="A231">
        <v>2102065599</v>
      </c>
      <c r="B231" t="s">
        <v>21549</v>
      </c>
      <c r="C231" t="s">
        <v>21550</v>
      </c>
    </row>
    <row r="232" spans="1:3">
      <c r="A232">
        <v>2102068749</v>
      </c>
      <c r="B232" t="s">
        <v>24483</v>
      </c>
      <c r="C232" t="s">
        <v>24484</v>
      </c>
    </row>
    <row r="233" spans="1:3">
      <c r="A233">
        <v>2102088627</v>
      </c>
      <c r="B233" t="s">
        <v>21157</v>
      </c>
      <c r="C233" t="s">
        <v>21156</v>
      </c>
    </row>
    <row r="234" spans="1:3">
      <c r="A234">
        <v>2102102948</v>
      </c>
      <c r="B234" t="s">
        <v>23886</v>
      </c>
      <c r="C234" t="s">
        <v>21298</v>
      </c>
    </row>
    <row r="235" spans="1:3">
      <c r="A235">
        <v>2102116436</v>
      </c>
      <c r="B235" t="s">
        <v>23887</v>
      </c>
      <c r="C235" t="s">
        <v>23888</v>
      </c>
    </row>
    <row r="236" spans="1:3">
      <c r="A236">
        <v>2102118569</v>
      </c>
      <c r="B236" t="s">
        <v>20774</v>
      </c>
      <c r="C236" t="s">
        <v>20773</v>
      </c>
    </row>
    <row r="237" spans="1:3">
      <c r="A237">
        <v>2102119970</v>
      </c>
      <c r="B237" t="s">
        <v>24485</v>
      </c>
      <c r="C237" t="s">
        <v>24486</v>
      </c>
    </row>
    <row r="238" spans="1:3">
      <c r="A238">
        <v>2102161785</v>
      </c>
      <c r="B238" t="s">
        <v>20820</v>
      </c>
      <c r="C238" t="s">
        <v>20819</v>
      </c>
    </row>
    <row r="239" spans="1:3">
      <c r="A239">
        <v>2102165979</v>
      </c>
      <c r="B239" t="s">
        <v>24487</v>
      </c>
      <c r="C239" t="s">
        <v>24488</v>
      </c>
    </row>
    <row r="240" spans="1:3">
      <c r="A240">
        <v>2102188564</v>
      </c>
      <c r="B240" t="s">
        <v>21299</v>
      </c>
      <c r="C240" t="s">
        <v>21042</v>
      </c>
    </row>
    <row r="241" spans="1:3">
      <c r="A241">
        <v>2102221362</v>
      </c>
      <c r="B241" t="s">
        <v>24489</v>
      </c>
      <c r="C241" t="s">
        <v>24490</v>
      </c>
    </row>
    <row r="242" spans="1:3">
      <c r="A242">
        <v>2102222749</v>
      </c>
      <c r="B242" t="s">
        <v>21551</v>
      </c>
      <c r="C242" t="s">
        <v>21552</v>
      </c>
    </row>
    <row r="243" spans="1:3">
      <c r="A243">
        <v>2102223251</v>
      </c>
      <c r="B243" t="s">
        <v>21077</v>
      </c>
      <c r="C243" t="s">
        <v>21076</v>
      </c>
    </row>
    <row r="244" spans="1:3">
      <c r="A244">
        <v>2102223812</v>
      </c>
      <c r="B244" t="s">
        <v>21196</v>
      </c>
      <c r="C244" t="s">
        <v>21195</v>
      </c>
    </row>
    <row r="245" spans="1:3">
      <c r="A245">
        <v>2102229759</v>
      </c>
      <c r="B245" t="s">
        <v>22468</v>
      </c>
      <c r="C245" t="s">
        <v>22469</v>
      </c>
    </row>
    <row r="246" spans="1:3">
      <c r="A246">
        <v>2102268625</v>
      </c>
      <c r="B246" t="s">
        <v>21159</v>
      </c>
      <c r="C246" t="s">
        <v>21158</v>
      </c>
    </row>
    <row r="247" spans="1:3">
      <c r="A247">
        <v>2102301312</v>
      </c>
      <c r="B247" t="s">
        <v>24185</v>
      </c>
      <c r="C247" t="s">
        <v>24186</v>
      </c>
    </row>
    <row r="248" spans="1:3">
      <c r="A248">
        <v>2102309746</v>
      </c>
      <c r="B248" t="s">
        <v>21779</v>
      </c>
      <c r="C248" t="s">
        <v>21780</v>
      </c>
    </row>
    <row r="249" spans="1:3">
      <c r="A249">
        <v>2102348255</v>
      </c>
      <c r="B249" t="s">
        <v>21014</v>
      </c>
      <c r="C249" t="s">
        <v>21013</v>
      </c>
    </row>
    <row r="250" spans="1:3">
      <c r="A250">
        <v>2102388568</v>
      </c>
      <c r="B250" t="s">
        <v>21012</v>
      </c>
      <c r="C250" t="s">
        <v>21011</v>
      </c>
    </row>
    <row r="251" spans="1:3">
      <c r="A251">
        <v>2102408544</v>
      </c>
      <c r="B251" t="s">
        <v>20720</v>
      </c>
      <c r="C251" t="s">
        <v>20719</v>
      </c>
    </row>
    <row r="252" spans="1:3">
      <c r="A252">
        <v>2102408617</v>
      </c>
      <c r="B252" t="s">
        <v>21300</v>
      </c>
      <c r="C252" t="s">
        <v>21301</v>
      </c>
    </row>
    <row r="253" spans="1:3">
      <c r="A253">
        <v>2102461270</v>
      </c>
      <c r="B253" t="s">
        <v>24187</v>
      </c>
      <c r="C253" t="s">
        <v>24188</v>
      </c>
    </row>
    <row r="254" spans="1:3">
      <c r="A254">
        <v>2102502655</v>
      </c>
      <c r="B254" t="s">
        <v>20822</v>
      </c>
      <c r="C254" t="s">
        <v>20821</v>
      </c>
    </row>
    <row r="255" spans="1:3">
      <c r="A255">
        <v>2102508626</v>
      </c>
      <c r="B255" t="s">
        <v>21155</v>
      </c>
      <c r="C255" t="s">
        <v>21154</v>
      </c>
    </row>
    <row r="256" spans="1:3">
      <c r="A256">
        <v>2102851236</v>
      </c>
      <c r="B256" t="s">
        <v>23889</v>
      </c>
      <c r="C256" t="s">
        <v>23890</v>
      </c>
    </row>
    <row r="257" spans="1:3">
      <c r="A257">
        <v>2102856822</v>
      </c>
      <c r="B257" t="s">
        <v>20738</v>
      </c>
      <c r="C257" t="s">
        <v>20737</v>
      </c>
    </row>
    <row r="258" spans="1:3">
      <c r="A258">
        <v>2102861349</v>
      </c>
      <c r="B258" t="s">
        <v>24491</v>
      </c>
      <c r="C258" t="s">
        <v>24492</v>
      </c>
    </row>
    <row r="259" spans="1:3">
      <c r="A259">
        <v>2102861412</v>
      </c>
      <c r="B259" t="s">
        <v>24732</v>
      </c>
      <c r="C259" t="s">
        <v>24733</v>
      </c>
    </row>
    <row r="260" spans="1:3">
      <c r="A260">
        <v>2102861413</v>
      </c>
      <c r="B260" t="s">
        <v>24734</v>
      </c>
      <c r="C260" t="s">
        <v>24735</v>
      </c>
    </row>
    <row r="261" spans="1:3">
      <c r="A261">
        <v>2102867644</v>
      </c>
      <c r="B261" t="s">
        <v>20708</v>
      </c>
      <c r="C261" t="s">
        <v>20707</v>
      </c>
    </row>
    <row r="262" spans="1:3">
      <c r="A262">
        <v>2102868639</v>
      </c>
      <c r="B262" t="s">
        <v>21175</v>
      </c>
      <c r="C262" t="s">
        <v>21174</v>
      </c>
    </row>
    <row r="263" spans="1:3">
      <c r="A263">
        <v>2103012167</v>
      </c>
      <c r="B263" t="s">
        <v>21190</v>
      </c>
      <c r="C263" t="s">
        <v>21204</v>
      </c>
    </row>
    <row r="264" spans="1:3">
      <c r="A264">
        <v>2103020249</v>
      </c>
      <c r="B264" t="s">
        <v>21112</v>
      </c>
      <c r="C264" t="s">
        <v>21111</v>
      </c>
    </row>
    <row r="265" spans="1:3">
      <c r="A265">
        <v>2103031149</v>
      </c>
      <c r="B265" t="s">
        <v>23330</v>
      </c>
      <c r="C265" t="s">
        <v>23331</v>
      </c>
    </row>
    <row r="266" spans="1:3">
      <c r="A266">
        <v>2103061229</v>
      </c>
      <c r="B266" t="s">
        <v>23891</v>
      </c>
      <c r="C266" t="s">
        <v>23892</v>
      </c>
    </row>
    <row r="267" spans="1:3">
      <c r="A267">
        <v>2103061238</v>
      </c>
      <c r="B267" t="s">
        <v>23893</v>
      </c>
      <c r="C267" t="s">
        <v>23894</v>
      </c>
    </row>
    <row r="268" spans="1:3">
      <c r="A268">
        <v>2103062485</v>
      </c>
      <c r="B268" t="s">
        <v>20793</v>
      </c>
      <c r="C268" t="s">
        <v>20792</v>
      </c>
    </row>
    <row r="269" spans="1:3">
      <c r="A269">
        <v>2103062494</v>
      </c>
      <c r="B269" t="s">
        <v>21246</v>
      </c>
      <c r="C269" t="s">
        <v>21245</v>
      </c>
    </row>
    <row r="270" spans="1:3">
      <c r="A270">
        <v>2103065342</v>
      </c>
      <c r="B270" t="s">
        <v>20698</v>
      </c>
      <c r="C270" t="s">
        <v>20697</v>
      </c>
    </row>
    <row r="271" spans="1:3">
      <c r="A271">
        <v>2103067072</v>
      </c>
      <c r="B271" t="s">
        <v>21553</v>
      </c>
      <c r="C271" t="s">
        <v>21554</v>
      </c>
    </row>
    <row r="272" spans="1:3">
      <c r="A272">
        <v>2103067944</v>
      </c>
      <c r="B272" t="s">
        <v>21250</v>
      </c>
      <c r="C272" t="s">
        <v>21249</v>
      </c>
    </row>
    <row r="273" spans="1:3">
      <c r="A273">
        <v>2103177961</v>
      </c>
      <c r="B273" t="s">
        <v>20848</v>
      </c>
      <c r="C273" t="s">
        <v>20847</v>
      </c>
    </row>
    <row r="274" spans="1:3">
      <c r="A274">
        <v>2103850147</v>
      </c>
      <c r="B274" t="s">
        <v>20824</v>
      </c>
      <c r="C274" t="s">
        <v>20823</v>
      </c>
    </row>
    <row r="275" spans="1:3">
      <c r="A275">
        <v>2104020250</v>
      </c>
      <c r="B275" t="s">
        <v>21781</v>
      </c>
      <c r="C275" t="s">
        <v>21782</v>
      </c>
    </row>
    <row r="276" spans="1:3">
      <c r="A276">
        <v>2104030438</v>
      </c>
      <c r="B276" t="s">
        <v>23895</v>
      </c>
      <c r="C276" t="s">
        <v>20715</v>
      </c>
    </row>
    <row r="277" spans="1:3">
      <c r="A277">
        <v>2104034419</v>
      </c>
      <c r="B277" t="s">
        <v>23896</v>
      </c>
      <c r="C277" t="s">
        <v>21302</v>
      </c>
    </row>
    <row r="278" spans="1:3">
      <c r="A278">
        <v>2104035086</v>
      </c>
      <c r="B278" t="s">
        <v>20742</v>
      </c>
      <c r="C278" t="s">
        <v>20741</v>
      </c>
    </row>
    <row r="279" spans="1:3">
      <c r="A279">
        <v>2104035087</v>
      </c>
      <c r="B279" t="s">
        <v>20740</v>
      </c>
      <c r="C279" t="s">
        <v>20739</v>
      </c>
    </row>
    <row r="280" spans="1:3">
      <c r="A280">
        <v>2104041216</v>
      </c>
      <c r="B280" t="s">
        <v>23897</v>
      </c>
      <c r="C280" t="s">
        <v>23898</v>
      </c>
    </row>
    <row r="281" spans="1:3">
      <c r="A281">
        <v>2104041217</v>
      </c>
      <c r="B281" t="s">
        <v>23899</v>
      </c>
      <c r="C281" t="s">
        <v>23900</v>
      </c>
    </row>
    <row r="282" spans="1:3">
      <c r="A282">
        <v>2104041219</v>
      </c>
      <c r="B282" t="s">
        <v>23901</v>
      </c>
      <c r="C282" t="s">
        <v>23902</v>
      </c>
    </row>
    <row r="283" spans="1:3">
      <c r="A283">
        <v>2104050678</v>
      </c>
      <c r="B283" t="s">
        <v>23903</v>
      </c>
      <c r="C283" t="s">
        <v>21783</v>
      </c>
    </row>
    <row r="284" spans="1:3">
      <c r="A284">
        <v>2104060733</v>
      </c>
      <c r="B284" t="s">
        <v>24189</v>
      </c>
      <c r="C284" t="s">
        <v>24190</v>
      </c>
    </row>
    <row r="285" spans="1:3">
      <c r="A285">
        <v>2104107588</v>
      </c>
      <c r="B285" t="s">
        <v>20710</v>
      </c>
      <c r="C285" t="s">
        <v>20709</v>
      </c>
    </row>
    <row r="286" spans="1:3">
      <c r="A286">
        <v>2104122318</v>
      </c>
      <c r="B286" t="s">
        <v>6260</v>
      </c>
      <c r="C286" t="s">
        <v>21784</v>
      </c>
    </row>
    <row r="287" spans="1:3">
      <c r="A287">
        <v>2104122399</v>
      </c>
      <c r="B287" t="s">
        <v>23213</v>
      </c>
      <c r="C287" t="s">
        <v>21785</v>
      </c>
    </row>
    <row r="288" spans="1:3">
      <c r="A288">
        <v>2104124247</v>
      </c>
      <c r="B288" t="s">
        <v>21786</v>
      </c>
      <c r="C288" t="s">
        <v>21787</v>
      </c>
    </row>
    <row r="289" spans="1:3">
      <c r="A289">
        <v>2104124251</v>
      </c>
      <c r="B289" t="s">
        <v>21786</v>
      </c>
      <c r="C289" t="s">
        <v>21788</v>
      </c>
    </row>
    <row r="290" spans="1:3">
      <c r="A290">
        <v>2104124263</v>
      </c>
      <c r="B290" t="s">
        <v>21786</v>
      </c>
      <c r="C290" t="s">
        <v>21789</v>
      </c>
    </row>
    <row r="291" spans="1:3">
      <c r="A291">
        <v>2104124280</v>
      </c>
      <c r="B291" t="s">
        <v>21786</v>
      </c>
      <c r="C291" t="s">
        <v>21790</v>
      </c>
    </row>
    <row r="292" spans="1:3">
      <c r="A292">
        <v>2104124292</v>
      </c>
      <c r="B292" t="s">
        <v>21786</v>
      </c>
      <c r="C292" t="s">
        <v>20634</v>
      </c>
    </row>
    <row r="293" spans="1:3">
      <c r="A293">
        <v>2104124304</v>
      </c>
      <c r="B293" t="s">
        <v>21786</v>
      </c>
      <c r="C293" t="s">
        <v>21791</v>
      </c>
    </row>
    <row r="294" spans="1:3">
      <c r="A294">
        <v>2104124322</v>
      </c>
      <c r="B294" t="s">
        <v>21786</v>
      </c>
      <c r="C294" t="s">
        <v>21792</v>
      </c>
    </row>
    <row r="295" spans="1:3">
      <c r="A295">
        <v>2104125261</v>
      </c>
      <c r="B295" t="s">
        <v>6273</v>
      </c>
      <c r="C295" t="s">
        <v>21793</v>
      </c>
    </row>
    <row r="296" spans="1:3">
      <c r="A296">
        <v>2104129990</v>
      </c>
      <c r="B296" t="s">
        <v>23214</v>
      </c>
      <c r="C296" t="s">
        <v>23036</v>
      </c>
    </row>
    <row r="297" spans="1:3">
      <c r="A297">
        <v>2104142469</v>
      </c>
      <c r="B297" t="s">
        <v>21555</v>
      </c>
      <c r="C297" t="s">
        <v>21556</v>
      </c>
    </row>
    <row r="298" spans="1:3">
      <c r="A298">
        <v>2104213252</v>
      </c>
      <c r="B298" t="s">
        <v>21079</v>
      </c>
      <c r="C298" t="s">
        <v>21078</v>
      </c>
    </row>
    <row r="299" spans="1:3">
      <c r="A299">
        <v>2104221105</v>
      </c>
      <c r="B299" t="s">
        <v>23747</v>
      </c>
      <c r="C299" t="s">
        <v>23748</v>
      </c>
    </row>
    <row r="300" spans="1:3">
      <c r="A300">
        <v>2104261184</v>
      </c>
      <c r="B300" t="s">
        <v>23904</v>
      </c>
      <c r="C300" t="s">
        <v>23905</v>
      </c>
    </row>
    <row r="301" spans="1:3">
      <c r="A301">
        <v>2104476208</v>
      </c>
      <c r="B301" t="s">
        <v>21794</v>
      </c>
      <c r="C301" t="s">
        <v>21795</v>
      </c>
    </row>
    <row r="302" spans="1:3">
      <c r="A302">
        <v>2104850183</v>
      </c>
      <c r="B302" t="s">
        <v>23906</v>
      </c>
      <c r="C302" t="s">
        <v>21303</v>
      </c>
    </row>
    <row r="303" spans="1:3">
      <c r="A303">
        <v>2104869760</v>
      </c>
      <c r="B303" t="s">
        <v>22470</v>
      </c>
      <c r="C303" t="s">
        <v>22471</v>
      </c>
    </row>
    <row r="304" spans="1:3">
      <c r="A304">
        <v>2105028791</v>
      </c>
      <c r="B304" t="s">
        <v>24493</v>
      </c>
      <c r="C304" t="s">
        <v>21557</v>
      </c>
    </row>
    <row r="305" spans="1:3">
      <c r="A305">
        <v>2105029108</v>
      </c>
      <c r="B305" t="s">
        <v>21796</v>
      </c>
      <c r="C305" t="s">
        <v>21797</v>
      </c>
    </row>
    <row r="306" spans="1:3">
      <c r="A306">
        <v>2105029576</v>
      </c>
      <c r="B306" t="s">
        <v>21798</v>
      </c>
      <c r="C306" t="s">
        <v>21799</v>
      </c>
    </row>
    <row r="307" spans="1:3">
      <c r="A307">
        <v>2105029912</v>
      </c>
      <c r="B307" t="s">
        <v>23037</v>
      </c>
      <c r="C307" t="s">
        <v>23038</v>
      </c>
    </row>
    <row r="308" spans="1:3">
      <c r="A308">
        <v>2105030439</v>
      </c>
      <c r="B308" t="s">
        <v>21640</v>
      </c>
      <c r="C308" t="s">
        <v>21108</v>
      </c>
    </row>
    <row r="309" spans="1:3">
      <c r="A309">
        <v>2105050679</v>
      </c>
      <c r="B309" t="s">
        <v>23907</v>
      </c>
      <c r="C309" t="s">
        <v>23908</v>
      </c>
    </row>
    <row r="310" spans="1:3">
      <c r="A310">
        <v>2105058630</v>
      </c>
      <c r="B310" t="s">
        <v>21161</v>
      </c>
      <c r="C310" t="s">
        <v>21160</v>
      </c>
    </row>
    <row r="311" spans="1:3">
      <c r="A311">
        <v>2105060734</v>
      </c>
      <c r="B311" t="s">
        <v>21008</v>
      </c>
      <c r="C311" t="s">
        <v>21007</v>
      </c>
    </row>
    <row r="312" spans="1:3">
      <c r="A312">
        <v>2105101079</v>
      </c>
      <c r="B312" t="s">
        <v>21200</v>
      </c>
      <c r="C312" t="s">
        <v>21199</v>
      </c>
    </row>
    <row r="313" spans="1:3">
      <c r="A313">
        <v>2105146436</v>
      </c>
      <c r="B313" t="s">
        <v>21800</v>
      </c>
      <c r="C313" t="s">
        <v>21801</v>
      </c>
    </row>
    <row r="314" spans="1:3">
      <c r="A314">
        <v>2105158566</v>
      </c>
      <c r="B314" t="s">
        <v>21044</v>
      </c>
      <c r="C314" t="s">
        <v>21043</v>
      </c>
    </row>
    <row r="315" spans="1:3">
      <c r="A315">
        <v>2105161084</v>
      </c>
      <c r="B315" t="s">
        <v>23332</v>
      </c>
      <c r="C315" t="s">
        <v>23333</v>
      </c>
    </row>
    <row r="316" spans="1:3">
      <c r="A316">
        <v>2105161085</v>
      </c>
      <c r="B316" t="s">
        <v>23334</v>
      </c>
      <c r="C316" t="s">
        <v>23335</v>
      </c>
    </row>
    <row r="317" spans="1:3">
      <c r="A317">
        <v>2105161417</v>
      </c>
      <c r="B317" t="s">
        <v>24736</v>
      </c>
      <c r="C317" t="s">
        <v>24737</v>
      </c>
    </row>
    <row r="318" spans="1:3">
      <c r="A318">
        <v>2105168546</v>
      </c>
      <c r="B318" t="s">
        <v>20722</v>
      </c>
      <c r="C318" t="s">
        <v>20721</v>
      </c>
    </row>
    <row r="319" spans="1:3">
      <c r="A319">
        <v>2105178628</v>
      </c>
      <c r="B319" t="s">
        <v>21165</v>
      </c>
      <c r="C319" t="s">
        <v>21164</v>
      </c>
    </row>
    <row r="320" spans="1:3">
      <c r="A320">
        <v>2105231249</v>
      </c>
      <c r="B320" t="s">
        <v>24191</v>
      </c>
      <c r="C320" t="s">
        <v>24192</v>
      </c>
    </row>
    <row r="321" spans="1:3">
      <c r="A321">
        <v>2105341133</v>
      </c>
      <c r="B321" t="s">
        <v>21016</v>
      </c>
      <c r="C321" t="s">
        <v>21015</v>
      </c>
    </row>
    <row r="322" spans="1:3">
      <c r="A322">
        <v>2105768965</v>
      </c>
      <c r="B322" t="s">
        <v>20966</v>
      </c>
      <c r="C322" t="s">
        <v>20965</v>
      </c>
    </row>
    <row r="323" spans="1:3">
      <c r="A323">
        <v>2105871380</v>
      </c>
      <c r="B323" t="s">
        <v>24494</v>
      </c>
      <c r="C323" t="s">
        <v>24495</v>
      </c>
    </row>
    <row r="324" spans="1:3">
      <c r="A324">
        <v>2105871396</v>
      </c>
      <c r="B324" t="s">
        <v>24496</v>
      </c>
      <c r="C324" t="s">
        <v>24497</v>
      </c>
    </row>
    <row r="325" spans="1:3">
      <c r="A325">
        <v>2106229468</v>
      </c>
      <c r="B325" t="s">
        <v>21558</v>
      </c>
      <c r="C325" t="s">
        <v>21559</v>
      </c>
    </row>
    <row r="326" spans="1:3">
      <c r="A326">
        <v>2106229722</v>
      </c>
      <c r="B326" t="s">
        <v>21382</v>
      </c>
      <c r="C326" t="s">
        <v>21383</v>
      </c>
    </row>
    <row r="327" spans="1:3">
      <c r="A327">
        <v>2106859829</v>
      </c>
      <c r="B327" t="s">
        <v>22557</v>
      </c>
      <c r="C327" t="s">
        <v>22558</v>
      </c>
    </row>
    <row r="328" spans="1:3">
      <c r="A328">
        <v>2109065191</v>
      </c>
      <c r="B328" t="s">
        <v>24498</v>
      </c>
      <c r="C328" t="s">
        <v>24499</v>
      </c>
    </row>
    <row r="329" spans="1:3">
      <c r="A329">
        <v>2109300896</v>
      </c>
      <c r="B329" t="s">
        <v>21304</v>
      </c>
      <c r="C329" t="s">
        <v>21305</v>
      </c>
    </row>
    <row r="330" spans="1:3">
      <c r="A330">
        <v>2109341083</v>
      </c>
      <c r="B330" t="s">
        <v>21198</v>
      </c>
      <c r="C330" t="s">
        <v>21197</v>
      </c>
    </row>
    <row r="331" spans="1:3">
      <c r="A331">
        <v>2110018059</v>
      </c>
      <c r="B331" t="s">
        <v>20726</v>
      </c>
      <c r="C331" t="s">
        <v>20725</v>
      </c>
    </row>
    <row r="332" spans="1:3">
      <c r="A332">
        <v>2110266433</v>
      </c>
      <c r="B332" t="s">
        <v>21802</v>
      </c>
      <c r="C332" t="s">
        <v>21803</v>
      </c>
    </row>
    <row r="333" spans="1:3">
      <c r="A333">
        <v>2110300739</v>
      </c>
      <c r="B333" t="s">
        <v>23909</v>
      </c>
      <c r="C333" t="s">
        <v>23910</v>
      </c>
    </row>
    <row r="334" spans="1:3">
      <c r="A334">
        <v>2110301161</v>
      </c>
      <c r="B334" t="s">
        <v>23501</v>
      </c>
      <c r="C334" t="s">
        <v>23502</v>
      </c>
    </row>
    <row r="335" spans="1:3">
      <c r="A335">
        <v>2110341071</v>
      </c>
      <c r="B335" t="s">
        <v>24193</v>
      </c>
      <c r="C335" t="s">
        <v>24194</v>
      </c>
    </row>
    <row r="336" spans="1:3">
      <c r="A336">
        <v>2110341072</v>
      </c>
      <c r="B336" t="s">
        <v>24195</v>
      </c>
      <c r="C336" t="s">
        <v>24196</v>
      </c>
    </row>
    <row r="337" spans="1:3">
      <c r="A337">
        <v>2110341073</v>
      </c>
      <c r="B337" t="s">
        <v>24197</v>
      </c>
      <c r="C337" t="s">
        <v>24198</v>
      </c>
    </row>
    <row r="338" spans="1:3">
      <c r="A338">
        <v>2110349845</v>
      </c>
      <c r="B338" t="s">
        <v>23503</v>
      </c>
      <c r="C338" t="s">
        <v>22658</v>
      </c>
    </row>
    <row r="339" spans="1:3">
      <c r="A339">
        <v>2111018059</v>
      </c>
      <c r="B339" t="s">
        <v>20700</v>
      </c>
      <c r="C339" t="s">
        <v>20699</v>
      </c>
    </row>
    <row r="340" spans="1:3">
      <c r="A340">
        <v>2111019884</v>
      </c>
      <c r="B340" t="s">
        <v>23039</v>
      </c>
      <c r="C340" t="s">
        <v>23040</v>
      </c>
    </row>
    <row r="341" spans="1:3">
      <c r="A341">
        <v>2111019885</v>
      </c>
      <c r="B341" t="s">
        <v>23041</v>
      </c>
      <c r="C341" t="s">
        <v>23042</v>
      </c>
    </row>
    <row r="342" spans="1:3">
      <c r="A342">
        <v>2111019886</v>
      </c>
      <c r="B342" t="s">
        <v>23043</v>
      </c>
      <c r="C342" t="s">
        <v>23044</v>
      </c>
    </row>
    <row r="343" spans="1:3">
      <c r="A343">
        <v>2111019887</v>
      </c>
      <c r="B343" t="s">
        <v>23045</v>
      </c>
      <c r="C343" t="s">
        <v>23046</v>
      </c>
    </row>
    <row r="344" spans="1:3">
      <c r="A344">
        <v>2111021228</v>
      </c>
      <c r="B344" t="s">
        <v>24871</v>
      </c>
      <c r="C344" t="s">
        <v>24872</v>
      </c>
    </row>
    <row r="345" spans="1:3">
      <c r="A345">
        <v>2111031220</v>
      </c>
      <c r="B345" t="s">
        <v>23911</v>
      </c>
      <c r="C345" t="s">
        <v>23912</v>
      </c>
    </row>
    <row r="346" spans="1:3">
      <c r="A346">
        <v>2111031420</v>
      </c>
      <c r="B346" t="s">
        <v>24738</v>
      </c>
      <c r="C346" t="s">
        <v>24739</v>
      </c>
    </row>
    <row r="347" spans="1:3">
      <c r="A347">
        <v>2111051250</v>
      </c>
      <c r="B347" t="s">
        <v>24199</v>
      </c>
      <c r="C347" t="s">
        <v>24200</v>
      </c>
    </row>
    <row r="348" spans="1:3">
      <c r="A348">
        <v>2111061241</v>
      </c>
      <c r="B348" t="s">
        <v>23913</v>
      </c>
      <c r="C348" t="s">
        <v>23914</v>
      </c>
    </row>
    <row r="349" spans="1:3">
      <c r="A349">
        <v>2111068602</v>
      </c>
      <c r="B349" t="s">
        <v>21217</v>
      </c>
      <c r="C349" t="s">
        <v>21216</v>
      </c>
    </row>
    <row r="350" spans="1:3">
      <c r="A350">
        <v>2111231441</v>
      </c>
      <c r="B350" t="s">
        <v>24740</v>
      </c>
      <c r="C350" t="s">
        <v>24741</v>
      </c>
    </row>
    <row r="351" spans="1:3">
      <c r="A351">
        <v>2111238623</v>
      </c>
      <c r="B351" t="s">
        <v>24742</v>
      </c>
      <c r="C351" t="s">
        <v>24743</v>
      </c>
    </row>
    <row r="352" spans="1:3">
      <c r="A352">
        <v>2111238793</v>
      </c>
      <c r="B352" t="s">
        <v>22559</v>
      </c>
      <c r="C352" t="s">
        <v>22560</v>
      </c>
    </row>
    <row r="353" spans="1:3">
      <c r="A353">
        <v>2111239536</v>
      </c>
      <c r="B353" t="s">
        <v>21213</v>
      </c>
      <c r="C353" t="s">
        <v>21212</v>
      </c>
    </row>
    <row r="354" spans="1:3">
      <c r="A354">
        <v>2111239744</v>
      </c>
      <c r="B354" t="s">
        <v>21480</v>
      </c>
      <c r="C354" t="s">
        <v>21481</v>
      </c>
    </row>
    <row r="355" spans="1:3">
      <c r="A355">
        <v>2111239913</v>
      </c>
      <c r="B355" t="s">
        <v>23047</v>
      </c>
      <c r="C355" t="s">
        <v>23048</v>
      </c>
    </row>
    <row r="356" spans="1:3">
      <c r="A356">
        <v>2111261202</v>
      </c>
      <c r="B356" t="s">
        <v>23915</v>
      </c>
      <c r="C356" t="s">
        <v>23916</v>
      </c>
    </row>
    <row r="357" spans="1:3">
      <c r="A357">
        <v>2111268695</v>
      </c>
      <c r="B357" t="s">
        <v>20844</v>
      </c>
      <c r="C357" t="s">
        <v>20843</v>
      </c>
    </row>
    <row r="358" spans="1:3">
      <c r="A358">
        <v>2111269708</v>
      </c>
      <c r="B358" t="s">
        <v>20844</v>
      </c>
      <c r="C358" t="s">
        <v>22472</v>
      </c>
    </row>
    <row r="359" spans="1:3">
      <c r="A359">
        <v>2111269756</v>
      </c>
      <c r="B359" t="s">
        <v>22473</v>
      </c>
      <c r="C359" t="s">
        <v>22474</v>
      </c>
    </row>
    <row r="360" spans="1:3">
      <c r="A360">
        <v>2111309939</v>
      </c>
      <c r="B360" t="s">
        <v>23049</v>
      </c>
      <c r="C360" t="s">
        <v>23050</v>
      </c>
    </row>
    <row r="361" spans="1:3">
      <c r="A361">
        <v>2111781153</v>
      </c>
      <c r="B361" t="s">
        <v>23504</v>
      </c>
      <c r="C361" t="s">
        <v>23505</v>
      </c>
    </row>
    <row r="362" spans="1:3">
      <c r="A362">
        <v>2111781154</v>
      </c>
      <c r="B362" t="s">
        <v>23506</v>
      </c>
      <c r="C362" t="s">
        <v>23507</v>
      </c>
    </row>
    <row r="363" spans="1:3">
      <c r="A363">
        <v>2111851481</v>
      </c>
      <c r="B363" t="s">
        <v>24873</v>
      </c>
      <c r="C363" t="s">
        <v>24874</v>
      </c>
    </row>
    <row r="364" spans="1:3">
      <c r="A364">
        <v>2111858585</v>
      </c>
      <c r="B364" t="s">
        <v>20732</v>
      </c>
      <c r="C364" t="s">
        <v>20731</v>
      </c>
    </row>
    <row r="365" spans="1:3">
      <c r="A365">
        <v>2112061143</v>
      </c>
      <c r="B365" t="s">
        <v>23336</v>
      </c>
      <c r="C365" t="s">
        <v>23337</v>
      </c>
    </row>
    <row r="366" spans="1:3">
      <c r="A366">
        <v>2112061306</v>
      </c>
      <c r="B366" t="s">
        <v>23917</v>
      </c>
      <c r="C366" t="s">
        <v>23918</v>
      </c>
    </row>
    <row r="367" spans="1:3">
      <c r="A367">
        <v>2112585219</v>
      </c>
      <c r="B367" t="s">
        <v>20868</v>
      </c>
      <c r="C367" t="s">
        <v>20867</v>
      </c>
    </row>
    <row r="368" spans="1:3">
      <c r="A368">
        <v>2112589932</v>
      </c>
      <c r="B368" t="s">
        <v>23051</v>
      </c>
      <c r="C368" t="s">
        <v>23052</v>
      </c>
    </row>
    <row r="369" spans="1:3">
      <c r="A369">
        <v>2112868354</v>
      </c>
      <c r="B369" t="s">
        <v>20694</v>
      </c>
      <c r="C369" t="s">
        <v>20693</v>
      </c>
    </row>
    <row r="370" spans="1:3">
      <c r="A370">
        <v>2113017994</v>
      </c>
      <c r="B370" t="s">
        <v>21560</v>
      </c>
      <c r="C370" t="s">
        <v>21561</v>
      </c>
    </row>
    <row r="371" spans="1:3">
      <c r="A371">
        <v>2114070122</v>
      </c>
      <c r="B371" t="s">
        <v>20798</v>
      </c>
      <c r="C371" t="s">
        <v>20797</v>
      </c>
    </row>
    <row r="372" spans="1:3">
      <c r="A372">
        <v>2114070124</v>
      </c>
      <c r="B372" t="s">
        <v>24744</v>
      </c>
      <c r="C372" t="s">
        <v>24745</v>
      </c>
    </row>
    <row r="373" spans="1:3">
      <c r="A373">
        <v>2114071219</v>
      </c>
      <c r="B373" t="s">
        <v>23919</v>
      </c>
      <c r="C373" t="s">
        <v>23920</v>
      </c>
    </row>
    <row r="374" spans="1:3">
      <c r="A374">
        <v>2114071446</v>
      </c>
      <c r="B374" t="s">
        <v>24875</v>
      </c>
      <c r="C374" t="s">
        <v>24876</v>
      </c>
    </row>
    <row r="375" spans="1:3">
      <c r="A375">
        <v>2114072480</v>
      </c>
      <c r="B375" t="s">
        <v>24877</v>
      </c>
      <c r="C375" t="s">
        <v>20665</v>
      </c>
    </row>
    <row r="376" spans="1:3">
      <c r="A376">
        <v>2114072775</v>
      </c>
      <c r="B376" t="s">
        <v>21482</v>
      </c>
      <c r="C376" t="s">
        <v>21483</v>
      </c>
    </row>
    <row r="377" spans="1:3">
      <c r="A377">
        <v>2114074210</v>
      </c>
      <c r="B377" t="s">
        <v>23921</v>
      </c>
      <c r="C377" t="s">
        <v>23922</v>
      </c>
    </row>
    <row r="378" spans="1:3">
      <c r="A378">
        <v>2114074224</v>
      </c>
      <c r="B378" t="s">
        <v>23508</v>
      </c>
      <c r="C378" t="s">
        <v>23509</v>
      </c>
    </row>
    <row r="379" spans="1:3">
      <c r="A379">
        <v>2114075058</v>
      </c>
      <c r="B379" t="s">
        <v>23338</v>
      </c>
      <c r="C379" t="s">
        <v>23339</v>
      </c>
    </row>
    <row r="380" spans="1:3">
      <c r="A380">
        <v>2114077345</v>
      </c>
      <c r="B380" t="s">
        <v>20704</v>
      </c>
      <c r="C380" t="s">
        <v>20703</v>
      </c>
    </row>
    <row r="381" spans="1:3">
      <c r="A381">
        <v>2114078439</v>
      </c>
      <c r="B381" t="s">
        <v>23510</v>
      </c>
      <c r="C381" t="s">
        <v>23511</v>
      </c>
    </row>
    <row r="382" spans="1:3">
      <c r="A382">
        <v>2114078440</v>
      </c>
      <c r="B382" t="s">
        <v>23689</v>
      </c>
      <c r="C382" t="s">
        <v>23690</v>
      </c>
    </row>
    <row r="383" spans="1:3">
      <c r="A383">
        <v>2114078575</v>
      </c>
      <c r="B383" t="s">
        <v>20779</v>
      </c>
      <c r="C383" t="s">
        <v>20778</v>
      </c>
    </row>
    <row r="384" spans="1:3">
      <c r="A384">
        <v>2114078601</v>
      </c>
      <c r="B384" t="s">
        <v>21219</v>
      </c>
      <c r="C384" t="s">
        <v>21218</v>
      </c>
    </row>
    <row r="385" spans="1:3">
      <c r="A385">
        <v>2114079037</v>
      </c>
      <c r="B385" t="s">
        <v>20908</v>
      </c>
      <c r="C385" t="s">
        <v>20907</v>
      </c>
    </row>
    <row r="386" spans="1:3">
      <c r="A386">
        <v>2114079648</v>
      </c>
      <c r="B386" t="s">
        <v>21804</v>
      </c>
      <c r="C386" t="s">
        <v>21805</v>
      </c>
    </row>
    <row r="387" spans="1:3">
      <c r="A387">
        <v>2114079899</v>
      </c>
      <c r="B387" t="s">
        <v>22768</v>
      </c>
      <c r="C387" t="s">
        <v>22769</v>
      </c>
    </row>
    <row r="388" spans="1:3">
      <c r="A388">
        <v>2114085220</v>
      </c>
      <c r="B388" t="s">
        <v>23053</v>
      </c>
      <c r="C388" t="s">
        <v>23054</v>
      </c>
    </row>
    <row r="389" spans="1:3">
      <c r="A389">
        <v>2114085950</v>
      </c>
      <c r="B389" t="s">
        <v>23923</v>
      </c>
      <c r="C389" t="s">
        <v>23924</v>
      </c>
    </row>
    <row r="390" spans="1:3">
      <c r="A390">
        <v>2115011053</v>
      </c>
      <c r="B390" t="s">
        <v>23925</v>
      </c>
      <c r="C390" t="s">
        <v>23926</v>
      </c>
    </row>
    <row r="391" spans="1:3">
      <c r="A391">
        <v>2115011054</v>
      </c>
      <c r="B391" t="s">
        <v>24201</v>
      </c>
      <c r="C391" t="s">
        <v>24202</v>
      </c>
    </row>
    <row r="392" spans="1:3">
      <c r="A392">
        <v>2115011055</v>
      </c>
      <c r="B392" t="s">
        <v>24203</v>
      </c>
      <c r="C392" t="s">
        <v>24204</v>
      </c>
    </row>
    <row r="393" spans="1:3">
      <c r="A393">
        <v>2115011089</v>
      </c>
      <c r="B393" t="s">
        <v>24205</v>
      </c>
      <c r="C393" t="s">
        <v>24206</v>
      </c>
    </row>
    <row r="394" spans="1:3">
      <c r="A394">
        <v>2115011090</v>
      </c>
      <c r="B394" t="s">
        <v>24207</v>
      </c>
      <c r="C394" t="s">
        <v>24208</v>
      </c>
    </row>
    <row r="395" spans="1:3">
      <c r="A395">
        <v>2115011091</v>
      </c>
      <c r="B395" t="s">
        <v>24209</v>
      </c>
      <c r="C395" t="s">
        <v>24210</v>
      </c>
    </row>
    <row r="396" spans="1:3">
      <c r="A396">
        <v>2115011218</v>
      </c>
      <c r="B396" t="s">
        <v>23927</v>
      </c>
      <c r="C396" t="s">
        <v>23928</v>
      </c>
    </row>
    <row r="397" spans="1:3">
      <c r="A397">
        <v>2115012309</v>
      </c>
      <c r="B397" t="s">
        <v>21724</v>
      </c>
      <c r="C397" t="s">
        <v>21806</v>
      </c>
    </row>
    <row r="398" spans="1:3">
      <c r="A398">
        <v>2115012372</v>
      </c>
      <c r="B398" t="s">
        <v>21724</v>
      </c>
      <c r="C398" t="s">
        <v>21807</v>
      </c>
    </row>
    <row r="399" spans="1:3">
      <c r="A399">
        <v>2115012833</v>
      </c>
      <c r="B399" t="s">
        <v>23215</v>
      </c>
      <c r="C399" t="s">
        <v>21809</v>
      </c>
    </row>
    <row r="400" spans="1:3">
      <c r="A400">
        <v>2115012980</v>
      </c>
      <c r="B400" t="s">
        <v>23216</v>
      </c>
      <c r="C400" t="s">
        <v>21810</v>
      </c>
    </row>
    <row r="401" spans="1:3">
      <c r="A401">
        <v>2115013767</v>
      </c>
      <c r="B401" t="s">
        <v>21118</v>
      </c>
      <c r="C401" t="s">
        <v>21117</v>
      </c>
    </row>
    <row r="402" spans="1:3">
      <c r="A402">
        <v>2115015214</v>
      </c>
      <c r="B402" t="s">
        <v>21811</v>
      </c>
      <c r="C402" t="s">
        <v>21812</v>
      </c>
    </row>
    <row r="403" spans="1:3">
      <c r="A403">
        <v>2115015224</v>
      </c>
      <c r="B403" t="s">
        <v>21724</v>
      </c>
      <c r="C403" t="s">
        <v>21813</v>
      </c>
    </row>
    <row r="404" spans="1:3">
      <c r="A404">
        <v>2115015228</v>
      </c>
      <c r="B404" t="s">
        <v>21811</v>
      </c>
      <c r="C404" t="s">
        <v>21814</v>
      </c>
    </row>
    <row r="405" spans="1:3">
      <c r="A405">
        <v>2115015235</v>
      </c>
      <c r="B405" t="s">
        <v>21724</v>
      </c>
      <c r="C405" t="s">
        <v>21815</v>
      </c>
    </row>
    <row r="406" spans="1:3">
      <c r="A406">
        <v>2115015238</v>
      </c>
      <c r="B406" t="s">
        <v>21811</v>
      </c>
      <c r="C406" t="s">
        <v>21816</v>
      </c>
    </row>
    <row r="407" spans="1:3">
      <c r="A407">
        <v>2115015253</v>
      </c>
      <c r="B407" t="s">
        <v>21724</v>
      </c>
      <c r="C407" t="s">
        <v>21817</v>
      </c>
    </row>
    <row r="408" spans="1:3">
      <c r="A408">
        <v>2115015948</v>
      </c>
      <c r="B408" t="s">
        <v>21811</v>
      </c>
      <c r="C408" t="s">
        <v>21818</v>
      </c>
    </row>
    <row r="409" spans="1:3">
      <c r="A409">
        <v>2115019600</v>
      </c>
      <c r="B409" t="s">
        <v>20770</v>
      </c>
      <c r="C409" t="s">
        <v>20769</v>
      </c>
    </row>
    <row r="410" spans="1:3">
      <c r="A410">
        <v>2115019657</v>
      </c>
      <c r="B410" t="s">
        <v>21819</v>
      </c>
      <c r="C410" t="s">
        <v>21820</v>
      </c>
    </row>
    <row r="411" spans="1:3">
      <c r="A411">
        <v>2115021170</v>
      </c>
      <c r="B411" t="s">
        <v>23691</v>
      </c>
      <c r="C411" t="s">
        <v>23692</v>
      </c>
    </row>
    <row r="412" spans="1:3">
      <c r="A412">
        <v>2115021339</v>
      </c>
      <c r="B412" t="s">
        <v>24500</v>
      </c>
      <c r="C412" t="s">
        <v>24501</v>
      </c>
    </row>
    <row r="413" spans="1:3">
      <c r="A413">
        <v>2115021340</v>
      </c>
      <c r="B413" t="s">
        <v>24502</v>
      </c>
      <c r="C413" t="s">
        <v>24503</v>
      </c>
    </row>
    <row r="414" spans="1:3">
      <c r="A414">
        <v>2115023678</v>
      </c>
      <c r="B414" t="s">
        <v>23929</v>
      </c>
      <c r="C414" t="s">
        <v>23930</v>
      </c>
    </row>
    <row r="415" spans="1:3">
      <c r="A415">
        <v>2115026551</v>
      </c>
      <c r="B415" t="s">
        <v>21821</v>
      </c>
      <c r="C415" t="s">
        <v>21822</v>
      </c>
    </row>
    <row r="416" spans="1:3">
      <c r="A416">
        <v>2115026552</v>
      </c>
      <c r="B416" t="s">
        <v>21306</v>
      </c>
      <c r="C416" t="s">
        <v>21307</v>
      </c>
    </row>
    <row r="417" spans="1:3">
      <c r="A417">
        <v>2115028616</v>
      </c>
      <c r="B417" t="s">
        <v>21308</v>
      </c>
      <c r="C417" t="s">
        <v>21309</v>
      </c>
    </row>
    <row r="418" spans="1:3">
      <c r="A418">
        <v>2115029891</v>
      </c>
      <c r="B418" t="s">
        <v>23055</v>
      </c>
      <c r="C418" t="s">
        <v>23056</v>
      </c>
    </row>
    <row r="419" spans="1:3">
      <c r="A419">
        <v>2115029916</v>
      </c>
      <c r="B419" t="s">
        <v>23057</v>
      </c>
      <c r="C419" t="s">
        <v>23058</v>
      </c>
    </row>
    <row r="420" spans="1:3">
      <c r="A420">
        <v>2115030452</v>
      </c>
      <c r="B420" t="s">
        <v>24504</v>
      </c>
      <c r="C420" t="s">
        <v>24505</v>
      </c>
    </row>
    <row r="421" spans="1:3">
      <c r="A421">
        <v>2115031221</v>
      </c>
      <c r="B421" t="s">
        <v>23931</v>
      </c>
      <c r="C421" t="s">
        <v>23932</v>
      </c>
    </row>
    <row r="422" spans="1:3">
      <c r="A422">
        <v>2115031222</v>
      </c>
      <c r="B422" t="s">
        <v>23933</v>
      </c>
      <c r="C422" t="s">
        <v>23934</v>
      </c>
    </row>
    <row r="423" spans="1:3">
      <c r="A423">
        <v>2115031223</v>
      </c>
      <c r="B423" t="s">
        <v>23935</v>
      </c>
      <c r="C423" t="s">
        <v>23936</v>
      </c>
    </row>
    <row r="424" spans="1:3">
      <c r="A424">
        <v>2115031224</v>
      </c>
      <c r="B424" t="s">
        <v>23937</v>
      </c>
      <c r="C424" t="s">
        <v>23938</v>
      </c>
    </row>
    <row r="425" spans="1:3">
      <c r="A425">
        <v>2115031225</v>
      </c>
      <c r="B425" t="s">
        <v>23939</v>
      </c>
      <c r="C425" t="s">
        <v>23940</v>
      </c>
    </row>
    <row r="426" spans="1:3">
      <c r="A426">
        <v>2115031226</v>
      </c>
      <c r="B426" t="s">
        <v>23941</v>
      </c>
      <c r="C426" t="s">
        <v>23942</v>
      </c>
    </row>
    <row r="427" spans="1:3">
      <c r="A427">
        <v>2115031227</v>
      </c>
      <c r="B427" t="s">
        <v>23943</v>
      </c>
      <c r="C427" t="s">
        <v>23944</v>
      </c>
    </row>
    <row r="428" spans="1:3">
      <c r="A428">
        <v>2115031259</v>
      </c>
      <c r="B428" t="s">
        <v>24211</v>
      </c>
      <c r="C428" t="s">
        <v>24212</v>
      </c>
    </row>
    <row r="429" spans="1:3">
      <c r="A429">
        <v>2115032464</v>
      </c>
      <c r="B429" t="s">
        <v>24506</v>
      </c>
      <c r="C429" t="s">
        <v>21002</v>
      </c>
    </row>
    <row r="430" spans="1:3">
      <c r="A430">
        <v>2115035266</v>
      </c>
      <c r="B430" t="s">
        <v>23945</v>
      </c>
      <c r="C430" t="s">
        <v>23946</v>
      </c>
    </row>
    <row r="431" spans="1:3">
      <c r="A431">
        <v>2115036414</v>
      </c>
      <c r="B431" t="s">
        <v>20728</v>
      </c>
      <c r="C431" t="s">
        <v>20727</v>
      </c>
    </row>
    <row r="432" spans="1:3">
      <c r="A432">
        <v>2115036415</v>
      </c>
      <c r="B432" t="s">
        <v>20730</v>
      </c>
      <c r="C432" t="s">
        <v>20729</v>
      </c>
    </row>
    <row r="433" spans="1:3">
      <c r="A433">
        <v>2115038580</v>
      </c>
      <c r="B433" t="s">
        <v>20669</v>
      </c>
      <c r="C433" t="s">
        <v>20668</v>
      </c>
    </row>
    <row r="434" spans="1:3">
      <c r="A434">
        <v>2115041361</v>
      </c>
      <c r="B434" t="s">
        <v>24507</v>
      </c>
      <c r="C434" t="s">
        <v>24508</v>
      </c>
    </row>
    <row r="435" spans="1:3">
      <c r="A435">
        <v>2115052438</v>
      </c>
      <c r="B435" t="s">
        <v>23217</v>
      </c>
      <c r="C435" t="s">
        <v>21823</v>
      </c>
    </row>
    <row r="436" spans="1:3">
      <c r="A436">
        <v>2115059618</v>
      </c>
      <c r="B436" t="s">
        <v>21824</v>
      </c>
      <c r="C436" t="s">
        <v>21825</v>
      </c>
    </row>
    <row r="437" spans="1:3">
      <c r="A437">
        <v>2115061015</v>
      </c>
      <c r="B437" t="s">
        <v>23059</v>
      </c>
      <c r="C437" t="s">
        <v>23060</v>
      </c>
    </row>
    <row r="438" spans="1:3">
      <c r="A438">
        <v>2115066258</v>
      </c>
      <c r="B438" t="s">
        <v>21484</v>
      </c>
      <c r="C438" t="s">
        <v>21209</v>
      </c>
    </row>
    <row r="439" spans="1:3">
      <c r="A439">
        <v>2115066424</v>
      </c>
      <c r="B439" t="s">
        <v>22475</v>
      </c>
      <c r="C439" t="s">
        <v>22476</v>
      </c>
    </row>
    <row r="440" spans="1:3">
      <c r="A440">
        <v>2115067026</v>
      </c>
      <c r="B440" t="s">
        <v>24509</v>
      </c>
      <c r="C440" t="s">
        <v>24510</v>
      </c>
    </row>
    <row r="441" spans="1:3">
      <c r="A441">
        <v>2115068545</v>
      </c>
      <c r="B441" t="s">
        <v>20718</v>
      </c>
      <c r="C441" t="s">
        <v>20717</v>
      </c>
    </row>
    <row r="442" spans="1:3">
      <c r="A442">
        <v>2115068550</v>
      </c>
      <c r="B442" t="s">
        <v>20932</v>
      </c>
      <c r="C442" t="s">
        <v>20931</v>
      </c>
    </row>
    <row r="443" spans="1:3">
      <c r="A443">
        <v>2115068551</v>
      </c>
      <c r="B443" t="s">
        <v>20934</v>
      </c>
      <c r="C443" t="s">
        <v>20933</v>
      </c>
    </row>
    <row r="444" spans="1:3">
      <c r="A444">
        <v>2115068619</v>
      </c>
      <c r="B444" t="s">
        <v>21188</v>
      </c>
      <c r="C444" t="s">
        <v>21187</v>
      </c>
    </row>
    <row r="445" spans="1:3">
      <c r="A445">
        <v>2115068629</v>
      </c>
      <c r="B445" t="s">
        <v>21149</v>
      </c>
      <c r="C445" t="s">
        <v>21148</v>
      </c>
    </row>
    <row r="446" spans="1:3">
      <c r="A446">
        <v>2115069326</v>
      </c>
      <c r="B446" t="s">
        <v>22770</v>
      </c>
      <c r="C446" t="s">
        <v>22771</v>
      </c>
    </row>
    <row r="447" spans="1:3">
      <c r="A447">
        <v>2115108588</v>
      </c>
      <c r="B447" t="s">
        <v>21120</v>
      </c>
      <c r="C447" t="s">
        <v>21119</v>
      </c>
    </row>
    <row r="448" spans="1:3">
      <c r="A448">
        <v>2115155826</v>
      </c>
      <c r="B448" t="s">
        <v>23947</v>
      </c>
      <c r="C448" t="s">
        <v>23948</v>
      </c>
    </row>
    <row r="449" spans="1:3">
      <c r="A449">
        <v>2115188810</v>
      </c>
      <c r="B449" t="s">
        <v>21562</v>
      </c>
      <c r="C449" t="s">
        <v>21563</v>
      </c>
    </row>
    <row r="450" spans="1:3">
      <c r="A450">
        <v>2115289283</v>
      </c>
      <c r="B450" t="s">
        <v>21206</v>
      </c>
      <c r="C450" t="s">
        <v>21205</v>
      </c>
    </row>
    <row r="451" spans="1:3">
      <c r="A451">
        <v>2115471144</v>
      </c>
      <c r="B451" t="s">
        <v>23340</v>
      </c>
      <c r="C451" t="s">
        <v>23341</v>
      </c>
    </row>
    <row r="452" spans="1:3">
      <c r="A452">
        <v>2115479723</v>
      </c>
      <c r="B452" t="s">
        <v>21384</v>
      </c>
      <c r="C452" t="s">
        <v>21385</v>
      </c>
    </row>
    <row r="453" spans="1:3">
      <c r="A453">
        <v>2115501207</v>
      </c>
      <c r="B453" t="s">
        <v>23949</v>
      </c>
      <c r="C453" t="s">
        <v>23950</v>
      </c>
    </row>
    <row r="454" spans="1:3">
      <c r="A454">
        <v>2115709705</v>
      </c>
      <c r="B454" t="s">
        <v>21564</v>
      </c>
      <c r="C454" t="s">
        <v>21565</v>
      </c>
    </row>
    <row r="455" spans="1:3">
      <c r="A455">
        <v>2115709755</v>
      </c>
      <c r="B455" t="s">
        <v>21826</v>
      </c>
      <c r="C455" t="s">
        <v>21827</v>
      </c>
    </row>
    <row r="456" spans="1:3">
      <c r="A456">
        <v>2115762167</v>
      </c>
      <c r="B456" t="s">
        <v>21828</v>
      </c>
      <c r="C456" t="s">
        <v>21829</v>
      </c>
    </row>
    <row r="457" spans="1:3">
      <c r="A457">
        <v>2115851351</v>
      </c>
      <c r="B457" t="s">
        <v>24511</v>
      </c>
      <c r="C457" t="s">
        <v>24512</v>
      </c>
    </row>
    <row r="458" spans="1:3">
      <c r="A458">
        <v>2115851414</v>
      </c>
      <c r="B458" t="s">
        <v>24746</v>
      </c>
      <c r="C458" t="s">
        <v>24747</v>
      </c>
    </row>
    <row r="459" spans="1:3">
      <c r="A459">
        <v>2115851415</v>
      </c>
      <c r="B459" t="s">
        <v>24748</v>
      </c>
      <c r="C459" t="s">
        <v>24749</v>
      </c>
    </row>
    <row r="460" spans="1:3">
      <c r="A460">
        <v>2115851416</v>
      </c>
      <c r="B460" t="s">
        <v>24750</v>
      </c>
      <c r="C460" t="s">
        <v>24751</v>
      </c>
    </row>
    <row r="461" spans="1:3">
      <c r="A461">
        <v>2115868597</v>
      </c>
      <c r="B461" t="s">
        <v>21231</v>
      </c>
      <c r="C461" t="s">
        <v>21230</v>
      </c>
    </row>
    <row r="462" spans="1:3">
      <c r="A462">
        <v>2115868640</v>
      </c>
      <c r="B462" t="s">
        <v>21171</v>
      </c>
      <c r="C462" t="s">
        <v>21170</v>
      </c>
    </row>
    <row r="463" spans="1:3">
      <c r="A463">
        <v>2115868645</v>
      </c>
      <c r="B463" t="s">
        <v>21229</v>
      </c>
      <c r="C463" t="s">
        <v>21228</v>
      </c>
    </row>
    <row r="464" spans="1:3">
      <c r="A464">
        <v>2117011350</v>
      </c>
      <c r="B464" t="s">
        <v>24752</v>
      </c>
      <c r="C464" t="s">
        <v>24753</v>
      </c>
    </row>
    <row r="465" spans="1:3">
      <c r="A465">
        <v>2117022312</v>
      </c>
      <c r="B465" t="s">
        <v>21830</v>
      </c>
      <c r="C465" t="s">
        <v>21831</v>
      </c>
    </row>
    <row r="466" spans="1:3">
      <c r="A466">
        <v>2118041920</v>
      </c>
      <c r="B466" t="s">
        <v>21310</v>
      </c>
      <c r="C466" t="s">
        <v>21311</v>
      </c>
    </row>
    <row r="467" spans="1:3">
      <c r="A467">
        <v>2120011419</v>
      </c>
      <c r="B467" t="s">
        <v>24754</v>
      </c>
      <c r="C467" t="s">
        <v>24755</v>
      </c>
    </row>
    <row r="468" spans="1:3">
      <c r="A468">
        <v>2120029634</v>
      </c>
      <c r="B468" t="s">
        <v>21832</v>
      </c>
      <c r="C468" t="s">
        <v>21833</v>
      </c>
    </row>
    <row r="469" spans="1:3">
      <c r="A469">
        <v>2120029889</v>
      </c>
      <c r="B469" t="s">
        <v>23061</v>
      </c>
      <c r="C469" t="s">
        <v>23062</v>
      </c>
    </row>
    <row r="470" spans="1:3">
      <c r="A470">
        <v>2120038552</v>
      </c>
      <c r="B470" t="s">
        <v>20928</v>
      </c>
      <c r="C470" t="s">
        <v>20927</v>
      </c>
    </row>
    <row r="471" spans="1:3">
      <c r="A471">
        <v>2120038553</v>
      </c>
      <c r="B471" t="s">
        <v>20926</v>
      </c>
      <c r="C471" t="s">
        <v>20925</v>
      </c>
    </row>
    <row r="472" spans="1:3">
      <c r="A472">
        <v>2120038554</v>
      </c>
      <c r="B472" t="s">
        <v>20924</v>
      </c>
      <c r="C472" t="s">
        <v>20923</v>
      </c>
    </row>
    <row r="473" spans="1:3">
      <c r="A473">
        <v>2120051190</v>
      </c>
      <c r="B473" t="s">
        <v>23951</v>
      </c>
      <c r="C473" t="s">
        <v>23952</v>
      </c>
    </row>
    <row r="474" spans="1:3">
      <c r="A474">
        <v>2120052812</v>
      </c>
      <c r="B474" t="s">
        <v>21034</v>
      </c>
      <c r="C474" t="s">
        <v>21033</v>
      </c>
    </row>
    <row r="475" spans="1:3">
      <c r="A475">
        <v>2120059696</v>
      </c>
      <c r="B475" t="s">
        <v>20814</v>
      </c>
      <c r="C475" t="s">
        <v>20813</v>
      </c>
    </row>
    <row r="476" spans="1:3">
      <c r="A476">
        <v>2120059936</v>
      </c>
      <c r="B476" t="s">
        <v>23063</v>
      </c>
      <c r="C476" t="s">
        <v>23064</v>
      </c>
    </row>
    <row r="477" spans="1:3">
      <c r="A477">
        <v>2120121467</v>
      </c>
      <c r="B477" t="s">
        <v>24878</v>
      </c>
      <c r="C477" t="s">
        <v>24879</v>
      </c>
    </row>
    <row r="478" spans="1:3">
      <c r="A478">
        <v>2121011182</v>
      </c>
      <c r="B478" t="s">
        <v>23953</v>
      </c>
      <c r="C478" t="s">
        <v>23954</v>
      </c>
    </row>
    <row r="479" spans="1:3">
      <c r="A479">
        <v>2121011692</v>
      </c>
      <c r="B479" t="s">
        <v>23065</v>
      </c>
      <c r="C479" t="s">
        <v>23066</v>
      </c>
    </row>
    <row r="480" spans="1:3">
      <c r="A480">
        <v>2121011778</v>
      </c>
      <c r="B480" t="s">
        <v>20688</v>
      </c>
      <c r="C480" t="s">
        <v>20687</v>
      </c>
    </row>
    <row r="481" spans="1:3">
      <c r="A481">
        <v>2121017007</v>
      </c>
      <c r="B481" t="s">
        <v>20796</v>
      </c>
      <c r="C481" t="s">
        <v>20795</v>
      </c>
    </row>
    <row r="482" spans="1:3">
      <c r="A482">
        <v>2121019725</v>
      </c>
      <c r="B482" t="s">
        <v>21485</v>
      </c>
      <c r="C482" t="s">
        <v>21486</v>
      </c>
    </row>
    <row r="483" spans="1:3">
      <c r="A483">
        <v>2121019749</v>
      </c>
      <c r="B483" t="s">
        <v>23067</v>
      </c>
      <c r="C483" t="s">
        <v>23068</v>
      </c>
    </row>
    <row r="484" spans="1:3">
      <c r="A484">
        <v>2121021188</v>
      </c>
      <c r="B484" t="s">
        <v>23955</v>
      </c>
      <c r="C484" t="s">
        <v>23956</v>
      </c>
    </row>
    <row r="485" spans="1:3">
      <c r="A485">
        <v>2121021189</v>
      </c>
      <c r="B485" t="s">
        <v>23957</v>
      </c>
      <c r="C485" t="s">
        <v>23958</v>
      </c>
    </row>
    <row r="486" spans="1:3">
      <c r="A486">
        <v>2121028632</v>
      </c>
      <c r="B486" t="s">
        <v>20690</v>
      </c>
      <c r="C486" t="s">
        <v>20689</v>
      </c>
    </row>
    <row r="487" spans="1:3">
      <c r="A487">
        <v>2121029577</v>
      </c>
      <c r="B487" t="s">
        <v>21834</v>
      </c>
      <c r="C487" t="s">
        <v>21835</v>
      </c>
    </row>
    <row r="488" spans="1:3">
      <c r="A488">
        <v>2121029889</v>
      </c>
      <c r="B488" t="s">
        <v>23069</v>
      </c>
      <c r="C488" t="s">
        <v>23070</v>
      </c>
    </row>
    <row r="489" spans="1:3">
      <c r="A489">
        <v>2121048632</v>
      </c>
      <c r="B489" t="s">
        <v>21169</v>
      </c>
      <c r="C489" t="s">
        <v>21168</v>
      </c>
    </row>
    <row r="490" spans="1:3">
      <c r="A490">
        <v>2121048633</v>
      </c>
      <c r="B490" t="s">
        <v>21167</v>
      </c>
      <c r="C490" t="s">
        <v>21166</v>
      </c>
    </row>
    <row r="491" spans="1:3">
      <c r="A491">
        <v>2121049654</v>
      </c>
      <c r="B491" t="s">
        <v>21184</v>
      </c>
      <c r="C491" t="s">
        <v>21183</v>
      </c>
    </row>
    <row r="492" spans="1:3">
      <c r="A492">
        <v>2121049747</v>
      </c>
      <c r="B492" t="s">
        <v>21836</v>
      </c>
      <c r="C492" t="s">
        <v>21837</v>
      </c>
    </row>
    <row r="493" spans="1:3">
      <c r="A493">
        <v>2121049750</v>
      </c>
      <c r="B493" t="s">
        <v>21838</v>
      </c>
      <c r="C493" t="s">
        <v>21839</v>
      </c>
    </row>
    <row r="494" spans="1:3">
      <c r="A494">
        <v>2121061437</v>
      </c>
      <c r="B494" t="s">
        <v>24880</v>
      </c>
      <c r="C494" t="s">
        <v>24881</v>
      </c>
    </row>
    <row r="495" spans="1:3">
      <c r="A495">
        <v>2121061439</v>
      </c>
      <c r="B495" t="s">
        <v>24882</v>
      </c>
      <c r="C495" t="s">
        <v>24883</v>
      </c>
    </row>
    <row r="496" spans="1:3">
      <c r="A496">
        <v>2122048702</v>
      </c>
      <c r="B496" t="s">
        <v>23693</v>
      </c>
      <c r="C496" t="s">
        <v>23694</v>
      </c>
    </row>
    <row r="497" spans="1:3">
      <c r="A497">
        <v>2122101438</v>
      </c>
      <c r="B497" t="s">
        <v>24884</v>
      </c>
      <c r="C497" t="s">
        <v>24885</v>
      </c>
    </row>
    <row r="498" spans="1:3">
      <c r="A498">
        <v>2122101440</v>
      </c>
      <c r="B498" t="s">
        <v>24886</v>
      </c>
      <c r="C498" t="s">
        <v>24887</v>
      </c>
    </row>
    <row r="499" spans="1:3">
      <c r="A499">
        <v>2150821055</v>
      </c>
      <c r="B499" t="s">
        <v>21840</v>
      </c>
      <c r="C499" t="s">
        <v>21841</v>
      </c>
    </row>
    <row r="500" spans="1:3">
      <c r="A500">
        <v>2150821062</v>
      </c>
      <c r="B500" t="s">
        <v>21842</v>
      </c>
      <c r="C500" t="s">
        <v>21843</v>
      </c>
    </row>
    <row r="501" spans="1:3">
      <c r="A501">
        <v>2150821064</v>
      </c>
      <c r="B501" t="s">
        <v>21844</v>
      </c>
      <c r="C501" t="s">
        <v>21845</v>
      </c>
    </row>
    <row r="502" spans="1:3">
      <c r="A502">
        <v>2150822773</v>
      </c>
      <c r="B502" t="s">
        <v>21846</v>
      </c>
      <c r="C502" t="s">
        <v>21847</v>
      </c>
    </row>
    <row r="503" spans="1:3">
      <c r="A503">
        <v>2161221352</v>
      </c>
      <c r="B503" t="s">
        <v>24888</v>
      </c>
      <c r="C503" t="s">
        <v>24213</v>
      </c>
    </row>
    <row r="504" spans="1:3">
      <c r="A504">
        <v>2161221453</v>
      </c>
      <c r="B504" t="s">
        <v>24889</v>
      </c>
      <c r="C504" t="s">
        <v>24890</v>
      </c>
    </row>
    <row r="505" spans="1:3">
      <c r="A505">
        <v>2161221456</v>
      </c>
      <c r="B505" t="s">
        <v>24891</v>
      </c>
      <c r="C505" t="s">
        <v>24892</v>
      </c>
    </row>
    <row r="506" spans="1:3">
      <c r="A506">
        <v>2161221457</v>
      </c>
      <c r="B506" t="s">
        <v>24893</v>
      </c>
      <c r="C506" t="s">
        <v>24894</v>
      </c>
    </row>
    <row r="507" spans="1:3">
      <c r="A507">
        <v>2161225327</v>
      </c>
      <c r="B507" t="s">
        <v>23959</v>
      </c>
      <c r="C507" t="s">
        <v>20566</v>
      </c>
    </row>
    <row r="508" spans="1:3">
      <c r="A508">
        <v>2161225328</v>
      </c>
      <c r="B508" t="s">
        <v>20565</v>
      </c>
      <c r="C508" t="s">
        <v>20564</v>
      </c>
    </row>
    <row r="509" spans="1:3">
      <c r="A509">
        <v>2161225329</v>
      </c>
      <c r="B509" t="s">
        <v>23959</v>
      </c>
      <c r="C509" t="s">
        <v>20563</v>
      </c>
    </row>
    <row r="510" spans="1:3">
      <c r="A510">
        <v>2161225897</v>
      </c>
      <c r="B510" t="s">
        <v>20562</v>
      </c>
      <c r="C510" t="s">
        <v>20561</v>
      </c>
    </row>
    <row r="511" spans="1:3">
      <c r="A511">
        <v>2161225898</v>
      </c>
      <c r="B511" t="s">
        <v>20560</v>
      </c>
      <c r="C511" t="s">
        <v>20559</v>
      </c>
    </row>
    <row r="512" spans="1:3">
      <c r="A512">
        <v>2161225899</v>
      </c>
      <c r="B512" t="s">
        <v>20558</v>
      </c>
      <c r="C512" t="s">
        <v>20557</v>
      </c>
    </row>
    <row r="513" spans="1:3">
      <c r="A513">
        <v>2161225900</v>
      </c>
      <c r="B513" t="s">
        <v>23960</v>
      </c>
      <c r="C513" t="s">
        <v>20556</v>
      </c>
    </row>
    <row r="514" spans="1:3">
      <c r="A514">
        <v>2161225901</v>
      </c>
      <c r="B514" t="s">
        <v>23960</v>
      </c>
      <c r="C514" t="s">
        <v>20555</v>
      </c>
    </row>
    <row r="515" spans="1:3">
      <c r="A515">
        <v>2161225902</v>
      </c>
      <c r="B515" t="s">
        <v>20554</v>
      </c>
      <c r="C515" t="s">
        <v>20553</v>
      </c>
    </row>
    <row r="516" spans="1:3">
      <c r="A516">
        <v>2161229639</v>
      </c>
      <c r="B516" t="s">
        <v>21848</v>
      </c>
      <c r="C516" t="s">
        <v>21849</v>
      </c>
    </row>
    <row r="517" spans="1:3">
      <c r="A517">
        <v>2201021020</v>
      </c>
      <c r="B517" t="s">
        <v>23071</v>
      </c>
      <c r="C517" t="s">
        <v>23072</v>
      </c>
    </row>
    <row r="518" spans="1:3">
      <c r="A518">
        <v>2201021164</v>
      </c>
      <c r="B518" t="s">
        <v>23512</v>
      </c>
      <c r="C518" t="s">
        <v>23513</v>
      </c>
    </row>
    <row r="519" spans="1:3">
      <c r="A519">
        <v>2201021216</v>
      </c>
      <c r="B519" t="s">
        <v>23961</v>
      </c>
      <c r="C519" t="s">
        <v>23962</v>
      </c>
    </row>
    <row r="520" spans="1:3">
      <c r="A520">
        <v>2201021221</v>
      </c>
      <c r="B520" t="s">
        <v>23963</v>
      </c>
      <c r="C520" t="s">
        <v>23964</v>
      </c>
    </row>
    <row r="521" spans="1:3">
      <c r="A521">
        <v>2201021364</v>
      </c>
      <c r="B521" t="s">
        <v>24895</v>
      </c>
      <c r="C521" t="s">
        <v>24896</v>
      </c>
    </row>
    <row r="522" spans="1:3">
      <c r="A522">
        <v>2201021365</v>
      </c>
      <c r="B522" t="s">
        <v>24897</v>
      </c>
      <c r="C522" t="s">
        <v>24898</v>
      </c>
    </row>
    <row r="523" spans="1:3">
      <c r="A523">
        <v>2201021366</v>
      </c>
      <c r="B523" t="s">
        <v>24899</v>
      </c>
      <c r="C523" t="s">
        <v>24513</v>
      </c>
    </row>
    <row r="524" spans="1:3">
      <c r="A524">
        <v>2201021367</v>
      </c>
      <c r="B524" t="s">
        <v>24900</v>
      </c>
      <c r="C524" t="s">
        <v>24514</v>
      </c>
    </row>
    <row r="525" spans="1:3">
      <c r="A525">
        <v>2201021368</v>
      </c>
      <c r="B525" t="s">
        <v>24515</v>
      </c>
      <c r="C525" t="s">
        <v>24516</v>
      </c>
    </row>
    <row r="526" spans="1:3">
      <c r="A526">
        <v>2201021432</v>
      </c>
      <c r="B526" t="s">
        <v>24756</v>
      </c>
      <c r="C526" t="s">
        <v>24757</v>
      </c>
    </row>
    <row r="527" spans="1:3">
      <c r="A527">
        <v>2201021433</v>
      </c>
      <c r="B527" t="s">
        <v>24758</v>
      </c>
      <c r="C527" t="s">
        <v>24759</v>
      </c>
    </row>
    <row r="528" spans="1:3">
      <c r="A528">
        <v>2201021434</v>
      </c>
      <c r="B528" t="s">
        <v>24760</v>
      </c>
      <c r="C528" t="s">
        <v>24761</v>
      </c>
    </row>
    <row r="529" spans="1:3">
      <c r="A529">
        <v>2201022431</v>
      </c>
      <c r="B529" t="s">
        <v>21081</v>
      </c>
      <c r="C529" t="s">
        <v>21080</v>
      </c>
    </row>
    <row r="530" spans="1:3">
      <c r="A530">
        <v>2201024349</v>
      </c>
      <c r="B530" t="s">
        <v>21083</v>
      </c>
      <c r="C530" t="s">
        <v>21082</v>
      </c>
    </row>
    <row r="531" spans="1:3">
      <c r="A531">
        <v>2201024352</v>
      </c>
      <c r="B531" t="s">
        <v>21089</v>
      </c>
      <c r="C531" t="s">
        <v>21088</v>
      </c>
    </row>
    <row r="532" spans="1:3">
      <c r="A532">
        <v>2201028503</v>
      </c>
      <c r="B532" t="s">
        <v>20958</v>
      </c>
      <c r="C532" t="s">
        <v>20957</v>
      </c>
    </row>
    <row r="533" spans="1:3">
      <c r="A533">
        <v>2201028599</v>
      </c>
      <c r="B533" t="s">
        <v>21235</v>
      </c>
      <c r="C533" t="s">
        <v>21234</v>
      </c>
    </row>
    <row r="534" spans="1:3">
      <c r="A534">
        <v>2201028649</v>
      </c>
      <c r="B534" t="s">
        <v>23695</v>
      </c>
      <c r="C534" t="s">
        <v>21084</v>
      </c>
    </row>
    <row r="535" spans="1:3">
      <c r="A535">
        <v>2201029037</v>
      </c>
      <c r="B535" t="s">
        <v>21850</v>
      </c>
      <c r="C535" t="s">
        <v>21566</v>
      </c>
    </row>
    <row r="536" spans="1:3">
      <c r="A536">
        <v>2201029038</v>
      </c>
      <c r="B536" t="s">
        <v>21567</v>
      </c>
      <c r="C536" t="s">
        <v>21568</v>
      </c>
    </row>
    <row r="537" spans="1:3">
      <c r="A537">
        <v>2201029560</v>
      </c>
      <c r="B537" t="s">
        <v>21487</v>
      </c>
      <c r="C537" t="s">
        <v>21488</v>
      </c>
    </row>
    <row r="538" spans="1:3">
      <c r="A538">
        <v>2201029561</v>
      </c>
      <c r="B538" t="s">
        <v>21851</v>
      </c>
      <c r="C538" t="s">
        <v>21489</v>
      </c>
    </row>
    <row r="539" spans="1:3">
      <c r="A539">
        <v>2201056028</v>
      </c>
      <c r="B539" t="s">
        <v>21087</v>
      </c>
      <c r="C539" t="s">
        <v>21086</v>
      </c>
    </row>
    <row r="540" spans="1:3">
      <c r="A540">
        <v>2202011165</v>
      </c>
      <c r="B540" t="s">
        <v>23514</v>
      </c>
      <c r="C540" t="s">
        <v>23515</v>
      </c>
    </row>
    <row r="541" spans="1:3">
      <c r="A541">
        <v>2202013799</v>
      </c>
      <c r="B541" t="s">
        <v>21095</v>
      </c>
      <c r="C541" t="s">
        <v>21094</v>
      </c>
    </row>
    <row r="542" spans="1:3">
      <c r="A542">
        <v>2202017958</v>
      </c>
      <c r="B542" t="s">
        <v>20789</v>
      </c>
      <c r="C542" t="s">
        <v>20788</v>
      </c>
    </row>
    <row r="543" spans="1:3">
      <c r="A543">
        <v>2202017959</v>
      </c>
      <c r="B543" t="s">
        <v>20791</v>
      </c>
      <c r="C543" t="s">
        <v>20790</v>
      </c>
    </row>
    <row r="544" spans="1:3">
      <c r="A544">
        <v>2202018309</v>
      </c>
      <c r="B544" t="s">
        <v>20783</v>
      </c>
      <c r="C544" t="s">
        <v>20782</v>
      </c>
    </row>
    <row r="545" spans="1:3">
      <c r="A545">
        <v>2202018310</v>
      </c>
      <c r="B545" t="s">
        <v>20785</v>
      </c>
      <c r="C545" t="s">
        <v>20784</v>
      </c>
    </row>
    <row r="546" spans="1:3">
      <c r="A546">
        <v>2202018311</v>
      </c>
      <c r="B546" t="s">
        <v>20787</v>
      </c>
      <c r="C546" t="s">
        <v>20786</v>
      </c>
    </row>
    <row r="547" spans="1:3">
      <c r="A547">
        <v>2202018577</v>
      </c>
      <c r="B547" t="s">
        <v>20752</v>
      </c>
      <c r="C547" t="s">
        <v>20751</v>
      </c>
    </row>
    <row r="548" spans="1:3">
      <c r="A548">
        <v>2202018578</v>
      </c>
      <c r="B548" t="s">
        <v>20748</v>
      </c>
      <c r="C548" t="s">
        <v>20747</v>
      </c>
    </row>
    <row r="549" spans="1:3">
      <c r="A549">
        <v>2202019543</v>
      </c>
      <c r="B549" t="s">
        <v>20746</v>
      </c>
      <c r="C549" t="s">
        <v>20745</v>
      </c>
    </row>
    <row r="550" spans="1:3">
      <c r="A550">
        <v>2202019552</v>
      </c>
      <c r="B550" t="s">
        <v>20744</v>
      </c>
      <c r="C550" t="s">
        <v>20743</v>
      </c>
    </row>
    <row r="551" spans="1:3">
      <c r="A551">
        <v>2202029519</v>
      </c>
      <c r="B551" t="s">
        <v>23696</v>
      </c>
      <c r="C551" t="s">
        <v>23697</v>
      </c>
    </row>
    <row r="552" spans="1:3">
      <c r="A552">
        <v>2202029651</v>
      </c>
      <c r="B552" t="s">
        <v>23698</v>
      </c>
      <c r="C552" t="s">
        <v>23699</v>
      </c>
    </row>
    <row r="553" spans="1:3">
      <c r="A553">
        <v>2202029680</v>
      </c>
      <c r="B553" t="s">
        <v>23700</v>
      </c>
      <c r="C553" t="s">
        <v>23701</v>
      </c>
    </row>
    <row r="554" spans="1:3">
      <c r="A554">
        <v>2203015182</v>
      </c>
      <c r="B554" t="s">
        <v>23702</v>
      </c>
      <c r="C554" t="s">
        <v>21085</v>
      </c>
    </row>
    <row r="555" spans="1:3">
      <c r="A555">
        <v>2203015183</v>
      </c>
      <c r="B555" t="s">
        <v>23703</v>
      </c>
      <c r="C555" t="s">
        <v>23704</v>
      </c>
    </row>
    <row r="556" spans="1:3">
      <c r="A556">
        <v>2203028919</v>
      </c>
      <c r="B556" t="s">
        <v>20766</v>
      </c>
      <c r="C556" t="s">
        <v>20765</v>
      </c>
    </row>
    <row r="557" spans="1:3">
      <c r="A557">
        <v>2203029545</v>
      </c>
      <c r="B557" t="s">
        <v>20758</v>
      </c>
      <c r="C557" t="s">
        <v>20757</v>
      </c>
    </row>
    <row r="558" spans="1:3">
      <c r="A558">
        <v>2203029546</v>
      </c>
      <c r="B558" t="s">
        <v>20750</v>
      </c>
      <c r="C558" t="s">
        <v>20749</v>
      </c>
    </row>
    <row r="559" spans="1:3">
      <c r="A559">
        <v>2203029547</v>
      </c>
      <c r="B559" t="s">
        <v>20760</v>
      </c>
      <c r="C559" t="s">
        <v>20759</v>
      </c>
    </row>
    <row r="560" spans="1:3">
      <c r="A560">
        <v>2203029548</v>
      </c>
      <c r="B560" t="s">
        <v>20764</v>
      </c>
      <c r="C560" t="s">
        <v>20763</v>
      </c>
    </row>
    <row r="561" spans="1:3">
      <c r="A561">
        <v>2203029553</v>
      </c>
      <c r="B561" t="s">
        <v>20756</v>
      </c>
      <c r="C561" t="s">
        <v>20755</v>
      </c>
    </row>
    <row r="562" spans="1:3">
      <c r="A562">
        <v>2203029554</v>
      </c>
      <c r="B562" t="s">
        <v>20754</v>
      </c>
      <c r="C562" t="s">
        <v>20753</v>
      </c>
    </row>
    <row r="563" spans="1:3">
      <c r="A563">
        <v>2203029556</v>
      </c>
      <c r="B563" t="s">
        <v>20762</v>
      </c>
      <c r="C563" t="s">
        <v>20761</v>
      </c>
    </row>
    <row r="564" spans="1:3">
      <c r="A564">
        <v>2302522574</v>
      </c>
      <c r="B564" t="s">
        <v>23965</v>
      </c>
      <c r="C564" t="s">
        <v>21852</v>
      </c>
    </row>
    <row r="565" spans="1:3">
      <c r="A565">
        <v>2302529866</v>
      </c>
      <c r="B565" t="s">
        <v>22772</v>
      </c>
      <c r="C565" t="s">
        <v>22773</v>
      </c>
    </row>
    <row r="566" spans="1:3">
      <c r="A566">
        <v>2302529867</v>
      </c>
      <c r="B566" t="s">
        <v>22774</v>
      </c>
      <c r="C566" t="s">
        <v>22775</v>
      </c>
    </row>
    <row r="567" spans="1:3">
      <c r="A567">
        <v>2401017254</v>
      </c>
      <c r="B567" t="s">
        <v>23966</v>
      </c>
      <c r="C567" t="s">
        <v>23967</v>
      </c>
    </row>
    <row r="568" spans="1:3">
      <c r="A568">
        <v>3101011203</v>
      </c>
      <c r="B568" t="s">
        <v>23968</v>
      </c>
      <c r="C568" t="s">
        <v>23969</v>
      </c>
    </row>
    <row r="569" spans="1:3">
      <c r="A569">
        <v>3101011204</v>
      </c>
      <c r="B569" t="s">
        <v>23970</v>
      </c>
      <c r="C569" t="s">
        <v>23971</v>
      </c>
    </row>
    <row r="570" spans="1:3">
      <c r="A570">
        <v>3101018694</v>
      </c>
      <c r="B570" t="s">
        <v>20840</v>
      </c>
      <c r="C570" t="s">
        <v>20839</v>
      </c>
    </row>
    <row r="571" spans="1:3">
      <c r="A571">
        <v>3101019302</v>
      </c>
      <c r="B571" t="s">
        <v>20842</v>
      </c>
      <c r="C571" t="s">
        <v>20841</v>
      </c>
    </row>
    <row r="572" spans="1:3">
      <c r="A572">
        <v>3101019828</v>
      </c>
      <c r="B572" t="s">
        <v>22477</v>
      </c>
      <c r="C572" t="s">
        <v>22478</v>
      </c>
    </row>
    <row r="573" spans="1:3">
      <c r="A573">
        <v>3101052439</v>
      </c>
      <c r="B573" t="s">
        <v>21853</v>
      </c>
      <c r="C573" t="s">
        <v>21854</v>
      </c>
    </row>
    <row r="574" spans="1:3">
      <c r="A574">
        <v>3101052440</v>
      </c>
      <c r="B574" t="s">
        <v>21855</v>
      </c>
      <c r="C574" t="s">
        <v>21856</v>
      </c>
    </row>
    <row r="575" spans="1:3">
      <c r="A575">
        <v>3101052441</v>
      </c>
      <c r="B575" t="s">
        <v>21857</v>
      </c>
      <c r="C575" t="s">
        <v>21858</v>
      </c>
    </row>
    <row r="576" spans="1:3">
      <c r="A576">
        <v>3101052442</v>
      </c>
      <c r="B576" t="s">
        <v>21859</v>
      </c>
      <c r="C576" t="s">
        <v>21860</v>
      </c>
    </row>
    <row r="577" spans="1:3">
      <c r="A577">
        <v>3101052449</v>
      </c>
      <c r="B577" t="s">
        <v>21861</v>
      </c>
      <c r="C577" t="s">
        <v>21862</v>
      </c>
    </row>
    <row r="578" spans="1:3">
      <c r="A578">
        <v>3101052983</v>
      </c>
      <c r="B578" t="s">
        <v>21863</v>
      </c>
      <c r="C578" t="s">
        <v>21864</v>
      </c>
    </row>
    <row r="579" spans="1:3">
      <c r="A579">
        <v>3101090120</v>
      </c>
      <c r="B579" t="s">
        <v>23073</v>
      </c>
      <c r="C579" t="s">
        <v>23074</v>
      </c>
    </row>
    <row r="580" spans="1:3">
      <c r="A580">
        <v>3101090121</v>
      </c>
      <c r="B580" t="s">
        <v>23073</v>
      </c>
      <c r="C580" t="s">
        <v>23075</v>
      </c>
    </row>
    <row r="581" spans="1:3">
      <c r="A581">
        <v>3101090122</v>
      </c>
      <c r="B581" t="s">
        <v>23073</v>
      </c>
      <c r="C581" t="s">
        <v>23076</v>
      </c>
    </row>
    <row r="582" spans="1:3">
      <c r="A582">
        <v>3101090123</v>
      </c>
      <c r="B582" t="s">
        <v>23073</v>
      </c>
      <c r="C582" t="s">
        <v>23077</v>
      </c>
    </row>
    <row r="583" spans="1:3">
      <c r="A583">
        <v>3103071080</v>
      </c>
      <c r="B583" t="s">
        <v>23342</v>
      </c>
      <c r="C583" t="s">
        <v>23343</v>
      </c>
    </row>
    <row r="584" spans="1:3">
      <c r="A584">
        <v>3103071081</v>
      </c>
      <c r="B584" t="s">
        <v>23344</v>
      </c>
      <c r="C584" t="s">
        <v>23345</v>
      </c>
    </row>
    <row r="585" spans="1:3">
      <c r="A585">
        <v>3103071215</v>
      </c>
      <c r="B585" t="s">
        <v>23972</v>
      </c>
      <c r="C585" t="s">
        <v>23973</v>
      </c>
    </row>
    <row r="586" spans="1:3">
      <c r="A586">
        <v>3103071629</v>
      </c>
      <c r="B586" t="s">
        <v>22776</v>
      </c>
      <c r="C586" t="s">
        <v>22777</v>
      </c>
    </row>
    <row r="587" spans="1:3">
      <c r="A587">
        <v>3105011992</v>
      </c>
      <c r="B587" t="s">
        <v>23974</v>
      </c>
      <c r="C587" t="s">
        <v>23975</v>
      </c>
    </row>
    <row r="588" spans="1:3">
      <c r="A588">
        <v>3105012362</v>
      </c>
      <c r="B588" t="s">
        <v>23976</v>
      </c>
      <c r="C588" t="s">
        <v>21866</v>
      </c>
    </row>
    <row r="589" spans="1:3">
      <c r="A589">
        <v>3105012363</v>
      </c>
      <c r="B589" t="s">
        <v>21865</v>
      </c>
      <c r="C589" t="s">
        <v>21867</v>
      </c>
    </row>
    <row r="590" spans="1:3">
      <c r="A590">
        <v>3105012364</v>
      </c>
      <c r="B590" t="s">
        <v>23346</v>
      </c>
      <c r="C590" t="s">
        <v>21868</v>
      </c>
    </row>
    <row r="591" spans="1:3">
      <c r="A591">
        <v>3105012366</v>
      </c>
      <c r="B591" t="s">
        <v>20604</v>
      </c>
      <c r="C591" t="s">
        <v>20603</v>
      </c>
    </row>
    <row r="592" spans="1:3">
      <c r="A592">
        <v>3105012380</v>
      </c>
      <c r="B592" t="s">
        <v>21869</v>
      </c>
      <c r="C592" t="s">
        <v>20640</v>
      </c>
    </row>
    <row r="593" spans="1:3">
      <c r="A593">
        <v>3105012381</v>
      </c>
      <c r="B593" t="s">
        <v>21870</v>
      </c>
      <c r="C593" t="s">
        <v>21871</v>
      </c>
    </row>
    <row r="594" spans="1:3">
      <c r="A594">
        <v>3105012385</v>
      </c>
      <c r="B594" t="s">
        <v>21872</v>
      </c>
      <c r="C594" t="s">
        <v>21873</v>
      </c>
    </row>
    <row r="595" spans="1:3">
      <c r="A595">
        <v>3105012391</v>
      </c>
      <c r="B595" t="s">
        <v>23347</v>
      </c>
      <c r="C595" t="s">
        <v>23348</v>
      </c>
    </row>
    <row r="596" spans="1:3">
      <c r="A596">
        <v>3105012392</v>
      </c>
      <c r="B596" t="s">
        <v>23349</v>
      </c>
      <c r="C596" t="s">
        <v>23350</v>
      </c>
    </row>
    <row r="597" spans="1:3">
      <c r="A597">
        <v>3105012393</v>
      </c>
      <c r="B597" t="s">
        <v>23351</v>
      </c>
      <c r="C597" t="s">
        <v>23352</v>
      </c>
    </row>
    <row r="598" spans="1:3">
      <c r="A598">
        <v>3105012394</v>
      </c>
      <c r="B598" t="s">
        <v>23353</v>
      </c>
      <c r="C598" t="s">
        <v>23354</v>
      </c>
    </row>
    <row r="599" spans="1:3">
      <c r="A599">
        <v>3105012408</v>
      </c>
      <c r="B599" t="s">
        <v>21874</v>
      </c>
      <c r="C599" t="s">
        <v>21875</v>
      </c>
    </row>
    <row r="600" spans="1:3">
      <c r="A600">
        <v>3105012423</v>
      </c>
      <c r="B600" t="s">
        <v>21876</v>
      </c>
      <c r="C600" t="s">
        <v>21877</v>
      </c>
    </row>
    <row r="601" spans="1:3">
      <c r="A601">
        <v>3105012478</v>
      </c>
      <c r="B601" t="s">
        <v>21010</v>
      </c>
      <c r="C601" t="s">
        <v>21009</v>
      </c>
    </row>
    <row r="602" spans="1:3">
      <c r="A602">
        <v>3105012862</v>
      </c>
      <c r="B602" t="s">
        <v>21878</v>
      </c>
      <c r="C602" t="s">
        <v>21879</v>
      </c>
    </row>
    <row r="603" spans="1:3">
      <c r="A603">
        <v>3105012978</v>
      </c>
      <c r="B603" t="s">
        <v>21880</v>
      </c>
      <c r="C603" t="s">
        <v>21881</v>
      </c>
    </row>
    <row r="604" spans="1:3">
      <c r="A604">
        <v>3105015106</v>
      </c>
      <c r="B604" t="s">
        <v>23218</v>
      </c>
      <c r="C604" t="s">
        <v>21882</v>
      </c>
    </row>
    <row r="605" spans="1:3">
      <c r="A605">
        <v>3105015108</v>
      </c>
      <c r="B605" t="s">
        <v>21883</v>
      </c>
      <c r="C605" t="s">
        <v>21884</v>
      </c>
    </row>
    <row r="606" spans="1:3">
      <c r="A606">
        <v>3105015113</v>
      </c>
      <c r="B606" t="s">
        <v>21885</v>
      </c>
      <c r="C606" t="s">
        <v>21886</v>
      </c>
    </row>
    <row r="607" spans="1:3">
      <c r="A607">
        <v>3105015220</v>
      </c>
      <c r="B607" t="s">
        <v>21808</v>
      </c>
      <c r="C607" t="s">
        <v>21887</v>
      </c>
    </row>
    <row r="608" spans="1:3">
      <c r="A608">
        <v>3105015250</v>
      </c>
      <c r="B608" t="s">
        <v>21888</v>
      </c>
      <c r="C608" t="s">
        <v>21889</v>
      </c>
    </row>
    <row r="609" spans="1:3">
      <c r="A609">
        <v>3105015251</v>
      </c>
      <c r="B609" t="s">
        <v>21890</v>
      </c>
      <c r="C609" t="s">
        <v>21891</v>
      </c>
    </row>
    <row r="610" spans="1:3">
      <c r="A610">
        <v>3105015252</v>
      </c>
      <c r="B610" t="s">
        <v>21892</v>
      </c>
      <c r="C610" t="s">
        <v>21893</v>
      </c>
    </row>
    <row r="611" spans="1:3">
      <c r="A611">
        <v>3105015332</v>
      </c>
      <c r="B611" t="s">
        <v>21894</v>
      </c>
      <c r="C611" t="s">
        <v>20651</v>
      </c>
    </row>
    <row r="612" spans="1:3">
      <c r="A612">
        <v>3105015333</v>
      </c>
      <c r="B612" t="s">
        <v>20650</v>
      </c>
      <c r="C612" t="s">
        <v>20649</v>
      </c>
    </row>
    <row r="613" spans="1:3">
      <c r="A613">
        <v>3105015829</v>
      </c>
      <c r="B613" t="s">
        <v>23977</v>
      </c>
      <c r="C613" t="s">
        <v>21895</v>
      </c>
    </row>
    <row r="614" spans="1:3">
      <c r="A614">
        <v>3105015962</v>
      </c>
      <c r="B614" t="s">
        <v>21896</v>
      </c>
      <c r="C614" t="s">
        <v>21897</v>
      </c>
    </row>
    <row r="615" spans="1:3">
      <c r="A615">
        <v>3105018388</v>
      </c>
      <c r="B615" t="s">
        <v>23078</v>
      </c>
      <c r="C615" t="s">
        <v>23079</v>
      </c>
    </row>
    <row r="616" spans="1:3">
      <c r="A616">
        <v>3105019629</v>
      </c>
      <c r="B616" t="s">
        <v>21898</v>
      </c>
      <c r="C616" t="s">
        <v>21899</v>
      </c>
    </row>
    <row r="617" spans="1:3">
      <c r="A617">
        <v>3105019638</v>
      </c>
      <c r="B617" t="s">
        <v>21900</v>
      </c>
      <c r="C617" t="s">
        <v>21901</v>
      </c>
    </row>
    <row r="618" spans="1:3">
      <c r="A618">
        <v>3105019641</v>
      </c>
      <c r="B618" t="s">
        <v>21902</v>
      </c>
      <c r="C618" t="s">
        <v>21903</v>
      </c>
    </row>
    <row r="619" spans="1:3">
      <c r="A619">
        <v>3105019642</v>
      </c>
      <c r="B619" t="s">
        <v>21904</v>
      </c>
      <c r="C619" t="s">
        <v>21905</v>
      </c>
    </row>
    <row r="620" spans="1:3">
      <c r="A620">
        <v>3105019764</v>
      </c>
      <c r="B620" t="s">
        <v>22479</v>
      </c>
      <c r="C620" t="s">
        <v>22480</v>
      </c>
    </row>
    <row r="621" spans="1:3">
      <c r="A621">
        <v>3105019931</v>
      </c>
      <c r="B621" t="s">
        <v>23080</v>
      </c>
      <c r="C621" t="s">
        <v>23081</v>
      </c>
    </row>
    <row r="622" spans="1:3">
      <c r="A622">
        <v>3105024243</v>
      </c>
      <c r="B622" t="s">
        <v>23219</v>
      </c>
      <c r="C622" t="s">
        <v>21907</v>
      </c>
    </row>
    <row r="623" spans="1:3">
      <c r="A623">
        <v>3105025162</v>
      </c>
      <c r="B623" t="s">
        <v>23220</v>
      </c>
      <c r="C623" t="s">
        <v>21908</v>
      </c>
    </row>
    <row r="624" spans="1:3">
      <c r="A624">
        <v>3105025187</v>
      </c>
      <c r="B624" t="s">
        <v>21906</v>
      </c>
      <c r="C624" t="s">
        <v>20648</v>
      </c>
    </row>
    <row r="625" spans="1:3">
      <c r="A625">
        <v>3105029446</v>
      </c>
      <c r="B625" t="s">
        <v>20671</v>
      </c>
      <c r="C625" t="s">
        <v>20670</v>
      </c>
    </row>
    <row r="626" spans="1:3">
      <c r="A626">
        <v>3105112411</v>
      </c>
      <c r="B626" t="s">
        <v>21909</v>
      </c>
      <c r="C626" t="s">
        <v>21910</v>
      </c>
    </row>
    <row r="627" spans="1:3">
      <c r="A627">
        <v>3105112415</v>
      </c>
      <c r="B627" t="s">
        <v>21911</v>
      </c>
      <c r="C627" t="s">
        <v>21912</v>
      </c>
    </row>
    <row r="628" spans="1:3">
      <c r="A628">
        <v>3105112416</v>
      </c>
      <c r="B628" t="s">
        <v>21913</v>
      </c>
      <c r="C628" t="s">
        <v>21914</v>
      </c>
    </row>
    <row r="629" spans="1:3">
      <c r="A629">
        <v>3105112434</v>
      </c>
      <c r="B629" t="s">
        <v>21885</v>
      </c>
      <c r="C629" t="s">
        <v>21915</v>
      </c>
    </row>
    <row r="630" spans="1:3">
      <c r="A630">
        <v>3105112435</v>
      </c>
      <c r="B630" t="s">
        <v>23978</v>
      </c>
      <c r="C630" t="s">
        <v>21917</v>
      </c>
    </row>
    <row r="631" spans="1:3">
      <c r="A631">
        <v>3105112437</v>
      </c>
      <c r="B631" t="s">
        <v>21918</v>
      </c>
      <c r="C631" t="s">
        <v>21919</v>
      </c>
    </row>
    <row r="632" spans="1:3">
      <c r="A632">
        <v>3105112438</v>
      </c>
      <c r="B632" t="s">
        <v>21920</v>
      </c>
      <c r="C632" t="s">
        <v>21921</v>
      </c>
    </row>
    <row r="633" spans="1:3">
      <c r="A633">
        <v>3105112441</v>
      </c>
      <c r="B633" t="s">
        <v>20606</v>
      </c>
      <c r="C633" t="s">
        <v>20605</v>
      </c>
    </row>
    <row r="634" spans="1:3">
      <c r="A634">
        <v>3105112442</v>
      </c>
      <c r="B634" t="s">
        <v>23355</v>
      </c>
      <c r="C634" t="s">
        <v>20567</v>
      </c>
    </row>
    <row r="635" spans="1:3">
      <c r="A635">
        <v>3105112801</v>
      </c>
      <c r="B635" t="s">
        <v>20608</v>
      </c>
      <c r="C635" t="s">
        <v>20607</v>
      </c>
    </row>
    <row r="636" spans="1:3">
      <c r="A636">
        <v>3105112802</v>
      </c>
      <c r="B636" t="s">
        <v>23979</v>
      </c>
      <c r="C636" t="s">
        <v>21923</v>
      </c>
    </row>
    <row r="637" spans="1:3">
      <c r="A637">
        <v>3105112835</v>
      </c>
      <c r="B637" t="s">
        <v>21924</v>
      </c>
      <c r="C637" t="s">
        <v>21925</v>
      </c>
    </row>
    <row r="638" spans="1:3">
      <c r="A638">
        <v>3105112837</v>
      </c>
      <c r="B638" t="s">
        <v>21926</v>
      </c>
      <c r="C638" t="s">
        <v>21927</v>
      </c>
    </row>
    <row r="639" spans="1:3">
      <c r="A639">
        <v>3105112839</v>
      </c>
      <c r="B639" t="s">
        <v>21928</v>
      </c>
      <c r="C639" t="s">
        <v>21929</v>
      </c>
    </row>
    <row r="640" spans="1:3">
      <c r="A640">
        <v>3105112866</v>
      </c>
      <c r="B640" t="s">
        <v>21930</v>
      </c>
      <c r="C640" t="s">
        <v>21931</v>
      </c>
    </row>
    <row r="641" spans="1:3">
      <c r="A641">
        <v>3105112868</v>
      </c>
      <c r="B641" t="s">
        <v>21932</v>
      </c>
      <c r="C641" t="s">
        <v>21933</v>
      </c>
    </row>
    <row r="642" spans="1:3">
      <c r="A642">
        <v>3105112870</v>
      </c>
      <c r="B642" t="s">
        <v>21934</v>
      </c>
      <c r="C642" t="s">
        <v>21935</v>
      </c>
    </row>
    <row r="643" spans="1:3">
      <c r="A643">
        <v>3105114351</v>
      </c>
      <c r="B643" t="s">
        <v>23980</v>
      </c>
      <c r="C643" t="s">
        <v>21936</v>
      </c>
    </row>
    <row r="644" spans="1:3">
      <c r="A644">
        <v>3105115960</v>
      </c>
      <c r="B644" t="s">
        <v>23981</v>
      </c>
      <c r="C644" t="s">
        <v>21937</v>
      </c>
    </row>
    <row r="645" spans="1:3">
      <c r="A645">
        <v>3105115961</v>
      </c>
      <c r="B645" t="s">
        <v>23982</v>
      </c>
      <c r="C645" t="s">
        <v>21938</v>
      </c>
    </row>
    <row r="646" spans="1:3">
      <c r="A646">
        <v>3105118200</v>
      </c>
      <c r="B646" t="s">
        <v>23356</v>
      </c>
      <c r="C646" t="s">
        <v>20633</v>
      </c>
    </row>
    <row r="647" spans="1:3">
      <c r="A647">
        <v>3105119852</v>
      </c>
      <c r="B647" t="s">
        <v>22778</v>
      </c>
      <c r="C647" t="s">
        <v>22779</v>
      </c>
    </row>
    <row r="648" spans="1:3">
      <c r="A648">
        <v>3105119853</v>
      </c>
      <c r="B648" t="s">
        <v>22780</v>
      </c>
      <c r="C648" t="s">
        <v>22781</v>
      </c>
    </row>
    <row r="649" spans="1:3">
      <c r="A649">
        <v>3106018000</v>
      </c>
      <c r="B649" t="s">
        <v>22782</v>
      </c>
      <c r="C649" t="s">
        <v>22783</v>
      </c>
    </row>
    <row r="650" spans="1:3">
      <c r="A650">
        <v>3109062569</v>
      </c>
      <c r="B650" t="s">
        <v>23082</v>
      </c>
      <c r="C650" t="s">
        <v>23083</v>
      </c>
    </row>
    <row r="651" spans="1:3">
      <c r="A651">
        <v>3109062776</v>
      </c>
      <c r="B651" t="s">
        <v>21490</v>
      </c>
      <c r="C651" t="s">
        <v>21491</v>
      </c>
    </row>
    <row r="652" spans="1:3">
      <c r="A652">
        <v>3109075195</v>
      </c>
      <c r="B652" t="s">
        <v>22659</v>
      </c>
      <c r="C652" t="s">
        <v>22660</v>
      </c>
    </row>
    <row r="653" spans="1:3">
      <c r="A653">
        <v>3161077859</v>
      </c>
      <c r="B653" t="s">
        <v>21939</v>
      </c>
      <c r="C653" t="s">
        <v>21940</v>
      </c>
    </row>
    <row r="654" spans="1:3">
      <c r="A654">
        <v>3161091095</v>
      </c>
      <c r="B654" t="s">
        <v>23357</v>
      </c>
      <c r="C654" t="s">
        <v>23358</v>
      </c>
    </row>
    <row r="655" spans="1:3">
      <c r="A655">
        <v>3161091096</v>
      </c>
      <c r="B655" t="s">
        <v>23359</v>
      </c>
      <c r="C655" t="s">
        <v>23360</v>
      </c>
    </row>
    <row r="656" spans="1:3">
      <c r="A656">
        <v>3161091314</v>
      </c>
      <c r="B656" t="s">
        <v>24517</v>
      </c>
      <c r="C656" t="s">
        <v>24518</v>
      </c>
    </row>
    <row r="657" spans="1:3">
      <c r="A657">
        <v>3161091315</v>
      </c>
      <c r="B657" t="s">
        <v>24519</v>
      </c>
      <c r="C657" t="s">
        <v>24520</v>
      </c>
    </row>
    <row r="658" spans="1:3">
      <c r="A658">
        <v>3161091320</v>
      </c>
      <c r="B658" t="s">
        <v>24521</v>
      </c>
      <c r="C658" t="s">
        <v>24522</v>
      </c>
    </row>
    <row r="659" spans="1:3">
      <c r="A659">
        <v>3161091321</v>
      </c>
      <c r="B659" t="s">
        <v>24523</v>
      </c>
      <c r="C659" t="s">
        <v>24524</v>
      </c>
    </row>
    <row r="660" spans="1:3">
      <c r="A660">
        <v>3161091333</v>
      </c>
      <c r="B660" t="s">
        <v>24214</v>
      </c>
      <c r="C660" t="s">
        <v>24215</v>
      </c>
    </row>
    <row r="661" spans="1:3">
      <c r="A661">
        <v>3161091334</v>
      </c>
      <c r="B661" t="s">
        <v>24216</v>
      </c>
      <c r="C661" t="s">
        <v>24217</v>
      </c>
    </row>
    <row r="662" spans="1:3">
      <c r="A662">
        <v>3161091335</v>
      </c>
      <c r="B662" t="s">
        <v>24218</v>
      </c>
      <c r="C662" t="s">
        <v>24219</v>
      </c>
    </row>
    <row r="663" spans="1:3">
      <c r="A663">
        <v>3161091336</v>
      </c>
      <c r="B663" t="s">
        <v>24220</v>
      </c>
      <c r="C663" t="s">
        <v>24221</v>
      </c>
    </row>
    <row r="664" spans="1:3">
      <c r="A664">
        <v>3161091337</v>
      </c>
      <c r="B664" t="s">
        <v>24222</v>
      </c>
      <c r="C664" t="s">
        <v>24223</v>
      </c>
    </row>
    <row r="665" spans="1:3">
      <c r="A665">
        <v>3161091338</v>
      </c>
      <c r="B665" t="s">
        <v>24224</v>
      </c>
      <c r="C665" t="s">
        <v>24225</v>
      </c>
    </row>
    <row r="666" spans="1:3">
      <c r="A666">
        <v>3161091423</v>
      </c>
      <c r="B666" t="s">
        <v>24762</v>
      </c>
      <c r="C666" t="s">
        <v>24763</v>
      </c>
    </row>
    <row r="667" spans="1:3">
      <c r="A667">
        <v>3161091424</v>
      </c>
      <c r="B667" t="s">
        <v>24764</v>
      </c>
      <c r="C667" t="s">
        <v>24765</v>
      </c>
    </row>
    <row r="668" spans="1:3">
      <c r="A668">
        <v>3161091425</v>
      </c>
      <c r="B668" t="s">
        <v>24766</v>
      </c>
      <c r="C668" t="s">
        <v>24767</v>
      </c>
    </row>
    <row r="669" spans="1:3">
      <c r="A669">
        <v>3161091426</v>
      </c>
      <c r="B669" t="s">
        <v>24901</v>
      </c>
      <c r="C669" t="s">
        <v>24902</v>
      </c>
    </row>
    <row r="670" spans="1:3">
      <c r="A670">
        <v>3161091427</v>
      </c>
      <c r="B670" t="s">
        <v>24903</v>
      </c>
      <c r="C670" t="s">
        <v>24904</v>
      </c>
    </row>
    <row r="671" spans="1:3">
      <c r="A671">
        <v>3161091449</v>
      </c>
      <c r="B671" t="s">
        <v>24905</v>
      </c>
      <c r="C671" t="s">
        <v>24906</v>
      </c>
    </row>
    <row r="672" spans="1:3">
      <c r="A672">
        <v>3161091450</v>
      </c>
      <c r="B672" t="s">
        <v>24907</v>
      </c>
      <c r="C672" t="s">
        <v>24908</v>
      </c>
    </row>
    <row r="673" spans="1:3">
      <c r="A673">
        <v>3161091451</v>
      </c>
      <c r="B673" t="s">
        <v>24909</v>
      </c>
      <c r="C673" t="s">
        <v>24910</v>
      </c>
    </row>
    <row r="674" spans="1:3">
      <c r="A674">
        <v>3161091452</v>
      </c>
      <c r="B674" t="s">
        <v>24911</v>
      </c>
      <c r="C674" t="s">
        <v>24912</v>
      </c>
    </row>
    <row r="675" spans="1:3">
      <c r="A675">
        <v>3161091469</v>
      </c>
      <c r="B675" t="s">
        <v>24913</v>
      </c>
      <c r="C675" t="s">
        <v>24914</v>
      </c>
    </row>
    <row r="676" spans="1:3">
      <c r="A676">
        <v>3161091484</v>
      </c>
      <c r="B676" t="s">
        <v>24915</v>
      </c>
      <c r="C676" t="s">
        <v>24916</v>
      </c>
    </row>
    <row r="677" spans="1:3">
      <c r="A677">
        <v>3161091485</v>
      </c>
      <c r="B677" t="s">
        <v>24911</v>
      </c>
      <c r="C677" t="s">
        <v>24917</v>
      </c>
    </row>
    <row r="678" spans="1:3">
      <c r="A678">
        <v>3161091701</v>
      </c>
      <c r="B678" t="s">
        <v>23983</v>
      </c>
      <c r="C678" t="s">
        <v>20629</v>
      </c>
    </row>
    <row r="679" spans="1:3">
      <c r="A679">
        <v>3161091702</v>
      </c>
      <c r="B679" t="s">
        <v>21942</v>
      </c>
      <c r="C679" t="s">
        <v>21943</v>
      </c>
    </row>
    <row r="680" spans="1:3">
      <c r="A680">
        <v>3161091713</v>
      </c>
      <c r="B680" t="s">
        <v>21944</v>
      </c>
      <c r="C680" t="s">
        <v>21945</v>
      </c>
    </row>
    <row r="681" spans="1:3">
      <c r="A681">
        <v>3161091714</v>
      </c>
      <c r="B681" t="s">
        <v>21944</v>
      </c>
      <c r="C681" t="s">
        <v>21946</v>
      </c>
    </row>
    <row r="682" spans="1:3">
      <c r="A682">
        <v>3161091715</v>
      </c>
      <c r="B682" t="s">
        <v>21944</v>
      </c>
      <c r="C682" t="s">
        <v>21947</v>
      </c>
    </row>
    <row r="683" spans="1:3">
      <c r="A683">
        <v>3161091716</v>
      </c>
      <c r="B683" t="s">
        <v>21941</v>
      </c>
      <c r="C683" t="s">
        <v>21948</v>
      </c>
    </row>
    <row r="684" spans="1:3">
      <c r="A684">
        <v>3161091717</v>
      </c>
      <c r="B684" t="s">
        <v>21941</v>
      </c>
      <c r="C684" t="s">
        <v>21949</v>
      </c>
    </row>
    <row r="685" spans="1:3">
      <c r="A685">
        <v>3161091718</v>
      </c>
      <c r="B685" t="s">
        <v>21941</v>
      </c>
      <c r="C685" t="s">
        <v>21950</v>
      </c>
    </row>
    <row r="686" spans="1:3">
      <c r="A686">
        <v>3161091719</v>
      </c>
      <c r="B686" t="s">
        <v>21951</v>
      </c>
      <c r="C686" t="s">
        <v>21952</v>
      </c>
    </row>
    <row r="687" spans="1:3">
      <c r="A687">
        <v>3161091720</v>
      </c>
      <c r="B687" t="s">
        <v>21942</v>
      </c>
      <c r="C687" t="s">
        <v>21953</v>
      </c>
    </row>
    <row r="688" spans="1:3">
      <c r="A688">
        <v>3161091721</v>
      </c>
      <c r="B688" t="s">
        <v>23361</v>
      </c>
      <c r="C688" t="s">
        <v>20635</v>
      </c>
    </row>
    <row r="689" spans="1:3">
      <c r="A689">
        <v>3161091729</v>
      </c>
      <c r="B689" t="s">
        <v>23221</v>
      </c>
      <c r="C689" t="s">
        <v>20639</v>
      </c>
    </row>
    <row r="690" spans="1:3">
      <c r="A690">
        <v>3161091730</v>
      </c>
      <c r="B690" t="s">
        <v>21954</v>
      </c>
      <c r="C690" t="s">
        <v>21955</v>
      </c>
    </row>
    <row r="691" spans="1:3">
      <c r="A691">
        <v>3161091731</v>
      </c>
      <c r="B691" t="s">
        <v>6260</v>
      </c>
      <c r="C691" t="s">
        <v>21956</v>
      </c>
    </row>
    <row r="692" spans="1:3">
      <c r="A692">
        <v>3161091732</v>
      </c>
      <c r="B692" t="s">
        <v>6260</v>
      </c>
      <c r="C692" t="s">
        <v>21957</v>
      </c>
    </row>
    <row r="693" spans="1:3">
      <c r="A693">
        <v>3161091740</v>
      </c>
      <c r="B693" t="s">
        <v>23362</v>
      </c>
      <c r="C693" t="s">
        <v>21958</v>
      </c>
    </row>
    <row r="694" spans="1:3">
      <c r="A694">
        <v>3161091741</v>
      </c>
      <c r="B694" t="s">
        <v>23984</v>
      </c>
      <c r="C694" t="s">
        <v>21959</v>
      </c>
    </row>
    <row r="695" spans="1:3">
      <c r="A695">
        <v>3161091742</v>
      </c>
      <c r="B695" t="s">
        <v>21916</v>
      </c>
      <c r="C695" t="s">
        <v>21960</v>
      </c>
    </row>
    <row r="696" spans="1:3">
      <c r="A696">
        <v>3161091743</v>
      </c>
      <c r="B696" t="s">
        <v>21944</v>
      </c>
      <c r="C696" t="s">
        <v>21961</v>
      </c>
    </row>
    <row r="697" spans="1:3">
      <c r="A697">
        <v>3161091744</v>
      </c>
      <c r="B697" t="s">
        <v>21944</v>
      </c>
      <c r="C697" t="s">
        <v>21962</v>
      </c>
    </row>
    <row r="698" spans="1:3">
      <c r="A698">
        <v>3161091745</v>
      </c>
      <c r="B698" t="s">
        <v>21941</v>
      </c>
      <c r="C698" t="s">
        <v>21963</v>
      </c>
    </row>
    <row r="699" spans="1:3">
      <c r="A699">
        <v>3161091746</v>
      </c>
      <c r="B699" t="s">
        <v>23985</v>
      </c>
      <c r="C699" t="s">
        <v>21964</v>
      </c>
    </row>
    <row r="700" spans="1:3">
      <c r="A700">
        <v>3161091747</v>
      </c>
      <c r="B700" t="s">
        <v>21942</v>
      </c>
      <c r="C700" t="s">
        <v>21965</v>
      </c>
    </row>
    <row r="701" spans="1:3">
      <c r="A701">
        <v>3161091748</v>
      </c>
      <c r="B701" t="s">
        <v>21942</v>
      </c>
      <c r="C701" t="s">
        <v>21966</v>
      </c>
    </row>
    <row r="702" spans="1:3">
      <c r="A702">
        <v>3161091755</v>
      </c>
      <c r="B702" t="s">
        <v>21954</v>
      </c>
      <c r="C702" t="s">
        <v>21967</v>
      </c>
    </row>
    <row r="703" spans="1:3">
      <c r="A703">
        <v>3161091756</v>
      </c>
      <c r="B703" t="s">
        <v>21954</v>
      </c>
      <c r="C703" t="s">
        <v>21968</v>
      </c>
    </row>
    <row r="704" spans="1:3">
      <c r="A704">
        <v>3161091757</v>
      </c>
      <c r="B704" t="s">
        <v>6260</v>
      </c>
      <c r="C704" t="s">
        <v>21969</v>
      </c>
    </row>
    <row r="705" spans="1:3">
      <c r="A705">
        <v>3161091759</v>
      </c>
      <c r="B705" t="s">
        <v>21970</v>
      </c>
      <c r="C705" t="s">
        <v>21971</v>
      </c>
    </row>
    <row r="706" spans="1:3">
      <c r="A706">
        <v>3161091763</v>
      </c>
      <c r="B706" t="s">
        <v>21885</v>
      </c>
      <c r="C706" t="s">
        <v>21972</v>
      </c>
    </row>
    <row r="707" spans="1:3">
      <c r="A707">
        <v>3161091764</v>
      </c>
      <c r="B707" t="s">
        <v>23986</v>
      </c>
      <c r="C707" t="s">
        <v>21973</v>
      </c>
    </row>
    <row r="708" spans="1:3">
      <c r="A708">
        <v>3161091774</v>
      </c>
      <c r="B708" t="s">
        <v>21954</v>
      </c>
      <c r="C708" t="s">
        <v>21974</v>
      </c>
    </row>
    <row r="709" spans="1:3">
      <c r="A709">
        <v>3161091777</v>
      </c>
      <c r="B709" t="s">
        <v>21954</v>
      </c>
      <c r="C709" t="s">
        <v>21975</v>
      </c>
    </row>
    <row r="710" spans="1:3">
      <c r="A710">
        <v>3161091778</v>
      </c>
      <c r="B710" t="s">
        <v>21954</v>
      </c>
      <c r="C710" t="s">
        <v>21022</v>
      </c>
    </row>
    <row r="711" spans="1:3">
      <c r="A711">
        <v>3161092128</v>
      </c>
      <c r="B711" t="s">
        <v>20664</v>
      </c>
      <c r="C711" t="s">
        <v>20663</v>
      </c>
    </row>
    <row r="712" spans="1:3">
      <c r="A712">
        <v>3161092153</v>
      </c>
      <c r="B712" t="s">
        <v>21976</v>
      </c>
      <c r="C712" t="s">
        <v>21977</v>
      </c>
    </row>
    <row r="713" spans="1:3">
      <c r="A713">
        <v>3161092302</v>
      </c>
      <c r="B713" t="s">
        <v>21978</v>
      </c>
      <c r="C713" t="s">
        <v>21979</v>
      </c>
    </row>
    <row r="714" spans="1:3">
      <c r="A714">
        <v>3161092303</v>
      </c>
      <c r="B714" t="s">
        <v>23987</v>
      </c>
      <c r="C714" t="s">
        <v>21980</v>
      </c>
    </row>
    <row r="715" spans="1:3">
      <c r="A715">
        <v>3161092305</v>
      </c>
      <c r="B715" t="s">
        <v>21981</v>
      </c>
      <c r="C715" t="s">
        <v>21982</v>
      </c>
    </row>
    <row r="716" spans="1:3">
      <c r="A716">
        <v>3161092313</v>
      </c>
      <c r="B716" t="s">
        <v>21707</v>
      </c>
      <c r="C716" t="s">
        <v>21983</v>
      </c>
    </row>
    <row r="717" spans="1:3">
      <c r="A717">
        <v>3161092314</v>
      </c>
      <c r="B717" t="s">
        <v>21707</v>
      </c>
      <c r="C717" t="s">
        <v>21984</v>
      </c>
    </row>
    <row r="718" spans="1:3">
      <c r="A718">
        <v>3161092320</v>
      </c>
      <c r="B718" t="s">
        <v>21942</v>
      </c>
      <c r="C718" t="s">
        <v>21985</v>
      </c>
    </row>
    <row r="719" spans="1:3">
      <c r="A719">
        <v>3161092321</v>
      </c>
      <c r="B719" t="s">
        <v>21944</v>
      </c>
      <c r="C719" t="s">
        <v>21986</v>
      </c>
    </row>
    <row r="720" spans="1:3">
      <c r="A720">
        <v>3161092322</v>
      </c>
      <c r="B720" t="s">
        <v>21944</v>
      </c>
      <c r="C720" t="s">
        <v>21987</v>
      </c>
    </row>
    <row r="721" spans="1:3">
      <c r="A721">
        <v>3161092324</v>
      </c>
      <c r="B721" t="s">
        <v>21941</v>
      </c>
      <c r="C721" t="s">
        <v>21988</v>
      </c>
    </row>
    <row r="722" spans="1:3">
      <c r="A722">
        <v>3161092326</v>
      </c>
      <c r="B722" t="s">
        <v>23977</v>
      </c>
      <c r="C722" t="s">
        <v>21989</v>
      </c>
    </row>
    <row r="723" spans="1:3">
      <c r="A723">
        <v>3161092328</v>
      </c>
      <c r="B723" t="s">
        <v>23363</v>
      </c>
      <c r="C723" t="s">
        <v>21139</v>
      </c>
    </row>
    <row r="724" spans="1:3">
      <c r="A724">
        <v>3161092329</v>
      </c>
      <c r="B724" t="s">
        <v>21885</v>
      </c>
      <c r="C724" t="s">
        <v>21990</v>
      </c>
    </row>
    <row r="725" spans="1:3">
      <c r="A725">
        <v>3161092330</v>
      </c>
      <c r="B725" t="s">
        <v>23364</v>
      </c>
      <c r="C725" t="s">
        <v>20636</v>
      </c>
    </row>
    <row r="726" spans="1:3">
      <c r="A726">
        <v>3161092332</v>
      </c>
      <c r="B726" t="s">
        <v>23986</v>
      </c>
      <c r="C726" t="s">
        <v>21991</v>
      </c>
    </row>
    <row r="727" spans="1:3">
      <c r="A727">
        <v>3161092333</v>
      </c>
      <c r="B727" t="s">
        <v>23988</v>
      </c>
      <c r="C727" t="s">
        <v>21992</v>
      </c>
    </row>
    <row r="728" spans="1:3">
      <c r="A728">
        <v>3161092334</v>
      </c>
      <c r="B728" t="s">
        <v>23989</v>
      </c>
      <c r="C728" t="s">
        <v>21993</v>
      </c>
    </row>
    <row r="729" spans="1:3">
      <c r="A729">
        <v>3161092335</v>
      </c>
      <c r="B729" t="s">
        <v>21885</v>
      </c>
      <c r="C729" t="s">
        <v>21994</v>
      </c>
    </row>
    <row r="730" spans="1:3">
      <c r="A730">
        <v>3161092361</v>
      </c>
      <c r="B730" t="s">
        <v>21995</v>
      </c>
      <c r="C730" t="s">
        <v>21996</v>
      </c>
    </row>
    <row r="731" spans="1:3">
      <c r="A731">
        <v>3161092374</v>
      </c>
      <c r="B731" t="s">
        <v>21997</v>
      </c>
      <c r="C731" t="s">
        <v>21998</v>
      </c>
    </row>
    <row r="732" spans="1:3">
      <c r="A732">
        <v>3161092379</v>
      </c>
      <c r="B732" t="s">
        <v>20525</v>
      </c>
      <c r="C732" t="s">
        <v>20524</v>
      </c>
    </row>
    <row r="733" spans="1:3">
      <c r="A733">
        <v>3161092387</v>
      </c>
      <c r="B733" t="s">
        <v>23365</v>
      </c>
      <c r="C733" t="s">
        <v>21999</v>
      </c>
    </row>
    <row r="734" spans="1:3">
      <c r="A734">
        <v>3161092440</v>
      </c>
      <c r="B734" t="s">
        <v>20533</v>
      </c>
      <c r="C734" t="s">
        <v>20532</v>
      </c>
    </row>
    <row r="735" spans="1:3">
      <c r="A735">
        <v>3161092549</v>
      </c>
      <c r="B735" t="s">
        <v>21995</v>
      </c>
      <c r="C735" t="s">
        <v>22000</v>
      </c>
    </row>
    <row r="736" spans="1:3">
      <c r="A736">
        <v>3161092552</v>
      </c>
      <c r="B736" t="s">
        <v>6260</v>
      </c>
      <c r="C736" t="s">
        <v>22001</v>
      </c>
    </row>
    <row r="737" spans="1:3">
      <c r="A737">
        <v>3161092559</v>
      </c>
      <c r="B737" t="s">
        <v>6260</v>
      </c>
      <c r="C737" t="s">
        <v>22002</v>
      </c>
    </row>
    <row r="738" spans="1:3">
      <c r="A738">
        <v>3161092565</v>
      </c>
      <c r="B738" t="s">
        <v>23217</v>
      </c>
      <c r="C738" t="s">
        <v>22003</v>
      </c>
    </row>
    <row r="739" spans="1:3">
      <c r="A739">
        <v>3161092566</v>
      </c>
      <c r="B739" t="s">
        <v>21944</v>
      </c>
      <c r="C739" t="s">
        <v>22004</v>
      </c>
    </row>
    <row r="740" spans="1:3">
      <c r="A740">
        <v>3161092567</v>
      </c>
      <c r="B740" t="s">
        <v>21941</v>
      </c>
      <c r="C740" t="s">
        <v>22005</v>
      </c>
    </row>
    <row r="741" spans="1:3">
      <c r="A741">
        <v>3161092568</v>
      </c>
      <c r="B741" t="s">
        <v>23222</v>
      </c>
      <c r="C741" t="s">
        <v>22006</v>
      </c>
    </row>
    <row r="742" spans="1:3">
      <c r="A742">
        <v>3161092569</v>
      </c>
      <c r="B742" t="s">
        <v>21704</v>
      </c>
      <c r="C742" t="s">
        <v>22007</v>
      </c>
    </row>
    <row r="743" spans="1:3">
      <c r="A743">
        <v>3161092571</v>
      </c>
      <c r="B743" t="s">
        <v>6260</v>
      </c>
      <c r="C743" t="s">
        <v>22008</v>
      </c>
    </row>
    <row r="744" spans="1:3">
      <c r="A744">
        <v>3161092572</v>
      </c>
      <c r="B744" t="s">
        <v>6260</v>
      </c>
      <c r="C744" t="s">
        <v>22009</v>
      </c>
    </row>
    <row r="745" spans="1:3">
      <c r="A745">
        <v>3161092573</v>
      </c>
      <c r="B745" t="s">
        <v>22010</v>
      </c>
      <c r="C745" t="s">
        <v>22011</v>
      </c>
    </row>
    <row r="746" spans="1:3">
      <c r="A746">
        <v>3161092574</v>
      </c>
      <c r="B746" t="s">
        <v>22010</v>
      </c>
      <c r="C746" t="s">
        <v>22012</v>
      </c>
    </row>
    <row r="747" spans="1:3">
      <c r="A747">
        <v>3161092576</v>
      </c>
      <c r="B747" t="s">
        <v>6260</v>
      </c>
      <c r="C747" t="s">
        <v>22013</v>
      </c>
    </row>
    <row r="748" spans="1:3">
      <c r="A748">
        <v>3161092579</v>
      </c>
      <c r="B748" t="s">
        <v>21707</v>
      </c>
      <c r="C748" t="s">
        <v>20630</v>
      </c>
    </row>
    <row r="749" spans="1:3">
      <c r="A749">
        <v>3161092580</v>
      </c>
      <c r="B749" t="s">
        <v>23223</v>
      </c>
      <c r="C749" t="s">
        <v>22014</v>
      </c>
    </row>
    <row r="750" spans="1:3">
      <c r="A750">
        <v>3161092582</v>
      </c>
      <c r="B750" t="s">
        <v>23224</v>
      </c>
      <c r="C750" t="s">
        <v>22015</v>
      </c>
    </row>
    <row r="751" spans="1:3">
      <c r="A751">
        <v>3161092583</v>
      </c>
      <c r="B751" t="s">
        <v>21995</v>
      </c>
      <c r="C751" t="s">
        <v>22016</v>
      </c>
    </row>
    <row r="752" spans="1:3">
      <c r="A752">
        <v>3161092584</v>
      </c>
      <c r="B752" t="s">
        <v>23225</v>
      </c>
      <c r="C752" t="s">
        <v>22017</v>
      </c>
    </row>
    <row r="753" spans="1:3">
      <c r="A753">
        <v>3161092585</v>
      </c>
      <c r="B753" t="s">
        <v>21976</v>
      </c>
      <c r="C753" t="s">
        <v>22018</v>
      </c>
    </row>
    <row r="754" spans="1:3">
      <c r="A754">
        <v>3161092586</v>
      </c>
      <c r="B754" t="s">
        <v>23226</v>
      </c>
      <c r="C754" t="s">
        <v>20652</v>
      </c>
    </row>
    <row r="755" spans="1:3">
      <c r="A755">
        <v>3161092591</v>
      </c>
      <c r="B755" t="s">
        <v>6260</v>
      </c>
      <c r="C755" t="s">
        <v>22019</v>
      </c>
    </row>
    <row r="756" spans="1:3">
      <c r="A756">
        <v>3161092600</v>
      </c>
      <c r="B756" t="s">
        <v>22010</v>
      </c>
      <c r="C756" t="s">
        <v>22020</v>
      </c>
    </row>
    <row r="757" spans="1:3">
      <c r="A757">
        <v>3161092603</v>
      </c>
      <c r="B757" t="s">
        <v>21707</v>
      </c>
      <c r="C757" t="s">
        <v>22021</v>
      </c>
    </row>
    <row r="758" spans="1:3">
      <c r="A758">
        <v>3161092611</v>
      </c>
      <c r="B758" t="s">
        <v>22010</v>
      </c>
      <c r="C758" t="s">
        <v>21251</v>
      </c>
    </row>
    <row r="759" spans="1:3">
      <c r="A759">
        <v>3161092612</v>
      </c>
      <c r="B759" t="s">
        <v>22010</v>
      </c>
      <c r="C759" t="s">
        <v>22022</v>
      </c>
    </row>
    <row r="760" spans="1:3">
      <c r="A760">
        <v>3161092613</v>
      </c>
      <c r="B760" t="s">
        <v>22010</v>
      </c>
      <c r="C760" t="s">
        <v>22023</v>
      </c>
    </row>
    <row r="761" spans="1:3">
      <c r="A761">
        <v>3161092623</v>
      </c>
      <c r="B761" t="s">
        <v>23990</v>
      </c>
      <c r="C761" t="s">
        <v>22025</v>
      </c>
    </row>
    <row r="762" spans="1:3">
      <c r="A762">
        <v>3161092624</v>
      </c>
      <c r="B762" t="s">
        <v>22024</v>
      </c>
      <c r="C762" t="s">
        <v>22026</v>
      </c>
    </row>
    <row r="763" spans="1:3">
      <c r="A763">
        <v>3161092625</v>
      </c>
      <c r="B763" t="s">
        <v>22024</v>
      </c>
      <c r="C763" t="s">
        <v>22027</v>
      </c>
    </row>
    <row r="764" spans="1:3">
      <c r="A764">
        <v>3161092704</v>
      </c>
      <c r="B764" t="s">
        <v>20569</v>
      </c>
      <c r="C764" t="s">
        <v>20568</v>
      </c>
    </row>
    <row r="765" spans="1:3">
      <c r="A765">
        <v>3161092716</v>
      </c>
      <c r="B765" t="s">
        <v>21944</v>
      </c>
      <c r="C765" t="s">
        <v>22028</v>
      </c>
    </row>
    <row r="766" spans="1:3">
      <c r="A766">
        <v>3161092717</v>
      </c>
      <c r="B766" t="s">
        <v>23366</v>
      </c>
      <c r="C766" t="s">
        <v>22029</v>
      </c>
    </row>
    <row r="767" spans="1:3">
      <c r="A767">
        <v>3161092793</v>
      </c>
      <c r="B767" t="s">
        <v>23991</v>
      </c>
      <c r="C767" t="s">
        <v>22030</v>
      </c>
    </row>
    <row r="768" spans="1:3">
      <c r="A768">
        <v>3161092795</v>
      </c>
      <c r="B768" t="s">
        <v>21995</v>
      </c>
      <c r="C768" t="s">
        <v>22031</v>
      </c>
    </row>
    <row r="769" spans="1:3">
      <c r="A769">
        <v>3161092796</v>
      </c>
      <c r="B769" t="s">
        <v>23227</v>
      </c>
      <c r="C769" t="s">
        <v>22032</v>
      </c>
    </row>
    <row r="770" spans="1:3">
      <c r="A770">
        <v>3161092797</v>
      </c>
      <c r="B770" t="s">
        <v>20525</v>
      </c>
      <c r="C770" t="s">
        <v>20526</v>
      </c>
    </row>
    <row r="771" spans="1:3">
      <c r="A771">
        <v>3161092798</v>
      </c>
      <c r="B771" t="s">
        <v>20529</v>
      </c>
      <c r="C771" t="s">
        <v>20528</v>
      </c>
    </row>
    <row r="772" spans="1:3">
      <c r="A772">
        <v>3161092799</v>
      </c>
      <c r="B772" t="s">
        <v>23367</v>
      </c>
      <c r="C772" t="s">
        <v>20527</v>
      </c>
    </row>
    <row r="773" spans="1:3">
      <c r="A773">
        <v>3161092969</v>
      </c>
      <c r="B773" t="s">
        <v>6264</v>
      </c>
      <c r="C773" t="s">
        <v>22033</v>
      </c>
    </row>
    <row r="774" spans="1:3">
      <c r="A774">
        <v>3161092994</v>
      </c>
      <c r="B774" t="s">
        <v>6264</v>
      </c>
      <c r="C774" t="s">
        <v>22034</v>
      </c>
    </row>
    <row r="775" spans="1:3">
      <c r="A775">
        <v>3161092995</v>
      </c>
      <c r="B775" t="s">
        <v>6260</v>
      </c>
      <c r="C775" t="s">
        <v>22035</v>
      </c>
    </row>
    <row r="776" spans="1:3">
      <c r="A776">
        <v>3161093559</v>
      </c>
      <c r="B776" t="s">
        <v>21981</v>
      </c>
      <c r="C776" t="s">
        <v>22036</v>
      </c>
    </row>
    <row r="777" spans="1:3">
      <c r="A777">
        <v>3161093649</v>
      </c>
      <c r="B777" t="s">
        <v>20540</v>
      </c>
      <c r="C777" t="s">
        <v>20539</v>
      </c>
    </row>
    <row r="778" spans="1:3">
      <c r="A778">
        <v>3161093650</v>
      </c>
      <c r="B778" t="s">
        <v>20538</v>
      </c>
      <c r="C778" t="s">
        <v>20537</v>
      </c>
    </row>
    <row r="779" spans="1:3">
      <c r="A779">
        <v>3161093651</v>
      </c>
      <c r="B779" t="s">
        <v>23992</v>
      </c>
      <c r="C779" t="s">
        <v>22037</v>
      </c>
    </row>
    <row r="780" spans="1:3">
      <c r="A780">
        <v>3161093745</v>
      </c>
      <c r="B780" t="s">
        <v>23993</v>
      </c>
      <c r="C780" t="s">
        <v>20536</v>
      </c>
    </row>
    <row r="781" spans="1:3">
      <c r="A781">
        <v>3161093759</v>
      </c>
      <c r="B781" t="s">
        <v>22038</v>
      </c>
      <c r="C781" t="s">
        <v>22039</v>
      </c>
    </row>
    <row r="782" spans="1:3">
      <c r="A782">
        <v>3161093790</v>
      </c>
      <c r="B782" t="s">
        <v>21941</v>
      </c>
      <c r="C782" t="s">
        <v>20647</v>
      </c>
    </row>
    <row r="783" spans="1:3">
      <c r="A783">
        <v>3161093791</v>
      </c>
      <c r="B783" t="s">
        <v>23994</v>
      </c>
      <c r="C783" t="s">
        <v>22040</v>
      </c>
    </row>
    <row r="784" spans="1:3">
      <c r="A784">
        <v>3161093829</v>
      </c>
      <c r="B784" t="s">
        <v>21981</v>
      </c>
      <c r="C784" t="s">
        <v>22041</v>
      </c>
    </row>
    <row r="785" spans="1:3">
      <c r="A785">
        <v>3161093830</v>
      </c>
      <c r="B785" t="s">
        <v>23995</v>
      </c>
      <c r="C785" t="s">
        <v>22042</v>
      </c>
    </row>
    <row r="786" spans="1:3">
      <c r="A786">
        <v>3161093831</v>
      </c>
      <c r="B786" t="s">
        <v>23996</v>
      </c>
      <c r="C786" t="s">
        <v>22043</v>
      </c>
    </row>
    <row r="787" spans="1:3">
      <c r="A787">
        <v>3161093832</v>
      </c>
      <c r="B787" t="s">
        <v>20535</v>
      </c>
      <c r="C787" t="s">
        <v>20534</v>
      </c>
    </row>
    <row r="788" spans="1:3">
      <c r="A788">
        <v>3161094210</v>
      </c>
      <c r="B788" t="s">
        <v>22044</v>
      </c>
      <c r="C788" t="s">
        <v>22045</v>
      </c>
    </row>
    <row r="789" spans="1:3">
      <c r="A789">
        <v>3161094211</v>
      </c>
      <c r="B789" t="s">
        <v>23997</v>
      </c>
      <c r="C789" t="s">
        <v>22046</v>
      </c>
    </row>
    <row r="790" spans="1:3">
      <c r="A790">
        <v>3161094239</v>
      </c>
      <c r="B790" t="s">
        <v>20546</v>
      </c>
      <c r="C790" t="s">
        <v>20545</v>
      </c>
    </row>
    <row r="791" spans="1:3">
      <c r="A791">
        <v>3161094240</v>
      </c>
      <c r="B791" t="s">
        <v>20552</v>
      </c>
      <c r="C791" t="s">
        <v>20551</v>
      </c>
    </row>
    <row r="792" spans="1:3">
      <c r="A792">
        <v>3161094242</v>
      </c>
      <c r="B792" t="s">
        <v>23228</v>
      </c>
      <c r="C792" t="s">
        <v>22047</v>
      </c>
    </row>
    <row r="793" spans="1:3">
      <c r="A793">
        <v>3161094249</v>
      </c>
      <c r="B793" t="s">
        <v>23998</v>
      </c>
      <c r="C793" t="s">
        <v>20594</v>
      </c>
    </row>
    <row r="794" spans="1:3">
      <c r="A794">
        <v>3161094256</v>
      </c>
      <c r="B794" t="s">
        <v>22048</v>
      </c>
      <c r="C794" t="s">
        <v>20611</v>
      </c>
    </row>
    <row r="795" spans="1:3">
      <c r="A795">
        <v>3161094259</v>
      </c>
      <c r="B795" t="s">
        <v>21786</v>
      </c>
      <c r="C795" t="s">
        <v>20641</v>
      </c>
    </row>
    <row r="796" spans="1:3">
      <c r="A796">
        <v>3161094260</v>
      </c>
      <c r="B796" t="s">
        <v>21906</v>
      </c>
      <c r="C796" t="s">
        <v>22049</v>
      </c>
    </row>
    <row r="797" spans="1:3">
      <c r="A797">
        <v>3161094269</v>
      </c>
      <c r="B797" t="s">
        <v>23999</v>
      </c>
      <c r="C797" t="s">
        <v>20616</v>
      </c>
    </row>
    <row r="798" spans="1:3">
      <c r="A798">
        <v>3161094273</v>
      </c>
      <c r="B798" t="s">
        <v>24000</v>
      </c>
      <c r="C798" t="s">
        <v>20612</v>
      </c>
    </row>
    <row r="799" spans="1:3">
      <c r="A799">
        <v>3161094276</v>
      </c>
      <c r="B799" t="s">
        <v>21786</v>
      </c>
      <c r="C799" t="s">
        <v>22050</v>
      </c>
    </row>
    <row r="800" spans="1:3">
      <c r="A800">
        <v>3161094277</v>
      </c>
      <c r="B800" t="s">
        <v>23229</v>
      </c>
      <c r="C800" t="s">
        <v>21492</v>
      </c>
    </row>
    <row r="801" spans="1:3">
      <c r="A801">
        <v>3161094282</v>
      </c>
      <c r="B801" t="s">
        <v>20593</v>
      </c>
      <c r="C801" t="s">
        <v>20592</v>
      </c>
    </row>
    <row r="802" spans="1:3">
      <c r="A802">
        <v>3161094287</v>
      </c>
      <c r="B802" t="s">
        <v>6295</v>
      </c>
      <c r="C802" t="s">
        <v>22051</v>
      </c>
    </row>
    <row r="803" spans="1:3">
      <c r="A803">
        <v>3161094288</v>
      </c>
      <c r="B803" t="s">
        <v>21786</v>
      </c>
      <c r="C803" t="s">
        <v>22052</v>
      </c>
    </row>
    <row r="804" spans="1:3">
      <c r="A804">
        <v>3161094289</v>
      </c>
      <c r="B804" t="s">
        <v>23230</v>
      </c>
      <c r="C804" t="s">
        <v>20638</v>
      </c>
    </row>
    <row r="805" spans="1:3">
      <c r="A805">
        <v>3161094293</v>
      </c>
      <c r="B805" t="s">
        <v>20596</v>
      </c>
      <c r="C805" t="s">
        <v>20595</v>
      </c>
    </row>
    <row r="806" spans="1:3">
      <c r="A806">
        <v>3161094297</v>
      </c>
      <c r="B806" t="s">
        <v>24001</v>
      </c>
      <c r="C806" t="s">
        <v>22053</v>
      </c>
    </row>
    <row r="807" spans="1:3">
      <c r="A807">
        <v>3161094300</v>
      </c>
      <c r="B807" t="s">
        <v>21786</v>
      </c>
      <c r="C807" t="s">
        <v>22054</v>
      </c>
    </row>
    <row r="808" spans="1:3">
      <c r="A808">
        <v>3161094301</v>
      </c>
      <c r="B808" t="s">
        <v>23231</v>
      </c>
      <c r="C808" t="s">
        <v>22055</v>
      </c>
    </row>
    <row r="809" spans="1:3">
      <c r="A809">
        <v>3161094305</v>
      </c>
      <c r="B809" t="s">
        <v>20598</v>
      </c>
      <c r="C809" t="s">
        <v>20597</v>
      </c>
    </row>
    <row r="810" spans="1:3">
      <c r="A810">
        <v>3161094315</v>
      </c>
      <c r="B810" t="s">
        <v>20544</v>
      </c>
      <c r="C810" t="s">
        <v>20543</v>
      </c>
    </row>
    <row r="811" spans="1:3">
      <c r="A811">
        <v>3161094318</v>
      </c>
      <c r="B811" t="s">
        <v>21786</v>
      </c>
      <c r="C811" t="s">
        <v>22056</v>
      </c>
    </row>
    <row r="812" spans="1:3">
      <c r="A812">
        <v>3161094319</v>
      </c>
      <c r="B812" t="s">
        <v>23232</v>
      </c>
      <c r="C812" t="s">
        <v>22057</v>
      </c>
    </row>
    <row r="813" spans="1:3">
      <c r="A813">
        <v>3161094324</v>
      </c>
      <c r="B813" t="s">
        <v>20600</v>
      </c>
      <c r="C813" t="s">
        <v>20599</v>
      </c>
    </row>
    <row r="814" spans="1:3">
      <c r="A814">
        <v>3161094326</v>
      </c>
      <c r="B814" t="s">
        <v>21724</v>
      </c>
      <c r="C814" t="s">
        <v>22058</v>
      </c>
    </row>
    <row r="815" spans="1:3">
      <c r="A815">
        <v>3161094467</v>
      </c>
      <c r="B815" t="s">
        <v>21885</v>
      </c>
      <c r="C815" t="s">
        <v>22059</v>
      </c>
    </row>
    <row r="816" spans="1:3">
      <c r="A816">
        <v>3161094468</v>
      </c>
      <c r="B816" t="s">
        <v>21941</v>
      </c>
      <c r="C816" t="s">
        <v>22060</v>
      </c>
    </row>
    <row r="817" spans="1:3">
      <c r="A817">
        <v>3161094469</v>
      </c>
      <c r="B817" t="s">
        <v>21944</v>
      </c>
      <c r="C817" t="s">
        <v>22061</v>
      </c>
    </row>
    <row r="818" spans="1:3">
      <c r="A818">
        <v>3161094470</v>
      </c>
      <c r="B818" t="s">
        <v>21942</v>
      </c>
      <c r="C818" t="s">
        <v>22062</v>
      </c>
    </row>
    <row r="819" spans="1:3">
      <c r="A819">
        <v>3161094471</v>
      </c>
      <c r="B819" t="s">
        <v>21865</v>
      </c>
      <c r="C819" t="s">
        <v>22063</v>
      </c>
    </row>
    <row r="820" spans="1:3">
      <c r="A820">
        <v>3161094472</v>
      </c>
      <c r="B820" t="s">
        <v>21922</v>
      </c>
      <c r="C820" t="s">
        <v>22064</v>
      </c>
    </row>
    <row r="821" spans="1:3">
      <c r="A821">
        <v>3161094473</v>
      </c>
      <c r="B821" t="s">
        <v>20548</v>
      </c>
      <c r="C821" t="s">
        <v>20547</v>
      </c>
    </row>
    <row r="822" spans="1:3">
      <c r="A822">
        <v>3161094474</v>
      </c>
      <c r="B822" t="s">
        <v>20531</v>
      </c>
      <c r="C822" t="s">
        <v>20530</v>
      </c>
    </row>
    <row r="823" spans="1:3">
      <c r="A823">
        <v>3161094492</v>
      </c>
      <c r="B823" t="s">
        <v>22065</v>
      </c>
      <c r="C823" t="s">
        <v>22066</v>
      </c>
    </row>
    <row r="824" spans="1:3">
      <c r="A824">
        <v>3161094494</v>
      </c>
      <c r="B824" t="s">
        <v>22067</v>
      </c>
      <c r="C824" t="s">
        <v>22068</v>
      </c>
    </row>
    <row r="825" spans="1:3">
      <c r="A825">
        <v>3161094495</v>
      </c>
      <c r="B825" t="s">
        <v>22048</v>
      </c>
      <c r="C825" t="s">
        <v>22069</v>
      </c>
    </row>
    <row r="826" spans="1:3">
      <c r="A826">
        <v>3161094496</v>
      </c>
      <c r="B826" t="s">
        <v>24002</v>
      </c>
      <c r="C826" t="s">
        <v>22070</v>
      </c>
    </row>
    <row r="827" spans="1:3">
      <c r="A827">
        <v>3161094497</v>
      </c>
      <c r="B827" t="s">
        <v>22071</v>
      </c>
      <c r="C827" t="s">
        <v>22072</v>
      </c>
    </row>
    <row r="828" spans="1:3">
      <c r="A828">
        <v>3161094498</v>
      </c>
      <c r="B828" t="s">
        <v>22073</v>
      </c>
      <c r="C828" t="s">
        <v>22074</v>
      </c>
    </row>
    <row r="829" spans="1:3">
      <c r="A829">
        <v>3161094499</v>
      </c>
      <c r="B829" t="s">
        <v>24003</v>
      </c>
      <c r="C829" t="s">
        <v>22075</v>
      </c>
    </row>
    <row r="830" spans="1:3">
      <c r="A830">
        <v>3161094500</v>
      </c>
      <c r="B830" t="s">
        <v>22076</v>
      </c>
      <c r="C830" t="s">
        <v>22077</v>
      </c>
    </row>
    <row r="831" spans="1:3">
      <c r="A831">
        <v>3161094501</v>
      </c>
      <c r="B831" t="s">
        <v>22078</v>
      </c>
      <c r="C831" t="s">
        <v>20661</v>
      </c>
    </row>
    <row r="832" spans="1:3">
      <c r="A832">
        <v>3161094502</v>
      </c>
      <c r="B832" t="s">
        <v>24004</v>
      </c>
      <c r="C832" t="s">
        <v>20662</v>
      </c>
    </row>
    <row r="833" spans="1:3">
      <c r="A833">
        <v>3161095105</v>
      </c>
      <c r="B833" t="s">
        <v>22080</v>
      </c>
      <c r="C833" t="s">
        <v>22081</v>
      </c>
    </row>
    <row r="834" spans="1:3">
      <c r="A834">
        <v>3161095109</v>
      </c>
      <c r="B834" t="s">
        <v>22082</v>
      </c>
      <c r="C834" t="s">
        <v>22083</v>
      </c>
    </row>
    <row r="835" spans="1:3">
      <c r="A835">
        <v>3161095110</v>
      </c>
      <c r="B835" t="s">
        <v>24005</v>
      </c>
      <c r="C835" t="s">
        <v>20609</v>
      </c>
    </row>
    <row r="836" spans="1:3">
      <c r="A836">
        <v>3161095111</v>
      </c>
      <c r="B836" t="s">
        <v>24006</v>
      </c>
      <c r="C836" t="s">
        <v>20610</v>
      </c>
    </row>
    <row r="837" spans="1:3">
      <c r="A837">
        <v>3161095114</v>
      </c>
      <c r="B837" t="s">
        <v>22084</v>
      </c>
      <c r="C837" t="s">
        <v>22085</v>
      </c>
    </row>
    <row r="838" spans="1:3">
      <c r="A838">
        <v>3161095115</v>
      </c>
      <c r="B838" t="s">
        <v>22086</v>
      </c>
      <c r="C838" t="s">
        <v>21021</v>
      </c>
    </row>
    <row r="839" spans="1:3">
      <c r="A839">
        <v>3161095116</v>
      </c>
      <c r="B839" t="s">
        <v>22087</v>
      </c>
      <c r="C839" t="s">
        <v>22088</v>
      </c>
    </row>
    <row r="840" spans="1:3">
      <c r="A840">
        <v>3161095117</v>
      </c>
      <c r="B840" t="s">
        <v>22089</v>
      </c>
      <c r="C840" t="s">
        <v>22090</v>
      </c>
    </row>
    <row r="841" spans="1:3">
      <c r="A841">
        <v>3161095120</v>
      </c>
      <c r="B841" t="s">
        <v>20542</v>
      </c>
      <c r="C841" t="s">
        <v>20541</v>
      </c>
    </row>
    <row r="842" spans="1:3">
      <c r="A842">
        <v>3161095160</v>
      </c>
      <c r="B842" t="s">
        <v>21954</v>
      </c>
      <c r="C842" t="s">
        <v>22091</v>
      </c>
    </row>
    <row r="843" spans="1:3">
      <c r="A843">
        <v>3161095161</v>
      </c>
      <c r="B843" t="s">
        <v>21786</v>
      </c>
      <c r="C843" t="s">
        <v>22092</v>
      </c>
    </row>
    <row r="844" spans="1:3">
      <c r="A844">
        <v>3161095163</v>
      </c>
      <c r="B844" t="s">
        <v>21942</v>
      </c>
      <c r="C844" t="s">
        <v>22093</v>
      </c>
    </row>
    <row r="845" spans="1:3">
      <c r="A845">
        <v>3161095164</v>
      </c>
      <c r="B845" t="s">
        <v>21944</v>
      </c>
      <c r="C845" t="s">
        <v>22094</v>
      </c>
    </row>
    <row r="846" spans="1:3">
      <c r="A846">
        <v>3161095170</v>
      </c>
      <c r="B846" t="s">
        <v>20591</v>
      </c>
      <c r="C846" t="s">
        <v>20590</v>
      </c>
    </row>
    <row r="847" spans="1:3">
      <c r="A847">
        <v>3161095172</v>
      </c>
      <c r="B847" t="s">
        <v>21954</v>
      </c>
      <c r="C847" t="s">
        <v>20646</v>
      </c>
    </row>
    <row r="848" spans="1:3">
      <c r="A848">
        <v>3161095188</v>
      </c>
      <c r="B848" t="s">
        <v>21942</v>
      </c>
      <c r="C848" t="s">
        <v>22095</v>
      </c>
    </row>
    <row r="849" spans="1:3">
      <c r="A849">
        <v>3161095195</v>
      </c>
      <c r="B849" t="s">
        <v>24007</v>
      </c>
      <c r="C849" t="s">
        <v>20615</v>
      </c>
    </row>
    <row r="850" spans="1:3">
      <c r="A850">
        <v>3161095208</v>
      </c>
      <c r="B850" t="s">
        <v>21885</v>
      </c>
      <c r="C850" t="s">
        <v>22096</v>
      </c>
    </row>
    <row r="851" spans="1:3">
      <c r="A851">
        <v>3161095211</v>
      </c>
      <c r="B851" t="s">
        <v>21978</v>
      </c>
      <c r="C851" t="s">
        <v>22097</v>
      </c>
    </row>
    <row r="852" spans="1:3">
      <c r="A852">
        <v>3161095212</v>
      </c>
      <c r="B852" t="s">
        <v>23368</v>
      </c>
      <c r="C852" t="s">
        <v>22098</v>
      </c>
    </row>
    <row r="853" spans="1:3">
      <c r="A853">
        <v>3161095215</v>
      </c>
      <c r="B853" t="s">
        <v>21942</v>
      </c>
      <c r="C853" t="s">
        <v>22099</v>
      </c>
    </row>
    <row r="854" spans="1:3">
      <c r="A854">
        <v>3161095216</v>
      </c>
      <c r="B854" t="s">
        <v>21944</v>
      </c>
      <c r="C854" t="s">
        <v>22100</v>
      </c>
    </row>
    <row r="855" spans="1:3">
      <c r="A855">
        <v>3161095217</v>
      </c>
      <c r="B855" t="s">
        <v>21941</v>
      </c>
      <c r="C855" t="s">
        <v>22101</v>
      </c>
    </row>
    <row r="856" spans="1:3">
      <c r="A856">
        <v>3161095223</v>
      </c>
      <c r="B856" t="s">
        <v>21707</v>
      </c>
      <c r="C856" t="s">
        <v>22102</v>
      </c>
    </row>
    <row r="857" spans="1:3">
      <c r="A857">
        <v>3161095225</v>
      </c>
      <c r="B857" t="s">
        <v>21978</v>
      </c>
      <c r="C857" t="s">
        <v>22103</v>
      </c>
    </row>
    <row r="858" spans="1:3">
      <c r="A858">
        <v>3161095226</v>
      </c>
      <c r="B858" t="s">
        <v>21707</v>
      </c>
      <c r="C858" t="s">
        <v>22104</v>
      </c>
    </row>
    <row r="859" spans="1:3">
      <c r="A859">
        <v>3161095227</v>
      </c>
      <c r="B859" t="s">
        <v>21707</v>
      </c>
      <c r="C859" t="s">
        <v>22105</v>
      </c>
    </row>
    <row r="860" spans="1:3">
      <c r="A860">
        <v>3161095234</v>
      </c>
      <c r="B860" t="s">
        <v>21981</v>
      </c>
      <c r="C860" t="s">
        <v>22106</v>
      </c>
    </row>
    <row r="861" spans="1:3">
      <c r="A861">
        <v>3161095236</v>
      </c>
      <c r="B861" t="s">
        <v>21978</v>
      </c>
      <c r="C861" t="s">
        <v>22107</v>
      </c>
    </row>
    <row r="862" spans="1:3">
      <c r="A862">
        <v>3161095237</v>
      </c>
      <c r="B862" t="s">
        <v>21707</v>
      </c>
      <c r="C862" t="s">
        <v>22108</v>
      </c>
    </row>
    <row r="863" spans="1:3">
      <c r="A863">
        <v>3161095239</v>
      </c>
      <c r="B863" t="s">
        <v>21942</v>
      </c>
      <c r="C863" t="s">
        <v>22109</v>
      </c>
    </row>
    <row r="864" spans="1:3">
      <c r="A864">
        <v>3161095240</v>
      </c>
      <c r="B864" t="s">
        <v>21944</v>
      </c>
      <c r="C864" t="s">
        <v>22110</v>
      </c>
    </row>
    <row r="865" spans="1:3">
      <c r="A865">
        <v>3161095241</v>
      </c>
      <c r="B865" t="s">
        <v>21941</v>
      </c>
      <c r="C865" t="s">
        <v>22111</v>
      </c>
    </row>
    <row r="866" spans="1:3">
      <c r="A866">
        <v>3161095242</v>
      </c>
      <c r="B866" t="s">
        <v>24008</v>
      </c>
      <c r="C866" t="s">
        <v>22112</v>
      </c>
    </row>
    <row r="867" spans="1:3">
      <c r="A867">
        <v>3161095248</v>
      </c>
      <c r="B867" t="s">
        <v>21707</v>
      </c>
      <c r="C867" t="s">
        <v>22113</v>
      </c>
    </row>
    <row r="868" spans="1:3">
      <c r="A868">
        <v>3161095249</v>
      </c>
      <c r="B868" t="s">
        <v>24009</v>
      </c>
      <c r="C868" t="s">
        <v>22114</v>
      </c>
    </row>
    <row r="869" spans="1:3">
      <c r="A869">
        <v>3161095272</v>
      </c>
      <c r="B869" t="s">
        <v>22115</v>
      </c>
      <c r="C869" t="s">
        <v>22116</v>
      </c>
    </row>
    <row r="870" spans="1:3">
      <c r="A870">
        <v>3161095273</v>
      </c>
      <c r="B870" t="s">
        <v>22115</v>
      </c>
      <c r="C870" t="s">
        <v>22117</v>
      </c>
    </row>
    <row r="871" spans="1:3">
      <c r="A871">
        <v>3161095274</v>
      </c>
      <c r="B871" t="s">
        <v>22115</v>
      </c>
      <c r="C871" t="s">
        <v>22118</v>
      </c>
    </row>
    <row r="872" spans="1:3">
      <c r="A872">
        <v>3161095330</v>
      </c>
      <c r="B872" t="s">
        <v>20645</v>
      </c>
      <c r="C872" t="s">
        <v>20644</v>
      </c>
    </row>
    <row r="873" spans="1:3">
      <c r="A873">
        <v>3161095331</v>
      </c>
      <c r="B873" t="s">
        <v>20643</v>
      </c>
      <c r="C873" t="s">
        <v>20642</v>
      </c>
    </row>
    <row r="874" spans="1:3">
      <c r="A874">
        <v>3161095337</v>
      </c>
      <c r="B874" t="s">
        <v>21312</v>
      </c>
      <c r="C874" t="s">
        <v>21313</v>
      </c>
    </row>
    <row r="875" spans="1:3">
      <c r="A875">
        <v>3161095372</v>
      </c>
      <c r="B875" t="s">
        <v>24010</v>
      </c>
      <c r="C875" t="s">
        <v>22119</v>
      </c>
    </row>
    <row r="876" spans="1:3">
      <c r="A876">
        <v>3161095839</v>
      </c>
      <c r="B876" t="s">
        <v>22120</v>
      </c>
      <c r="C876" t="s">
        <v>22121</v>
      </c>
    </row>
    <row r="877" spans="1:3">
      <c r="A877">
        <v>3161095947</v>
      </c>
      <c r="B877" t="s">
        <v>21944</v>
      </c>
      <c r="C877" t="s">
        <v>22122</v>
      </c>
    </row>
    <row r="878" spans="1:3">
      <c r="A878">
        <v>3161095968</v>
      </c>
      <c r="B878" t="s">
        <v>23233</v>
      </c>
      <c r="C878" t="s">
        <v>22123</v>
      </c>
    </row>
    <row r="879" spans="1:3">
      <c r="A879">
        <v>3161097859</v>
      </c>
      <c r="B879" t="s">
        <v>20614</v>
      </c>
      <c r="C879" t="s">
        <v>20613</v>
      </c>
    </row>
    <row r="880" spans="1:3">
      <c r="A880">
        <v>3161097863</v>
      </c>
      <c r="B880" t="s">
        <v>20618</v>
      </c>
      <c r="C880" t="s">
        <v>20617</v>
      </c>
    </row>
    <row r="881" spans="1:3">
      <c r="A881">
        <v>3161098516</v>
      </c>
      <c r="B881" t="s">
        <v>20964</v>
      </c>
      <c r="C881" t="s">
        <v>20963</v>
      </c>
    </row>
    <row r="882" spans="1:3">
      <c r="A882">
        <v>3161098599</v>
      </c>
      <c r="B882" t="s">
        <v>20521</v>
      </c>
      <c r="C882" t="s">
        <v>20520</v>
      </c>
    </row>
    <row r="883" spans="1:3">
      <c r="A883">
        <v>3161098600</v>
      </c>
      <c r="B883" t="s">
        <v>20523</v>
      </c>
      <c r="C883" t="s">
        <v>20522</v>
      </c>
    </row>
    <row r="884" spans="1:3">
      <c r="A884">
        <v>3161098601</v>
      </c>
      <c r="B884" t="s">
        <v>20519</v>
      </c>
      <c r="C884" t="s">
        <v>20518</v>
      </c>
    </row>
    <row r="885" spans="1:3">
      <c r="A885">
        <v>3161099032</v>
      </c>
      <c r="B885" t="s">
        <v>20667</v>
      </c>
      <c r="C885" t="s">
        <v>20666</v>
      </c>
    </row>
    <row r="886" spans="1:3">
      <c r="A886">
        <v>3161099566</v>
      </c>
      <c r="B886" t="s">
        <v>22124</v>
      </c>
      <c r="C886" t="s">
        <v>22125</v>
      </c>
    </row>
    <row r="887" spans="1:3">
      <c r="A887">
        <v>3161099622</v>
      </c>
      <c r="B887" t="s">
        <v>22126</v>
      </c>
      <c r="C887" t="s">
        <v>22127</v>
      </c>
    </row>
    <row r="888" spans="1:3">
      <c r="A888">
        <v>3161099636</v>
      </c>
      <c r="B888" t="s">
        <v>22128</v>
      </c>
      <c r="C888" t="s">
        <v>22129</v>
      </c>
    </row>
    <row r="889" spans="1:3">
      <c r="A889">
        <v>3161099637</v>
      </c>
      <c r="B889" t="s">
        <v>21652</v>
      </c>
      <c r="C889" t="s">
        <v>22130</v>
      </c>
    </row>
    <row r="890" spans="1:3">
      <c r="A890">
        <v>3161099655</v>
      </c>
      <c r="B890" t="s">
        <v>22131</v>
      </c>
      <c r="C890" t="s">
        <v>22132</v>
      </c>
    </row>
    <row r="891" spans="1:3">
      <c r="A891">
        <v>3161099659</v>
      </c>
      <c r="B891" t="s">
        <v>22133</v>
      </c>
      <c r="C891" t="s">
        <v>22134</v>
      </c>
    </row>
    <row r="892" spans="1:3">
      <c r="A892">
        <v>3161099669</v>
      </c>
      <c r="B892" t="s">
        <v>20632</v>
      </c>
      <c r="C892" t="s">
        <v>20631</v>
      </c>
    </row>
    <row r="893" spans="1:3">
      <c r="A893">
        <v>3161099734</v>
      </c>
      <c r="B893" t="s">
        <v>21386</v>
      </c>
      <c r="C893" t="s">
        <v>21387</v>
      </c>
    </row>
    <row r="894" spans="1:3">
      <c r="A894">
        <v>3161099735</v>
      </c>
      <c r="B894" t="s">
        <v>21388</v>
      </c>
      <c r="C894" t="s">
        <v>21389</v>
      </c>
    </row>
    <row r="895" spans="1:3">
      <c r="A895">
        <v>3161099736</v>
      </c>
      <c r="B895" t="s">
        <v>21390</v>
      </c>
      <c r="C895" t="s">
        <v>21391</v>
      </c>
    </row>
    <row r="896" spans="1:3">
      <c r="A896">
        <v>3161099737</v>
      </c>
      <c r="B896" t="s">
        <v>21569</v>
      </c>
      <c r="C896" t="s">
        <v>21392</v>
      </c>
    </row>
    <row r="897" spans="1:3">
      <c r="A897">
        <v>3161099738</v>
      </c>
      <c r="B897" t="s">
        <v>21393</v>
      </c>
      <c r="C897" t="s">
        <v>21394</v>
      </c>
    </row>
    <row r="898" spans="1:3">
      <c r="A898">
        <v>3161099849</v>
      </c>
      <c r="B898" t="s">
        <v>22784</v>
      </c>
      <c r="C898" t="s">
        <v>22785</v>
      </c>
    </row>
    <row r="899" spans="1:3">
      <c r="A899">
        <v>3161099850</v>
      </c>
      <c r="B899" t="s">
        <v>22786</v>
      </c>
      <c r="C899" t="s">
        <v>22787</v>
      </c>
    </row>
    <row r="900" spans="1:3">
      <c r="A900">
        <v>3161099851</v>
      </c>
      <c r="B900" t="s">
        <v>24226</v>
      </c>
      <c r="C900" t="s">
        <v>22788</v>
      </c>
    </row>
    <row r="901" spans="1:3">
      <c r="A901">
        <v>3161099904</v>
      </c>
      <c r="B901" t="s">
        <v>23084</v>
      </c>
      <c r="C901" t="s">
        <v>22789</v>
      </c>
    </row>
    <row r="902" spans="1:3">
      <c r="A902">
        <v>3161099905</v>
      </c>
      <c r="B902" t="s">
        <v>22790</v>
      </c>
      <c r="C902" t="s">
        <v>22791</v>
      </c>
    </row>
    <row r="903" spans="1:3">
      <c r="A903">
        <v>3161099974</v>
      </c>
      <c r="B903" t="s">
        <v>6260</v>
      </c>
      <c r="C903" t="s">
        <v>22135</v>
      </c>
    </row>
    <row r="904" spans="1:3">
      <c r="A904">
        <v>3168452392</v>
      </c>
      <c r="B904" t="s">
        <v>22136</v>
      </c>
      <c r="C904" t="s">
        <v>22137</v>
      </c>
    </row>
    <row r="905" spans="1:3">
      <c r="A905">
        <v>3168452439</v>
      </c>
      <c r="B905" t="s">
        <v>22138</v>
      </c>
      <c r="C905" t="s">
        <v>22139</v>
      </c>
    </row>
    <row r="906" spans="1:3">
      <c r="A906">
        <v>3201014355</v>
      </c>
      <c r="B906" t="s">
        <v>21093</v>
      </c>
      <c r="C906" t="s">
        <v>21092</v>
      </c>
    </row>
    <row r="907" spans="1:3">
      <c r="A907">
        <v>3201014356</v>
      </c>
      <c r="B907" t="s">
        <v>21091</v>
      </c>
      <c r="C907" t="s">
        <v>21090</v>
      </c>
    </row>
    <row r="908" spans="1:3">
      <c r="A908">
        <v>3201019615</v>
      </c>
      <c r="B908" t="s">
        <v>22140</v>
      </c>
      <c r="C908" t="s">
        <v>22141</v>
      </c>
    </row>
    <row r="909" spans="1:3">
      <c r="A909">
        <v>3301023945</v>
      </c>
      <c r="B909" t="s">
        <v>24011</v>
      </c>
      <c r="C909" t="s">
        <v>24012</v>
      </c>
    </row>
    <row r="910" spans="1:3">
      <c r="A910">
        <v>3301069930</v>
      </c>
      <c r="B910" t="s">
        <v>23085</v>
      </c>
      <c r="C910" t="s">
        <v>23086</v>
      </c>
    </row>
    <row r="911" spans="1:3">
      <c r="A911">
        <v>3301071152</v>
      </c>
      <c r="B911" t="s">
        <v>23369</v>
      </c>
      <c r="C911" t="s">
        <v>23370</v>
      </c>
    </row>
    <row r="912" spans="1:3">
      <c r="A912">
        <v>3301071313</v>
      </c>
      <c r="B912" t="s">
        <v>24227</v>
      </c>
      <c r="C912" t="s">
        <v>24228</v>
      </c>
    </row>
    <row r="913" spans="1:3">
      <c r="A913">
        <v>3301071384</v>
      </c>
      <c r="B913" t="s">
        <v>24525</v>
      </c>
      <c r="C913" t="s">
        <v>24526</v>
      </c>
    </row>
    <row r="914" spans="1:3">
      <c r="A914">
        <v>3301071385</v>
      </c>
      <c r="B914" t="s">
        <v>24768</v>
      </c>
      <c r="C914" t="s">
        <v>24769</v>
      </c>
    </row>
    <row r="915" spans="1:3">
      <c r="A915">
        <v>3301071387</v>
      </c>
      <c r="B915" t="s">
        <v>24770</v>
      </c>
      <c r="C915" t="s">
        <v>24771</v>
      </c>
    </row>
    <row r="916" spans="1:3">
      <c r="A916">
        <v>3301071388</v>
      </c>
      <c r="B916" t="s">
        <v>24772</v>
      </c>
      <c r="C916" t="s">
        <v>24773</v>
      </c>
    </row>
    <row r="917" spans="1:3">
      <c r="A917">
        <v>3301071389</v>
      </c>
      <c r="B917" t="s">
        <v>24774</v>
      </c>
      <c r="C917" t="s">
        <v>24775</v>
      </c>
    </row>
    <row r="918" spans="1:3">
      <c r="A918">
        <v>3301071392</v>
      </c>
      <c r="B918" t="s">
        <v>24776</v>
      </c>
      <c r="C918" t="s">
        <v>24777</v>
      </c>
    </row>
    <row r="919" spans="1:3">
      <c r="A919">
        <v>3301071393</v>
      </c>
      <c r="B919" t="s">
        <v>24778</v>
      </c>
      <c r="C919" t="s">
        <v>24779</v>
      </c>
    </row>
    <row r="920" spans="1:3">
      <c r="A920">
        <v>3301071395</v>
      </c>
      <c r="B920" t="s">
        <v>24780</v>
      </c>
      <c r="C920" t="s">
        <v>24781</v>
      </c>
    </row>
    <row r="921" spans="1:3">
      <c r="A921">
        <v>3301071397</v>
      </c>
      <c r="B921" t="s">
        <v>24782</v>
      </c>
      <c r="C921" t="s">
        <v>24783</v>
      </c>
    </row>
    <row r="922" spans="1:3">
      <c r="A922">
        <v>3301071399</v>
      </c>
      <c r="B922" t="s">
        <v>24784</v>
      </c>
      <c r="C922" t="s">
        <v>24785</v>
      </c>
    </row>
    <row r="923" spans="1:3">
      <c r="A923">
        <v>3301071400</v>
      </c>
      <c r="B923" t="s">
        <v>24786</v>
      </c>
      <c r="C923" t="s">
        <v>24787</v>
      </c>
    </row>
    <row r="924" spans="1:3">
      <c r="A924">
        <v>3301071401</v>
      </c>
      <c r="B924" t="s">
        <v>24788</v>
      </c>
      <c r="C924" t="s">
        <v>24789</v>
      </c>
    </row>
    <row r="925" spans="1:3">
      <c r="A925">
        <v>3301071402</v>
      </c>
      <c r="B925" t="s">
        <v>24790</v>
      </c>
      <c r="C925" t="s">
        <v>24791</v>
      </c>
    </row>
    <row r="926" spans="1:3">
      <c r="A926">
        <v>3301071404</v>
      </c>
      <c r="B926" t="s">
        <v>24792</v>
      </c>
      <c r="C926" t="s">
        <v>24793</v>
      </c>
    </row>
    <row r="927" spans="1:3">
      <c r="A927">
        <v>3301071405</v>
      </c>
      <c r="B927" t="s">
        <v>24794</v>
      </c>
      <c r="C927" t="s">
        <v>24795</v>
      </c>
    </row>
    <row r="928" spans="1:3">
      <c r="A928">
        <v>3301071848</v>
      </c>
      <c r="B928" t="s">
        <v>24796</v>
      </c>
      <c r="C928" t="s">
        <v>24797</v>
      </c>
    </row>
    <row r="929" spans="1:3">
      <c r="A929">
        <v>3301072154</v>
      </c>
      <c r="B929" t="s">
        <v>22142</v>
      </c>
      <c r="C929" t="s">
        <v>22143</v>
      </c>
    </row>
    <row r="930" spans="1:3">
      <c r="A930">
        <v>3301072173</v>
      </c>
      <c r="B930" t="s">
        <v>22144</v>
      </c>
      <c r="C930" t="s">
        <v>22145</v>
      </c>
    </row>
    <row r="931" spans="1:3">
      <c r="A931">
        <v>3301072174</v>
      </c>
      <c r="B931" t="s">
        <v>22146</v>
      </c>
      <c r="C931" t="s">
        <v>22147</v>
      </c>
    </row>
    <row r="932" spans="1:3">
      <c r="A932">
        <v>3301072175</v>
      </c>
      <c r="B932" t="s">
        <v>22148</v>
      </c>
      <c r="C932" t="s">
        <v>22149</v>
      </c>
    </row>
    <row r="933" spans="1:3">
      <c r="A933">
        <v>3301072176</v>
      </c>
      <c r="B933" t="s">
        <v>22150</v>
      </c>
      <c r="C933" t="s">
        <v>22151</v>
      </c>
    </row>
    <row r="934" spans="1:3">
      <c r="A934">
        <v>3301072177</v>
      </c>
      <c r="B934" t="s">
        <v>22152</v>
      </c>
      <c r="C934" t="s">
        <v>22153</v>
      </c>
    </row>
    <row r="935" spans="1:3">
      <c r="A935">
        <v>3301072178</v>
      </c>
      <c r="B935" t="s">
        <v>22154</v>
      </c>
      <c r="C935" t="s">
        <v>22155</v>
      </c>
    </row>
    <row r="936" spans="1:3">
      <c r="A936">
        <v>3301072179</v>
      </c>
      <c r="B936" t="s">
        <v>22156</v>
      </c>
      <c r="C936" t="s">
        <v>22157</v>
      </c>
    </row>
    <row r="937" spans="1:3">
      <c r="A937">
        <v>3301072181</v>
      </c>
      <c r="B937" t="s">
        <v>22158</v>
      </c>
      <c r="C937" t="s">
        <v>22159</v>
      </c>
    </row>
    <row r="938" spans="1:3">
      <c r="A938">
        <v>3301072182</v>
      </c>
      <c r="B938" t="s">
        <v>22160</v>
      </c>
      <c r="C938" t="s">
        <v>22161</v>
      </c>
    </row>
    <row r="939" spans="1:3">
      <c r="A939">
        <v>3301072183</v>
      </c>
      <c r="B939" t="s">
        <v>22162</v>
      </c>
      <c r="C939" t="s">
        <v>22163</v>
      </c>
    </row>
    <row r="940" spans="1:3">
      <c r="A940">
        <v>3301072184</v>
      </c>
      <c r="B940" t="s">
        <v>22164</v>
      </c>
      <c r="C940" t="s">
        <v>22165</v>
      </c>
    </row>
    <row r="941" spans="1:3">
      <c r="A941">
        <v>3301072185</v>
      </c>
      <c r="B941" t="s">
        <v>22166</v>
      </c>
      <c r="C941" t="s">
        <v>22167</v>
      </c>
    </row>
    <row r="942" spans="1:3">
      <c r="A942">
        <v>3301072186</v>
      </c>
      <c r="B942" t="s">
        <v>22168</v>
      </c>
      <c r="C942" t="s">
        <v>22169</v>
      </c>
    </row>
    <row r="943" spans="1:3">
      <c r="A943">
        <v>3301072187</v>
      </c>
      <c r="B943" t="s">
        <v>22170</v>
      </c>
      <c r="C943" t="s">
        <v>22171</v>
      </c>
    </row>
    <row r="944" spans="1:3">
      <c r="A944">
        <v>3301072188</v>
      </c>
      <c r="B944" t="s">
        <v>22172</v>
      </c>
      <c r="C944" t="s">
        <v>22173</v>
      </c>
    </row>
    <row r="945" spans="1:3">
      <c r="A945">
        <v>3301072189</v>
      </c>
      <c r="B945" t="s">
        <v>22174</v>
      </c>
      <c r="C945" t="s">
        <v>22175</v>
      </c>
    </row>
    <row r="946" spans="1:3">
      <c r="A946">
        <v>3301072190</v>
      </c>
      <c r="B946" t="s">
        <v>22176</v>
      </c>
      <c r="C946" t="s">
        <v>22177</v>
      </c>
    </row>
    <row r="947" spans="1:3">
      <c r="A947">
        <v>3301072191</v>
      </c>
      <c r="B947" t="s">
        <v>22178</v>
      </c>
      <c r="C947" t="s">
        <v>22179</v>
      </c>
    </row>
    <row r="948" spans="1:3">
      <c r="A948">
        <v>3301072192</v>
      </c>
      <c r="B948" t="s">
        <v>22180</v>
      </c>
      <c r="C948" t="s">
        <v>22181</v>
      </c>
    </row>
    <row r="949" spans="1:3">
      <c r="A949">
        <v>3301072193</v>
      </c>
      <c r="B949" t="s">
        <v>22182</v>
      </c>
      <c r="C949" t="s">
        <v>22183</v>
      </c>
    </row>
    <row r="950" spans="1:3">
      <c r="A950">
        <v>3301072194</v>
      </c>
      <c r="B950" t="s">
        <v>22184</v>
      </c>
      <c r="C950" t="s">
        <v>22185</v>
      </c>
    </row>
    <row r="951" spans="1:3">
      <c r="A951">
        <v>3301072195</v>
      </c>
      <c r="B951" t="s">
        <v>22186</v>
      </c>
      <c r="C951" t="s">
        <v>22187</v>
      </c>
    </row>
    <row r="952" spans="1:3">
      <c r="A952">
        <v>3301072196</v>
      </c>
      <c r="B952" t="s">
        <v>22188</v>
      </c>
      <c r="C952" t="s">
        <v>22189</v>
      </c>
    </row>
    <row r="953" spans="1:3">
      <c r="A953">
        <v>3301072210</v>
      </c>
      <c r="B953" t="s">
        <v>6264</v>
      </c>
      <c r="C953" t="s">
        <v>22190</v>
      </c>
    </row>
    <row r="954" spans="1:3">
      <c r="A954">
        <v>3301072218</v>
      </c>
      <c r="B954" t="s">
        <v>22191</v>
      </c>
      <c r="C954" t="s">
        <v>21107</v>
      </c>
    </row>
    <row r="955" spans="1:3">
      <c r="A955">
        <v>3301072338</v>
      </c>
      <c r="B955" t="s">
        <v>20571</v>
      </c>
      <c r="C955" t="s">
        <v>20573</v>
      </c>
    </row>
    <row r="956" spans="1:3">
      <c r="A956">
        <v>3301072339</v>
      </c>
      <c r="B956" t="s">
        <v>20571</v>
      </c>
      <c r="C956" t="s">
        <v>20572</v>
      </c>
    </row>
    <row r="957" spans="1:3">
      <c r="A957">
        <v>3301072340</v>
      </c>
      <c r="B957" t="s">
        <v>20571</v>
      </c>
      <c r="C957" t="s">
        <v>20570</v>
      </c>
    </row>
    <row r="958" spans="1:3">
      <c r="A958">
        <v>3301072341</v>
      </c>
      <c r="B958" t="s">
        <v>20587</v>
      </c>
      <c r="C958" t="s">
        <v>20589</v>
      </c>
    </row>
    <row r="959" spans="1:3">
      <c r="A959">
        <v>3301072342</v>
      </c>
      <c r="B959" t="s">
        <v>20587</v>
      </c>
      <c r="C959" t="s">
        <v>20588</v>
      </c>
    </row>
    <row r="960" spans="1:3">
      <c r="A960">
        <v>3301072343</v>
      </c>
      <c r="B960" t="s">
        <v>20587</v>
      </c>
      <c r="C960" t="s">
        <v>20586</v>
      </c>
    </row>
    <row r="961" spans="1:3">
      <c r="A961">
        <v>3301072344</v>
      </c>
      <c r="B961" t="s">
        <v>20583</v>
      </c>
      <c r="C961" t="s">
        <v>20585</v>
      </c>
    </row>
    <row r="962" spans="1:3">
      <c r="A962">
        <v>3301072345</v>
      </c>
      <c r="B962" t="s">
        <v>20583</v>
      </c>
      <c r="C962" t="s">
        <v>20584</v>
      </c>
    </row>
    <row r="963" spans="1:3">
      <c r="A963">
        <v>3301072346</v>
      </c>
      <c r="B963" t="s">
        <v>20583</v>
      </c>
      <c r="C963" t="s">
        <v>20582</v>
      </c>
    </row>
    <row r="964" spans="1:3">
      <c r="A964">
        <v>3301072347</v>
      </c>
      <c r="B964" t="s">
        <v>22192</v>
      </c>
      <c r="C964" t="s">
        <v>22193</v>
      </c>
    </row>
    <row r="965" spans="1:3">
      <c r="A965">
        <v>3301072348</v>
      </c>
      <c r="B965" t="s">
        <v>22192</v>
      </c>
      <c r="C965" t="s">
        <v>22194</v>
      </c>
    </row>
    <row r="966" spans="1:3">
      <c r="A966">
        <v>3301072349</v>
      </c>
      <c r="B966" t="s">
        <v>22192</v>
      </c>
      <c r="C966" t="s">
        <v>22195</v>
      </c>
    </row>
    <row r="967" spans="1:3">
      <c r="A967">
        <v>3301072350</v>
      </c>
      <c r="B967" t="s">
        <v>22192</v>
      </c>
      <c r="C967" t="s">
        <v>22196</v>
      </c>
    </row>
    <row r="968" spans="1:3">
      <c r="A968">
        <v>3301072351</v>
      </c>
      <c r="B968" t="s">
        <v>22192</v>
      </c>
      <c r="C968" t="s">
        <v>22197</v>
      </c>
    </row>
    <row r="969" spans="1:3">
      <c r="A969">
        <v>3301072352</v>
      </c>
      <c r="B969" t="s">
        <v>22192</v>
      </c>
      <c r="C969" t="s">
        <v>22198</v>
      </c>
    </row>
    <row r="970" spans="1:3">
      <c r="A970">
        <v>3301072353</v>
      </c>
      <c r="B970" t="s">
        <v>22192</v>
      </c>
      <c r="C970" t="s">
        <v>22199</v>
      </c>
    </row>
    <row r="971" spans="1:3">
      <c r="A971">
        <v>3301072354</v>
      </c>
      <c r="B971" t="s">
        <v>22192</v>
      </c>
      <c r="C971" t="s">
        <v>22200</v>
      </c>
    </row>
    <row r="972" spans="1:3">
      <c r="A972">
        <v>3301072355</v>
      </c>
      <c r="B972" t="s">
        <v>22192</v>
      </c>
      <c r="C972" t="s">
        <v>22201</v>
      </c>
    </row>
    <row r="973" spans="1:3">
      <c r="A973">
        <v>3301072356</v>
      </c>
      <c r="B973" t="s">
        <v>22202</v>
      </c>
      <c r="C973" t="s">
        <v>22203</v>
      </c>
    </row>
    <row r="974" spans="1:3">
      <c r="A974">
        <v>3301072357</v>
      </c>
      <c r="B974" t="s">
        <v>22202</v>
      </c>
      <c r="C974" t="s">
        <v>22204</v>
      </c>
    </row>
    <row r="975" spans="1:3">
      <c r="A975">
        <v>3301072358</v>
      </c>
      <c r="B975" t="s">
        <v>22202</v>
      </c>
      <c r="C975" t="s">
        <v>22205</v>
      </c>
    </row>
    <row r="976" spans="1:3">
      <c r="A976">
        <v>3301072426</v>
      </c>
      <c r="B976" t="s">
        <v>22206</v>
      </c>
      <c r="C976" t="s">
        <v>22207</v>
      </c>
    </row>
    <row r="977" spans="1:3">
      <c r="A977">
        <v>3301072443</v>
      </c>
      <c r="B977" t="s">
        <v>22208</v>
      </c>
      <c r="C977" t="s">
        <v>22209</v>
      </c>
    </row>
    <row r="978" spans="1:3">
      <c r="A978">
        <v>3301072444</v>
      </c>
      <c r="B978" t="s">
        <v>22208</v>
      </c>
      <c r="C978" t="s">
        <v>22210</v>
      </c>
    </row>
    <row r="979" spans="1:3">
      <c r="A979">
        <v>3301072445</v>
      </c>
      <c r="B979" t="s">
        <v>22208</v>
      </c>
      <c r="C979" t="s">
        <v>22211</v>
      </c>
    </row>
    <row r="980" spans="1:3">
      <c r="A980">
        <v>3301072701</v>
      </c>
      <c r="B980" t="s">
        <v>20930</v>
      </c>
      <c r="C980" t="s">
        <v>20929</v>
      </c>
    </row>
    <row r="981" spans="1:3">
      <c r="A981">
        <v>3301072780</v>
      </c>
      <c r="B981" t="s">
        <v>22212</v>
      </c>
      <c r="C981" t="s">
        <v>22213</v>
      </c>
    </row>
    <row r="982" spans="1:3">
      <c r="A982">
        <v>3301072781</v>
      </c>
      <c r="B982" t="s">
        <v>22214</v>
      </c>
      <c r="C982" t="s">
        <v>22215</v>
      </c>
    </row>
    <row r="983" spans="1:3">
      <c r="A983">
        <v>3301072803</v>
      </c>
      <c r="B983" t="s">
        <v>22208</v>
      </c>
      <c r="C983" t="s">
        <v>22216</v>
      </c>
    </row>
    <row r="984" spans="1:3">
      <c r="A984">
        <v>3301072804</v>
      </c>
      <c r="B984" t="s">
        <v>22208</v>
      </c>
      <c r="C984" t="s">
        <v>22217</v>
      </c>
    </row>
    <row r="985" spans="1:3">
      <c r="A985">
        <v>3301072805</v>
      </c>
      <c r="B985" t="s">
        <v>22208</v>
      </c>
      <c r="C985" t="s">
        <v>22218</v>
      </c>
    </row>
    <row r="986" spans="1:3">
      <c r="A986">
        <v>3301072957</v>
      </c>
      <c r="B986" t="s">
        <v>22219</v>
      </c>
      <c r="C986" t="s">
        <v>22220</v>
      </c>
    </row>
    <row r="987" spans="1:3">
      <c r="A987">
        <v>3301072985</v>
      </c>
      <c r="B987" t="s">
        <v>22221</v>
      </c>
      <c r="C987" t="s">
        <v>22222</v>
      </c>
    </row>
    <row r="988" spans="1:3">
      <c r="A988">
        <v>3301072986</v>
      </c>
      <c r="B988" t="s">
        <v>22223</v>
      </c>
      <c r="C988" t="s">
        <v>22224</v>
      </c>
    </row>
    <row r="989" spans="1:3">
      <c r="A989">
        <v>3301073317</v>
      </c>
      <c r="B989" t="s">
        <v>21106</v>
      </c>
      <c r="C989" t="s">
        <v>21105</v>
      </c>
    </row>
    <row r="990" spans="1:3">
      <c r="A990">
        <v>3301075164</v>
      </c>
      <c r="B990" t="s">
        <v>20575</v>
      </c>
      <c r="C990" t="s">
        <v>20577</v>
      </c>
    </row>
    <row r="991" spans="1:3">
      <c r="A991">
        <v>3301075165</v>
      </c>
      <c r="B991" t="s">
        <v>20575</v>
      </c>
      <c r="C991" t="s">
        <v>20576</v>
      </c>
    </row>
    <row r="992" spans="1:3">
      <c r="A992">
        <v>3301075166</v>
      </c>
      <c r="B992" t="s">
        <v>20575</v>
      </c>
      <c r="C992" t="s">
        <v>20574</v>
      </c>
    </row>
    <row r="993" spans="1:3">
      <c r="A993">
        <v>3301075190</v>
      </c>
      <c r="B993" t="s">
        <v>20579</v>
      </c>
      <c r="C993" t="s">
        <v>20581</v>
      </c>
    </row>
    <row r="994" spans="1:3">
      <c r="A994">
        <v>3301075191</v>
      </c>
      <c r="B994" t="s">
        <v>20579</v>
      </c>
      <c r="C994" t="s">
        <v>20580</v>
      </c>
    </row>
    <row r="995" spans="1:3">
      <c r="A995">
        <v>3301075192</v>
      </c>
      <c r="B995" t="s">
        <v>20579</v>
      </c>
      <c r="C995" t="s">
        <v>20578</v>
      </c>
    </row>
    <row r="996" spans="1:3">
      <c r="A996">
        <v>3301075218</v>
      </c>
      <c r="B996" t="s">
        <v>22202</v>
      </c>
      <c r="C996" t="s">
        <v>22225</v>
      </c>
    </row>
    <row r="997" spans="1:3">
      <c r="A997">
        <v>3301075219</v>
      </c>
      <c r="B997" t="s">
        <v>22202</v>
      </c>
      <c r="C997" t="s">
        <v>22226</v>
      </c>
    </row>
    <row r="998" spans="1:3">
      <c r="A998">
        <v>3301075220</v>
      </c>
      <c r="B998" t="s">
        <v>22202</v>
      </c>
      <c r="C998" t="s">
        <v>22227</v>
      </c>
    </row>
    <row r="999" spans="1:3">
      <c r="A999">
        <v>3301075229</v>
      </c>
      <c r="B999" t="s">
        <v>22202</v>
      </c>
      <c r="C999" t="s">
        <v>22228</v>
      </c>
    </row>
    <row r="1000" spans="1:3">
      <c r="A1000">
        <v>3301075230</v>
      </c>
      <c r="B1000" t="s">
        <v>22202</v>
      </c>
      <c r="C1000" t="s">
        <v>22229</v>
      </c>
    </row>
    <row r="1001" spans="1:3">
      <c r="A1001">
        <v>3301075231</v>
      </c>
      <c r="B1001" t="s">
        <v>22202</v>
      </c>
      <c r="C1001" t="s">
        <v>22230</v>
      </c>
    </row>
    <row r="1002" spans="1:3">
      <c r="A1002">
        <v>3301075243</v>
      </c>
      <c r="B1002" t="s">
        <v>22202</v>
      </c>
      <c r="C1002" t="s">
        <v>22231</v>
      </c>
    </row>
    <row r="1003" spans="1:3">
      <c r="A1003">
        <v>3301075244</v>
      </c>
      <c r="B1003" t="s">
        <v>22202</v>
      </c>
      <c r="C1003" t="s">
        <v>22232</v>
      </c>
    </row>
    <row r="1004" spans="1:3">
      <c r="A1004">
        <v>3301075245</v>
      </c>
      <c r="B1004" t="s">
        <v>22202</v>
      </c>
      <c r="C1004" t="s">
        <v>22233</v>
      </c>
    </row>
    <row r="1005" spans="1:3">
      <c r="A1005">
        <v>3301075269</v>
      </c>
      <c r="B1005" t="s">
        <v>22234</v>
      </c>
      <c r="C1005" t="s">
        <v>22235</v>
      </c>
    </row>
    <row r="1006" spans="1:3">
      <c r="A1006">
        <v>3301075270</v>
      </c>
      <c r="B1006" t="s">
        <v>22236</v>
      </c>
      <c r="C1006" t="s">
        <v>22237</v>
      </c>
    </row>
    <row r="1007" spans="1:3">
      <c r="A1007">
        <v>3301075741</v>
      </c>
      <c r="B1007" t="s">
        <v>24013</v>
      </c>
      <c r="C1007" t="s">
        <v>24014</v>
      </c>
    </row>
    <row r="1008" spans="1:3">
      <c r="A1008">
        <v>3301075765</v>
      </c>
      <c r="B1008" t="s">
        <v>23234</v>
      </c>
      <c r="C1008" t="s">
        <v>22238</v>
      </c>
    </row>
    <row r="1009" spans="1:3">
      <c r="A1009">
        <v>3301075767</v>
      </c>
      <c r="B1009" t="s">
        <v>20602</v>
      </c>
      <c r="C1009" t="s">
        <v>20601</v>
      </c>
    </row>
    <row r="1010" spans="1:3">
      <c r="A1010">
        <v>3301075790</v>
      </c>
      <c r="B1010" t="s">
        <v>21046</v>
      </c>
      <c r="C1010" t="s">
        <v>21045</v>
      </c>
    </row>
    <row r="1011" spans="1:3">
      <c r="A1011">
        <v>3301076329</v>
      </c>
      <c r="B1011" t="s">
        <v>20942</v>
      </c>
      <c r="C1011" t="s">
        <v>20941</v>
      </c>
    </row>
    <row r="1012" spans="1:3">
      <c r="A1012">
        <v>3301076808</v>
      </c>
      <c r="B1012" t="s">
        <v>20954</v>
      </c>
      <c r="C1012" t="s">
        <v>20953</v>
      </c>
    </row>
    <row r="1013" spans="1:3">
      <c r="A1013">
        <v>3301078508</v>
      </c>
      <c r="B1013" t="s">
        <v>21048</v>
      </c>
      <c r="C1013" t="s">
        <v>21047</v>
      </c>
    </row>
    <row r="1014" spans="1:3">
      <c r="A1014">
        <v>3301078559</v>
      </c>
      <c r="B1014" t="s">
        <v>20952</v>
      </c>
      <c r="C1014" t="s">
        <v>20951</v>
      </c>
    </row>
    <row r="1015" spans="1:3">
      <c r="A1015">
        <v>3301078561</v>
      </c>
      <c r="B1015" t="s">
        <v>21104</v>
      </c>
      <c r="C1015" t="s">
        <v>21103</v>
      </c>
    </row>
    <row r="1016" spans="1:3">
      <c r="A1016">
        <v>3301078603</v>
      </c>
      <c r="B1016" t="s">
        <v>21223</v>
      </c>
      <c r="C1016" t="s">
        <v>21222</v>
      </c>
    </row>
    <row r="1017" spans="1:3">
      <c r="A1017">
        <v>3301078604</v>
      </c>
      <c r="B1017" t="s">
        <v>21221</v>
      </c>
      <c r="C1017" t="s">
        <v>21220</v>
      </c>
    </row>
    <row r="1018" spans="1:3">
      <c r="A1018">
        <v>3301078605</v>
      </c>
      <c r="B1018" t="s">
        <v>21227</v>
      </c>
      <c r="C1018" t="s">
        <v>21226</v>
      </c>
    </row>
    <row r="1019" spans="1:3">
      <c r="A1019">
        <v>3301078606</v>
      </c>
      <c r="B1019" t="s">
        <v>21225</v>
      </c>
      <c r="C1019" t="s">
        <v>21224</v>
      </c>
    </row>
    <row r="1020" spans="1:3">
      <c r="A1020">
        <v>3301078613</v>
      </c>
      <c r="B1020" t="s">
        <v>21186</v>
      </c>
      <c r="C1020" t="s">
        <v>21185</v>
      </c>
    </row>
    <row r="1021" spans="1:3">
      <c r="A1021">
        <v>3301079291</v>
      </c>
      <c r="B1021" t="s">
        <v>21208</v>
      </c>
      <c r="C1021" t="s">
        <v>21207</v>
      </c>
    </row>
    <row r="1022" spans="1:3">
      <c r="A1022">
        <v>3301079606</v>
      </c>
      <c r="B1022" t="s">
        <v>22239</v>
      </c>
      <c r="C1022" t="s">
        <v>22240</v>
      </c>
    </row>
    <row r="1023" spans="1:3">
      <c r="A1023">
        <v>3301079772</v>
      </c>
      <c r="B1023" t="s">
        <v>21570</v>
      </c>
      <c r="C1023" t="s">
        <v>21571</v>
      </c>
    </row>
    <row r="1024" spans="1:3">
      <c r="A1024">
        <v>3301081093</v>
      </c>
      <c r="B1024" t="s">
        <v>23371</v>
      </c>
      <c r="C1024" t="s">
        <v>23372</v>
      </c>
    </row>
    <row r="1025" spans="1:3">
      <c r="A1025">
        <v>3301081094</v>
      </c>
      <c r="B1025" t="s">
        <v>23373</v>
      </c>
      <c r="C1025" t="s">
        <v>23374</v>
      </c>
    </row>
    <row r="1026" spans="1:3">
      <c r="A1026">
        <v>3301082206</v>
      </c>
      <c r="B1026" t="s">
        <v>23705</v>
      </c>
      <c r="C1026" t="s">
        <v>23706</v>
      </c>
    </row>
    <row r="1027" spans="1:3">
      <c r="A1027">
        <v>3301083953</v>
      </c>
      <c r="B1027" t="s">
        <v>23375</v>
      </c>
      <c r="C1027" t="s">
        <v>23376</v>
      </c>
    </row>
    <row r="1028" spans="1:3">
      <c r="A1028">
        <v>3301083986</v>
      </c>
      <c r="B1028" t="s">
        <v>21102</v>
      </c>
      <c r="C1028" t="s">
        <v>21101</v>
      </c>
    </row>
    <row r="1029" spans="1:3">
      <c r="A1029">
        <v>3301083988</v>
      </c>
      <c r="B1029" t="s">
        <v>22241</v>
      </c>
      <c r="C1029" t="s">
        <v>21100</v>
      </c>
    </row>
    <row r="1030" spans="1:3">
      <c r="A1030">
        <v>3301084127</v>
      </c>
      <c r="B1030" t="s">
        <v>23707</v>
      </c>
      <c r="C1030" t="s">
        <v>21241</v>
      </c>
    </row>
    <row r="1031" spans="1:3">
      <c r="A1031">
        <v>3301084128</v>
      </c>
      <c r="B1031" t="s">
        <v>23708</v>
      </c>
      <c r="C1031" t="s">
        <v>21240</v>
      </c>
    </row>
    <row r="1032" spans="1:3">
      <c r="A1032">
        <v>3301084129</v>
      </c>
      <c r="B1032" t="s">
        <v>21314</v>
      </c>
      <c r="C1032" t="s">
        <v>20804</v>
      </c>
    </row>
    <row r="1033" spans="1:3">
      <c r="A1033">
        <v>3301084132</v>
      </c>
      <c r="B1033" t="s">
        <v>23377</v>
      </c>
      <c r="C1033" t="s">
        <v>23378</v>
      </c>
    </row>
    <row r="1034" spans="1:3">
      <c r="A1034">
        <v>3301084164</v>
      </c>
      <c r="B1034" t="s">
        <v>23709</v>
      </c>
      <c r="C1034" t="s">
        <v>21242</v>
      </c>
    </row>
    <row r="1035" spans="1:3">
      <c r="A1035">
        <v>3301085795</v>
      </c>
      <c r="B1035" t="s">
        <v>21315</v>
      </c>
      <c r="C1035" t="s">
        <v>20803</v>
      </c>
    </row>
    <row r="1036" spans="1:3">
      <c r="A1036">
        <v>3301091163</v>
      </c>
      <c r="B1036" t="s">
        <v>23516</v>
      </c>
      <c r="C1036" t="s">
        <v>23517</v>
      </c>
    </row>
    <row r="1037" spans="1:3">
      <c r="A1037">
        <v>3301091211</v>
      </c>
      <c r="B1037" t="s">
        <v>24918</v>
      </c>
      <c r="C1037" t="s">
        <v>24015</v>
      </c>
    </row>
    <row r="1038" spans="1:3">
      <c r="A1038">
        <v>3301091213</v>
      </c>
      <c r="B1038" t="s">
        <v>24919</v>
      </c>
      <c r="C1038" t="s">
        <v>24016</v>
      </c>
    </row>
    <row r="1039" spans="1:3">
      <c r="A1039">
        <v>3301091220</v>
      </c>
      <c r="B1039" t="s">
        <v>24017</v>
      </c>
      <c r="C1039" t="s">
        <v>24018</v>
      </c>
    </row>
    <row r="1040" spans="1:3">
      <c r="A1040">
        <v>3301091242</v>
      </c>
      <c r="B1040" t="s">
        <v>24019</v>
      </c>
      <c r="C1040" t="s">
        <v>24020</v>
      </c>
    </row>
    <row r="1041" spans="1:3">
      <c r="A1041">
        <v>3301091442</v>
      </c>
      <c r="B1041" t="s">
        <v>24920</v>
      </c>
      <c r="C1041" t="s">
        <v>24921</v>
      </c>
    </row>
    <row r="1042" spans="1:3">
      <c r="A1042">
        <v>3301091670</v>
      </c>
      <c r="B1042" t="s">
        <v>24021</v>
      </c>
      <c r="C1042" t="s">
        <v>20996</v>
      </c>
    </row>
    <row r="1043" spans="1:3">
      <c r="A1043">
        <v>3301091765</v>
      </c>
      <c r="B1043" t="s">
        <v>23379</v>
      </c>
      <c r="C1043" t="s">
        <v>23380</v>
      </c>
    </row>
    <row r="1044" spans="1:3">
      <c r="A1044">
        <v>3301092598</v>
      </c>
      <c r="B1044" t="s">
        <v>20852</v>
      </c>
      <c r="C1044" t="s">
        <v>20851</v>
      </c>
    </row>
    <row r="1045" spans="1:3">
      <c r="A1045">
        <v>3301092628</v>
      </c>
      <c r="B1045" t="s">
        <v>20850</v>
      </c>
      <c r="C1045" t="s">
        <v>20849</v>
      </c>
    </row>
    <row r="1046" spans="1:3">
      <c r="A1046">
        <v>3301092760</v>
      </c>
      <c r="B1046" t="s">
        <v>23087</v>
      </c>
      <c r="C1046" t="s">
        <v>23088</v>
      </c>
    </row>
    <row r="1047" spans="1:3">
      <c r="A1047">
        <v>3301093025</v>
      </c>
      <c r="B1047" t="s">
        <v>20850</v>
      </c>
      <c r="C1047" t="s">
        <v>20855</v>
      </c>
    </row>
    <row r="1048" spans="1:3">
      <c r="A1048">
        <v>3301093026</v>
      </c>
      <c r="B1048" t="s">
        <v>20858</v>
      </c>
      <c r="C1048" t="s">
        <v>20857</v>
      </c>
    </row>
    <row r="1049" spans="1:3">
      <c r="A1049">
        <v>3301093860</v>
      </c>
      <c r="B1049" t="s">
        <v>23825</v>
      </c>
      <c r="C1049" t="s">
        <v>24022</v>
      </c>
    </row>
    <row r="1050" spans="1:3">
      <c r="A1050">
        <v>3301093955</v>
      </c>
      <c r="B1050" t="s">
        <v>24527</v>
      </c>
      <c r="C1050" t="s">
        <v>21202</v>
      </c>
    </row>
    <row r="1051" spans="1:3">
      <c r="A1051">
        <v>3301093990</v>
      </c>
      <c r="B1051" t="s">
        <v>21099</v>
      </c>
      <c r="C1051" t="s">
        <v>21098</v>
      </c>
    </row>
    <row r="1052" spans="1:3">
      <c r="A1052">
        <v>3301093991</v>
      </c>
      <c r="B1052" t="s">
        <v>21572</v>
      </c>
      <c r="C1052" t="s">
        <v>21573</v>
      </c>
    </row>
    <row r="1053" spans="1:3">
      <c r="A1053">
        <v>3301095750</v>
      </c>
      <c r="B1053" t="s">
        <v>20962</v>
      </c>
      <c r="C1053" t="s">
        <v>20961</v>
      </c>
    </row>
    <row r="1054" spans="1:3">
      <c r="A1054">
        <v>3301095929</v>
      </c>
      <c r="B1054" t="s">
        <v>20860</v>
      </c>
      <c r="C1054" t="s">
        <v>20859</v>
      </c>
    </row>
    <row r="1055" spans="1:3">
      <c r="A1055">
        <v>3301095930</v>
      </c>
      <c r="B1055" t="s">
        <v>20854</v>
      </c>
      <c r="C1055" t="s">
        <v>20853</v>
      </c>
    </row>
    <row r="1056" spans="1:3">
      <c r="A1056">
        <v>3301096390</v>
      </c>
      <c r="B1056" t="s">
        <v>23577</v>
      </c>
      <c r="C1056" t="s">
        <v>24023</v>
      </c>
    </row>
    <row r="1057" spans="1:3">
      <c r="A1057">
        <v>3301096391</v>
      </c>
      <c r="B1057" t="s">
        <v>23576</v>
      </c>
      <c r="C1057" t="s">
        <v>24024</v>
      </c>
    </row>
    <row r="1058" spans="1:3">
      <c r="A1058">
        <v>3301096392</v>
      </c>
      <c r="B1058" t="s">
        <v>23741</v>
      </c>
      <c r="C1058" t="s">
        <v>24025</v>
      </c>
    </row>
    <row r="1059" spans="1:3">
      <c r="A1059">
        <v>3301096804</v>
      </c>
      <c r="B1059" t="s">
        <v>24026</v>
      </c>
      <c r="C1059" t="s">
        <v>24027</v>
      </c>
    </row>
    <row r="1060" spans="1:3">
      <c r="A1060">
        <v>3301097869</v>
      </c>
      <c r="B1060" t="s">
        <v>21128</v>
      </c>
      <c r="C1060" t="s">
        <v>21127</v>
      </c>
    </row>
    <row r="1061" spans="1:3">
      <c r="A1061">
        <v>3301098568</v>
      </c>
      <c r="B1061" t="s">
        <v>21036</v>
      </c>
      <c r="C1061" t="s">
        <v>21039</v>
      </c>
    </row>
    <row r="1062" spans="1:3">
      <c r="A1062">
        <v>3301098571</v>
      </c>
      <c r="B1062" t="s">
        <v>22242</v>
      </c>
      <c r="C1062" t="s">
        <v>20781</v>
      </c>
    </row>
    <row r="1063" spans="1:3">
      <c r="A1063">
        <v>3301098572</v>
      </c>
      <c r="B1063" t="s">
        <v>22243</v>
      </c>
      <c r="C1063" t="s">
        <v>20780</v>
      </c>
    </row>
    <row r="1064" spans="1:3">
      <c r="A1064">
        <v>3301098590</v>
      </c>
      <c r="B1064" t="s">
        <v>21126</v>
      </c>
      <c r="C1064" t="s">
        <v>21125</v>
      </c>
    </row>
    <row r="1065" spans="1:3">
      <c r="A1065">
        <v>3301098591</v>
      </c>
      <c r="B1065" t="s">
        <v>21124</v>
      </c>
      <c r="C1065" t="s">
        <v>21123</v>
      </c>
    </row>
    <row r="1066" spans="1:3">
      <c r="A1066">
        <v>3301098612</v>
      </c>
      <c r="B1066" t="s">
        <v>21036</v>
      </c>
      <c r="C1066" t="s">
        <v>21038</v>
      </c>
    </row>
    <row r="1067" spans="1:3">
      <c r="A1067">
        <v>3301098613</v>
      </c>
      <c r="B1067" t="s">
        <v>21036</v>
      </c>
      <c r="C1067" t="s">
        <v>21037</v>
      </c>
    </row>
    <row r="1068" spans="1:3">
      <c r="A1068">
        <v>3301098614</v>
      </c>
      <c r="B1068" t="s">
        <v>21036</v>
      </c>
      <c r="C1068" t="s">
        <v>21035</v>
      </c>
    </row>
    <row r="1069" spans="1:3">
      <c r="A1069">
        <v>3301098625</v>
      </c>
      <c r="B1069" t="s">
        <v>20999</v>
      </c>
      <c r="C1069" t="s">
        <v>20998</v>
      </c>
    </row>
    <row r="1070" spans="1:3">
      <c r="A1070">
        <v>3301098696</v>
      </c>
      <c r="B1070" t="s">
        <v>20995</v>
      </c>
      <c r="C1070" t="s">
        <v>20994</v>
      </c>
    </row>
    <row r="1071" spans="1:3">
      <c r="A1071">
        <v>3301098939</v>
      </c>
      <c r="B1071" t="s">
        <v>21001</v>
      </c>
      <c r="C1071" t="s">
        <v>21000</v>
      </c>
    </row>
    <row r="1072" spans="1:3">
      <c r="A1072">
        <v>3301098940</v>
      </c>
      <c r="B1072" t="s">
        <v>21097</v>
      </c>
      <c r="C1072" t="s">
        <v>21096</v>
      </c>
    </row>
    <row r="1073" spans="1:3">
      <c r="A1073">
        <v>3301098941</v>
      </c>
      <c r="B1073" t="s">
        <v>24028</v>
      </c>
      <c r="C1073" t="s">
        <v>24029</v>
      </c>
    </row>
    <row r="1074" spans="1:3">
      <c r="A1074">
        <v>3301099636</v>
      </c>
      <c r="B1074" t="s">
        <v>24030</v>
      </c>
      <c r="C1074" t="s">
        <v>24031</v>
      </c>
    </row>
    <row r="1075" spans="1:3">
      <c r="A1075">
        <v>3301099651</v>
      </c>
      <c r="B1075" t="s">
        <v>20997</v>
      </c>
      <c r="C1075" t="s">
        <v>22244</v>
      </c>
    </row>
    <row r="1076" spans="1:3">
      <c r="A1076">
        <v>3301099653</v>
      </c>
      <c r="B1076" t="s">
        <v>20995</v>
      </c>
      <c r="C1076" t="s">
        <v>23381</v>
      </c>
    </row>
    <row r="1077" spans="1:3">
      <c r="A1077">
        <v>3301099927</v>
      </c>
      <c r="B1077" t="s">
        <v>23089</v>
      </c>
      <c r="C1077" t="s">
        <v>23090</v>
      </c>
    </row>
    <row r="1078" spans="1:3">
      <c r="A1078">
        <v>3301099928</v>
      </c>
      <c r="B1078" t="s">
        <v>23091</v>
      </c>
      <c r="C1078" t="s">
        <v>23092</v>
      </c>
    </row>
    <row r="1079" spans="1:3">
      <c r="A1079">
        <v>3301144102</v>
      </c>
      <c r="B1079" t="s">
        <v>24032</v>
      </c>
      <c r="C1079" t="s">
        <v>20911</v>
      </c>
    </row>
    <row r="1080" spans="1:3">
      <c r="A1080">
        <v>3301144103</v>
      </c>
      <c r="B1080" t="s">
        <v>24922</v>
      </c>
      <c r="C1080" t="s">
        <v>20912</v>
      </c>
    </row>
    <row r="1081" spans="1:3">
      <c r="A1081">
        <v>3301146517</v>
      </c>
      <c r="B1081" t="s">
        <v>20684</v>
      </c>
      <c r="C1081" t="s">
        <v>20683</v>
      </c>
    </row>
    <row r="1082" spans="1:3">
      <c r="A1082">
        <v>3301146819</v>
      </c>
      <c r="B1082" t="s">
        <v>23828</v>
      </c>
      <c r="C1082" t="s">
        <v>24033</v>
      </c>
    </row>
    <row r="1083" spans="1:3">
      <c r="A1083">
        <v>3301146958</v>
      </c>
      <c r="B1083" t="s">
        <v>20914</v>
      </c>
      <c r="C1083" t="s">
        <v>20913</v>
      </c>
    </row>
    <row r="1084" spans="1:3">
      <c r="A1084">
        <v>3302011217</v>
      </c>
      <c r="B1084" t="s">
        <v>24034</v>
      </c>
      <c r="C1084" t="s">
        <v>24035</v>
      </c>
    </row>
    <row r="1085" spans="1:3">
      <c r="A1085">
        <v>3302012426</v>
      </c>
      <c r="B1085" t="s">
        <v>21493</v>
      </c>
      <c r="C1085" t="s">
        <v>21494</v>
      </c>
    </row>
    <row r="1086" spans="1:3">
      <c r="A1086">
        <v>3302016028</v>
      </c>
      <c r="B1086" t="s">
        <v>21138</v>
      </c>
      <c r="C1086" t="s">
        <v>21137</v>
      </c>
    </row>
    <row r="1087" spans="1:3">
      <c r="A1087">
        <v>3302018560</v>
      </c>
      <c r="B1087" t="s">
        <v>20956</v>
      </c>
      <c r="C1087" t="s">
        <v>20955</v>
      </c>
    </row>
    <row r="1088" spans="1:3">
      <c r="A1088">
        <v>3302028290</v>
      </c>
      <c r="B1088" t="s">
        <v>20920</v>
      </c>
      <c r="C1088" t="s">
        <v>20919</v>
      </c>
    </row>
    <row r="1089" spans="1:3">
      <c r="A1089">
        <v>3302028621</v>
      </c>
      <c r="B1089" t="s">
        <v>20916</v>
      </c>
      <c r="C1089" t="s">
        <v>20915</v>
      </c>
    </row>
    <row r="1090" spans="1:3">
      <c r="A1090">
        <v>3302032156</v>
      </c>
      <c r="B1090" t="s">
        <v>20673</v>
      </c>
      <c r="C1090" t="s">
        <v>20672</v>
      </c>
    </row>
    <row r="1091" spans="1:3">
      <c r="A1091">
        <v>3302038405</v>
      </c>
      <c r="B1091" t="s">
        <v>24036</v>
      </c>
      <c r="C1091" t="s">
        <v>24037</v>
      </c>
    </row>
    <row r="1092" spans="1:3">
      <c r="A1092">
        <v>3302038592</v>
      </c>
      <c r="B1092" t="s">
        <v>21136</v>
      </c>
      <c r="C1092" t="s">
        <v>21135</v>
      </c>
    </row>
    <row r="1093" spans="1:3">
      <c r="A1093">
        <v>3302045823</v>
      </c>
      <c r="B1093" t="s">
        <v>24798</v>
      </c>
      <c r="C1093" t="s">
        <v>24799</v>
      </c>
    </row>
    <row r="1094" spans="1:3">
      <c r="A1094">
        <v>3302047896</v>
      </c>
      <c r="B1094" t="s">
        <v>24528</v>
      </c>
      <c r="C1094" t="s">
        <v>24529</v>
      </c>
    </row>
    <row r="1095" spans="1:3">
      <c r="A1095">
        <v>3302047964</v>
      </c>
      <c r="B1095" t="s">
        <v>22892</v>
      </c>
      <c r="C1095" t="s">
        <v>22893</v>
      </c>
    </row>
    <row r="1096" spans="1:3">
      <c r="A1096">
        <v>3302048547</v>
      </c>
      <c r="B1096" t="s">
        <v>24038</v>
      </c>
      <c r="C1096" t="s">
        <v>24039</v>
      </c>
    </row>
    <row r="1097" spans="1:3">
      <c r="A1097">
        <v>3302064065</v>
      </c>
      <c r="B1097" t="s">
        <v>23710</v>
      </c>
      <c r="C1097" t="s">
        <v>23711</v>
      </c>
    </row>
    <row r="1098" spans="1:3">
      <c r="A1098">
        <v>3302068622</v>
      </c>
      <c r="B1098" t="s">
        <v>20918</v>
      </c>
      <c r="C1098" t="s">
        <v>20917</v>
      </c>
    </row>
    <row r="1099" spans="1:3">
      <c r="A1099">
        <v>3302068885</v>
      </c>
      <c r="B1099" t="s">
        <v>21147</v>
      </c>
      <c r="C1099" t="s">
        <v>21146</v>
      </c>
    </row>
    <row r="1100" spans="1:3">
      <c r="A1100">
        <v>3302068889</v>
      </c>
      <c r="B1100" t="s">
        <v>20922</v>
      </c>
      <c r="C1100" t="s">
        <v>20921</v>
      </c>
    </row>
    <row r="1101" spans="1:3">
      <c r="A1101">
        <v>3302111098</v>
      </c>
      <c r="B1101" t="s">
        <v>23382</v>
      </c>
      <c r="C1101" t="s">
        <v>23383</v>
      </c>
    </row>
    <row r="1102" spans="1:3">
      <c r="A1102">
        <v>3302111244</v>
      </c>
      <c r="B1102" t="s">
        <v>24040</v>
      </c>
      <c r="C1102" t="s">
        <v>24041</v>
      </c>
    </row>
    <row r="1103" spans="1:3">
      <c r="A1103">
        <v>3302111488</v>
      </c>
      <c r="B1103" t="s">
        <v>24042</v>
      </c>
      <c r="C1103" t="s">
        <v>24043</v>
      </c>
    </row>
    <row r="1104" spans="1:3">
      <c r="A1104">
        <v>3302112336</v>
      </c>
      <c r="B1104" t="s">
        <v>20680</v>
      </c>
      <c r="C1104" t="s">
        <v>20679</v>
      </c>
    </row>
    <row r="1105" spans="1:3">
      <c r="A1105">
        <v>3302119211</v>
      </c>
      <c r="B1105" t="s">
        <v>24800</v>
      </c>
      <c r="C1105" t="s">
        <v>24801</v>
      </c>
    </row>
    <row r="1106" spans="1:3">
      <c r="A1106">
        <v>3302122337</v>
      </c>
      <c r="B1106" t="s">
        <v>24044</v>
      </c>
      <c r="C1106" t="s">
        <v>24045</v>
      </c>
    </row>
    <row r="1107" spans="1:3">
      <c r="A1107">
        <v>3302122847</v>
      </c>
      <c r="B1107" t="s">
        <v>23093</v>
      </c>
      <c r="C1107" t="s">
        <v>23094</v>
      </c>
    </row>
    <row r="1108" spans="1:3">
      <c r="A1108">
        <v>3302125536</v>
      </c>
      <c r="B1108" t="s">
        <v>21132</v>
      </c>
      <c r="C1108" t="s">
        <v>21131</v>
      </c>
    </row>
    <row r="1109" spans="1:3">
      <c r="A1109">
        <v>3302126138</v>
      </c>
      <c r="B1109" t="s">
        <v>20622</v>
      </c>
      <c r="C1109" t="s">
        <v>20621</v>
      </c>
    </row>
    <row r="1110" spans="1:3">
      <c r="A1110">
        <v>3302127895</v>
      </c>
      <c r="B1110" t="s">
        <v>21134</v>
      </c>
      <c r="C1110" t="s">
        <v>21133</v>
      </c>
    </row>
    <row r="1111" spans="1:3">
      <c r="A1111">
        <v>3302128022</v>
      </c>
      <c r="B1111" t="s">
        <v>23384</v>
      </c>
      <c r="C1111" t="s">
        <v>23385</v>
      </c>
    </row>
    <row r="1112" spans="1:3">
      <c r="A1112">
        <v>3302128462</v>
      </c>
      <c r="B1112" t="s">
        <v>20682</v>
      </c>
      <c r="C1112" t="s">
        <v>20681</v>
      </c>
    </row>
    <row r="1113" spans="1:3">
      <c r="A1113">
        <v>3302128548</v>
      </c>
      <c r="B1113" t="s">
        <v>24802</v>
      </c>
      <c r="C1113" t="s">
        <v>24803</v>
      </c>
    </row>
    <row r="1114" spans="1:3">
      <c r="A1114">
        <v>3302128598</v>
      </c>
      <c r="B1114" t="s">
        <v>20626</v>
      </c>
      <c r="C1114" t="s">
        <v>20625</v>
      </c>
    </row>
    <row r="1115" spans="1:3">
      <c r="A1115">
        <v>3302129856</v>
      </c>
      <c r="B1115" t="s">
        <v>22792</v>
      </c>
      <c r="C1115" t="s">
        <v>22793</v>
      </c>
    </row>
    <row r="1116" spans="1:3">
      <c r="A1116">
        <v>3302129857</v>
      </c>
      <c r="B1116" t="s">
        <v>22794</v>
      </c>
      <c r="C1116" t="s">
        <v>22795</v>
      </c>
    </row>
    <row r="1117" spans="1:3">
      <c r="A1117">
        <v>3302129858</v>
      </c>
      <c r="B1117" t="s">
        <v>22796</v>
      </c>
      <c r="C1117" t="s">
        <v>22797</v>
      </c>
    </row>
    <row r="1118" spans="1:3">
      <c r="A1118">
        <v>3302135943</v>
      </c>
      <c r="B1118" t="s">
        <v>24046</v>
      </c>
      <c r="C1118" t="s">
        <v>24047</v>
      </c>
    </row>
    <row r="1119" spans="1:3">
      <c r="A1119">
        <v>3302136951</v>
      </c>
      <c r="B1119" t="s">
        <v>21018</v>
      </c>
      <c r="C1119" t="s">
        <v>21017</v>
      </c>
    </row>
    <row r="1120" spans="1:3">
      <c r="A1120">
        <v>3302138611</v>
      </c>
      <c r="B1120" t="s">
        <v>24048</v>
      </c>
      <c r="C1120" t="s">
        <v>24049</v>
      </c>
    </row>
    <row r="1121" spans="1:3">
      <c r="A1121">
        <v>3302142009</v>
      </c>
      <c r="B1121" t="s">
        <v>24229</v>
      </c>
      <c r="C1121" t="s">
        <v>24230</v>
      </c>
    </row>
    <row r="1122" spans="1:3">
      <c r="A1122">
        <v>3302302215</v>
      </c>
      <c r="B1122" t="s">
        <v>22798</v>
      </c>
      <c r="C1122" t="s">
        <v>22799</v>
      </c>
    </row>
    <row r="1123" spans="1:3">
      <c r="A1123">
        <v>3302303364</v>
      </c>
      <c r="B1123" t="s">
        <v>24050</v>
      </c>
      <c r="C1123" t="s">
        <v>24051</v>
      </c>
    </row>
    <row r="1124" spans="1:3">
      <c r="A1124">
        <v>3302303365</v>
      </c>
      <c r="B1124" t="s">
        <v>24052</v>
      </c>
      <c r="C1124" t="s">
        <v>23386</v>
      </c>
    </row>
    <row r="1125" spans="1:3">
      <c r="A1125">
        <v>3302331408</v>
      </c>
      <c r="B1125" t="s">
        <v>24804</v>
      </c>
      <c r="C1125" t="s">
        <v>24805</v>
      </c>
    </row>
    <row r="1126" spans="1:3">
      <c r="A1126">
        <v>3302335875</v>
      </c>
      <c r="B1126" t="s">
        <v>24053</v>
      </c>
      <c r="C1126" t="s">
        <v>24054</v>
      </c>
    </row>
    <row r="1127" spans="1:3">
      <c r="A1127">
        <v>3302386139</v>
      </c>
      <c r="B1127" t="s">
        <v>20620</v>
      </c>
      <c r="C1127" t="s">
        <v>20619</v>
      </c>
    </row>
    <row r="1128" spans="1:3">
      <c r="A1128">
        <v>3302388597</v>
      </c>
      <c r="B1128" t="s">
        <v>20624</v>
      </c>
      <c r="C1128" t="s">
        <v>20623</v>
      </c>
    </row>
    <row r="1129" spans="1:3">
      <c r="A1129">
        <v>3302389854</v>
      </c>
      <c r="B1129" t="s">
        <v>22800</v>
      </c>
      <c r="C1129" t="s">
        <v>22801</v>
      </c>
    </row>
    <row r="1130" spans="1:3">
      <c r="A1130">
        <v>3302389855</v>
      </c>
      <c r="B1130" t="s">
        <v>22802</v>
      </c>
      <c r="C1130" t="s">
        <v>22803</v>
      </c>
    </row>
    <row r="1131" spans="1:3">
      <c r="A1131">
        <v>3302389856</v>
      </c>
      <c r="B1131" t="s">
        <v>22804</v>
      </c>
      <c r="C1131" t="s">
        <v>22805</v>
      </c>
    </row>
    <row r="1132" spans="1:3">
      <c r="A1132">
        <v>3302502359</v>
      </c>
      <c r="B1132" t="s">
        <v>6260</v>
      </c>
      <c r="C1132" t="s">
        <v>22245</v>
      </c>
    </row>
    <row r="1133" spans="1:3">
      <c r="A1133">
        <v>3401026167</v>
      </c>
      <c r="B1133" t="s">
        <v>23095</v>
      </c>
      <c r="C1133" t="s">
        <v>23096</v>
      </c>
    </row>
    <row r="1134" spans="1:3">
      <c r="A1134">
        <v>3401036168</v>
      </c>
      <c r="B1134" t="s">
        <v>24055</v>
      </c>
      <c r="C1134" t="s">
        <v>23098</v>
      </c>
    </row>
    <row r="1135" spans="1:3">
      <c r="A1135">
        <v>3401041645</v>
      </c>
      <c r="B1135" t="s">
        <v>22246</v>
      </c>
      <c r="C1135" t="s">
        <v>22247</v>
      </c>
    </row>
    <row r="1136" spans="1:3">
      <c r="A1136">
        <v>3401041976</v>
      </c>
      <c r="B1136" t="s">
        <v>24056</v>
      </c>
      <c r="C1136" t="s">
        <v>21051</v>
      </c>
    </row>
    <row r="1137" spans="1:3">
      <c r="A1137">
        <v>3401043960</v>
      </c>
      <c r="B1137" t="s">
        <v>23387</v>
      </c>
      <c r="C1137" t="s">
        <v>23388</v>
      </c>
    </row>
    <row r="1138" spans="1:3">
      <c r="A1138">
        <v>3401046170</v>
      </c>
      <c r="B1138" t="s">
        <v>20846</v>
      </c>
      <c r="C1138" t="s">
        <v>20845</v>
      </c>
    </row>
    <row r="1139" spans="1:3">
      <c r="A1139">
        <v>3401049971</v>
      </c>
      <c r="B1139" t="s">
        <v>23099</v>
      </c>
      <c r="C1139" t="s">
        <v>23100</v>
      </c>
    </row>
    <row r="1140" spans="1:3">
      <c r="A1140">
        <v>3402061208</v>
      </c>
      <c r="B1140" t="s">
        <v>23101</v>
      </c>
      <c r="C1140" t="s">
        <v>23102</v>
      </c>
    </row>
    <row r="1141" spans="1:3">
      <c r="A1141">
        <v>3402067443</v>
      </c>
      <c r="B1141" t="s">
        <v>23389</v>
      </c>
      <c r="C1141" t="s">
        <v>23390</v>
      </c>
    </row>
    <row r="1142" spans="1:3">
      <c r="A1142">
        <v>3402068077</v>
      </c>
      <c r="B1142" t="s">
        <v>20910</v>
      </c>
      <c r="C1142" t="s">
        <v>20909</v>
      </c>
    </row>
    <row r="1143" spans="1:3">
      <c r="A1143">
        <v>3404112112</v>
      </c>
      <c r="B1143" t="s">
        <v>24057</v>
      </c>
      <c r="C1143" t="s">
        <v>24058</v>
      </c>
    </row>
    <row r="1144" spans="1:3">
      <c r="A1144">
        <v>3404116158</v>
      </c>
      <c r="B1144" t="s">
        <v>20870</v>
      </c>
      <c r="C1144" t="s">
        <v>20869</v>
      </c>
    </row>
    <row r="1145" spans="1:3">
      <c r="A1145">
        <v>3404119933</v>
      </c>
      <c r="B1145" t="s">
        <v>23103</v>
      </c>
      <c r="C1145" t="s">
        <v>23104</v>
      </c>
    </row>
    <row r="1146" spans="1:3">
      <c r="A1146">
        <v>3759311037</v>
      </c>
      <c r="B1146" t="s">
        <v>23391</v>
      </c>
      <c r="C1146" t="s">
        <v>23392</v>
      </c>
    </row>
    <row r="1147" spans="1:3">
      <c r="A1147">
        <v>3759313469</v>
      </c>
      <c r="B1147" t="s">
        <v>24059</v>
      </c>
      <c r="C1147" t="s">
        <v>22895</v>
      </c>
    </row>
    <row r="1148" spans="1:3">
      <c r="A1148">
        <v>3759318593</v>
      </c>
      <c r="B1148" t="s">
        <v>21130</v>
      </c>
      <c r="C1148" t="s">
        <v>21129</v>
      </c>
    </row>
    <row r="1149" spans="1:3">
      <c r="A1149">
        <v>3901019739</v>
      </c>
      <c r="B1149" t="s">
        <v>21395</v>
      </c>
      <c r="C1149" t="s">
        <v>21396</v>
      </c>
    </row>
    <row r="1150" spans="1:3">
      <c r="A1150">
        <v>3901019740</v>
      </c>
      <c r="B1150" t="s">
        <v>21397</v>
      </c>
      <c r="C1150" t="s">
        <v>21398</v>
      </c>
    </row>
    <row r="1151" spans="1:3">
      <c r="A1151">
        <v>3901019741</v>
      </c>
      <c r="B1151" t="s">
        <v>21399</v>
      </c>
      <c r="C1151" t="s">
        <v>21400</v>
      </c>
    </row>
    <row r="1152" spans="1:3">
      <c r="A1152">
        <v>3913019989</v>
      </c>
      <c r="B1152" t="s">
        <v>23105</v>
      </c>
      <c r="C1152" t="s">
        <v>23106</v>
      </c>
    </row>
    <row r="1153" spans="1:3">
      <c r="A1153">
        <v>4407129611</v>
      </c>
      <c r="B1153" t="s">
        <v>21574</v>
      </c>
      <c r="C1153" t="s">
        <v>21575</v>
      </c>
    </row>
    <row r="1154" spans="1:3">
      <c r="A1154">
        <v>4407129612</v>
      </c>
      <c r="B1154" t="s">
        <v>21576</v>
      </c>
      <c r="C1154" t="s">
        <v>21577</v>
      </c>
    </row>
    <row r="1155" spans="1:3">
      <c r="A1155">
        <v>7301093991</v>
      </c>
      <c r="B1155" t="s">
        <v>21572</v>
      </c>
      <c r="C1155" t="s">
        <v>21201</v>
      </c>
    </row>
    <row r="1156" spans="1:3">
      <c r="A1156">
        <v>9210106966</v>
      </c>
      <c r="B1156" t="s">
        <v>21620</v>
      </c>
      <c r="C1156" t="s">
        <v>22248</v>
      </c>
    </row>
    <row r="1157" spans="1:3">
      <c r="A1157">
        <v>21115031228</v>
      </c>
      <c r="B1157" t="s">
        <v>24060</v>
      </c>
      <c r="C1157" t="s">
        <v>24061</v>
      </c>
    </row>
    <row r="1158" spans="1:3">
      <c r="A1158">
        <v>33011146819</v>
      </c>
      <c r="B1158" t="s">
        <v>20686</v>
      </c>
      <c r="C1158" t="s">
        <v>20685</v>
      </c>
    </row>
    <row r="1159" spans="1:3">
      <c r="A1159">
        <v>90103012167</v>
      </c>
      <c r="B1159" t="s">
        <v>24231</v>
      </c>
      <c r="C1159" t="s">
        <v>24232</v>
      </c>
    </row>
    <row r="1160" spans="1:3">
      <c r="A1160">
        <v>90104011405</v>
      </c>
      <c r="B1160" t="s">
        <v>20692</v>
      </c>
      <c r="C1160" t="s">
        <v>20691</v>
      </c>
    </row>
    <row r="1161" spans="1:3">
      <c r="A1161">
        <v>92101011194</v>
      </c>
      <c r="B1161" t="s">
        <v>24062</v>
      </c>
      <c r="C1161" t="s">
        <v>24063</v>
      </c>
    </row>
    <row r="1162" spans="1:3">
      <c r="A1162">
        <v>92101011195</v>
      </c>
      <c r="B1162" t="s">
        <v>24064</v>
      </c>
      <c r="C1162" t="s">
        <v>24065</v>
      </c>
    </row>
    <row r="1163" spans="1:3">
      <c r="A1163">
        <v>92101021443</v>
      </c>
      <c r="B1163" t="s">
        <v>24806</v>
      </c>
      <c r="C1163" t="s">
        <v>24807</v>
      </c>
    </row>
    <row r="1164" spans="1:3">
      <c r="A1164">
        <v>92101021444</v>
      </c>
      <c r="B1164" t="s">
        <v>24808</v>
      </c>
      <c r="C1164" t="s">
        <v>24809</v>
      </c>
    </row>
    <row r="1165" spans="1:3">
      <c r="A1165">
        <v>92101024471</v>
      </c>
      <c r="B1165" t="s">
        <v>20838</v>
      </c>
      <c r="C1165" t="s">
        <v>20837</v>
      </c>
    </row>
    <row r="1166" spans="1:3">
      <c r="A1166">
        <v>92101024472</v>
      </c>
      <c r="B1166" t="s">
        <v>24810</v>
      </c>
      <c r="C1166" t="s">
        <v>24811</v>
      </c>
    </row>
    <row r="1167" spans="1:3">
      <c r="A1167">
        <v>92101025515</v>
      </c>
      <c r="B1167" t="s">
        <v>22561</v>
      </c>
      <c r="C1167" t="s">
        <v>22562</v>
      </c>
    </row>
    <row r="1168" spans="1:3">
      <c r="A1168">
        <v>92101029021</v>
      </c>
      <c r="B1168" t="s">
        <v>20886</v>
      </c>
      <c r="C1168" t="s">
        <v>20885</v>
      </c>
    </row>
    <row r="1169" spans="1:3">
      <c r="A1169">
        <v>92101029029</v>
      </c>
      <c r="B1169" t="s">
        <v>20878</v>
      </c>
      <c r="C1169" t="s">
        <v>20877</v>
      </c>
    </row>
    <row r="1170" spans="1:3">
      <c r="A1170">
        <v>92101029034</v>
      </c>
      <c r="B1170" t="s">
        <v>20890</v>
      </c>
      <c r="C1170" t="s">
        <v>20889</v>
      </c>
    </row>
    <row r="1171" spans="1:3">
      <c r="A1171">
        <v>92101029863</v>
      </c>
      <c r="B1171" t="s">
        <v>22661</v>
      </c>
      <c r="C1171" t="s">
        <v>22662</v>
      </c>
    </row>
    <row r="1172" spans="1:3">
      <c r="A1172">
        <v>92101029865</v>
      </c>
      <c r="B1172" t="s">
        <v>22663</v>
      </c>
      <c r="C1172" t="s">
        <v>22664</v>
      </c>
    </row>
    <row r="1173" spans="1:3">
      <c r="A1173">
        <v>92101030429</v>
      </c>
      <c r="B1173" t="s">
        <v>20834</v>
      </c>
      <c r="C1173" t="s">
        <v>20833</v>
      </c>
    </row>
    <row r="1174" spans="1:3">
      <c r="A1174">
        <v>92101032357</v>
      </c>
      <c r="B1174" t="s">
        <v>24812</v>
      </c>
      <c r="C1174" t="s">
        <v>24813</v>
      </c>
    </row>
    <row r="1175" spans="1:3">
      <c r="A1175">
        <v>92101035362</v>
      </c>
      <c r="B1175" t="s">
        <v>20836</v>
      </c>
      <c r="C1175" t="s">
        <v>20835</v>
      </c>
    </row>
    <row r="1176" spans="1:3">
      <c r="A1176">
        <v>92101040169</v>
      </c>
      <c r="B1176" t="s">
        <v>21059</v>
      </c>
      <c r="C1176" t="s">
        <v>21058</v>
      </c>
    </row>
    <row r="1177" spans="1:3">
      <c r="A1177">
        <v>92101041103</v>
      </c>
      <c r="B1177" t="s">
        <v>20826</v>
      </c>
      <c r="C1177" t="s">
        <v>20825</v>
      </c>
    </row>
    <row r="1178" spans="1:3">
      <c r="A1178">
        <v>92101041677</v>
      </c>
      <c r="B1178" t="s">
        <v>22249</v>
      </c>
      <c r="C1178" t="s">
        <v>22250</v>
      </c>
    </row>
    <row r="1179" spans="1:3">
      <c r="A1179">
        <v>92101042056</v>
      </c>
      <c r="B1179" t="s">
        <v>21028</v>
      </c>
      <c r="C1179" t="s">
        <v>21027</v>
      </c>
    </row>
    <row r="1180" spans="1:3">
      <c r="A1180">
        <v>92101042462</v>
      </c>
      <c r="B1180" t="s">
        <v>20509</v>
      </c>
      <c r="C1180" t="s">
        <v>20508</v>
      </c>
    </row>
    <row r="1181" spans="1:3">
      <c r="A1181">
        <v>92101042469</v>
      </c>
      <c r="B1181" t="s">
        <v>22563</v>
      </c>
      <c r="C1181" t="s">
        <v>22564</v>
      </c>
    </row>
    <row r="1182" spans="1:3">
      <c r="A1182">
        <v>92101042492</v>
      </c>
      <c r="B1182" t="s">
        <v>20862</v>
      </c>
      <c r="C1182" t="s">
        <v>20861</v>
      </c>
    </row>
    <row r="1183" spans="1:3">
      <c r="A1183">
        <v>92101044086</v>
      </c>
      <c r="B1183" t="s">
        <v>20772</v>
      </c>
      <c r="C1183" t="s">
        <v>21495</v>
      </c>
    </row>
    <row r="1184" spans="1:3">
      <c r="A1184">
        <v>92101046444</v>
      </c>
      <c r="B1184" t="s">
        <v>23107</v>
      </c>
      <c r="C1184" t="s">
        <v>23108</v>
      </c>
    </row>
    <row r="1185" spans="1:3">
      <c r="A1185">
        <v>92101047359</v>
      </c>
      <c r="B1185" t="s">
        <v>21057</v>
      </c>
      <c r="C1185" t="s">
        <v>21056</v>
      </c>
    </row>
    <row r="1186" spans="1:3">
      <c r="A1186">
        <v>92101048603</v>
      </c>
      <c r="B1186" t="s">
        <v>22565</v>
      </c>
      <c r="C1186" t="s">
        <v>22566</v>
      </c>
    </row>
    <row r="1187" spans="1:3">
      <c r="A1187">
        <v>92101048606</v>
      </c>
      <c r="B1187" t="s">
        <v>22567</v>
      </c>
      <c r="C1187" t="s">
        <v>22568</v>
      </c>
    </row>
    <row r="1188" spans="1:3">
      <c r="A1188">
        <v>92101048650</v>
      </c>
      <c r="B1188" t="s">
        <v>20904</v>
      </c>
      <c r="C1188" t="s">
        <v>20903</v>
      </c>
    </row>
    <row r="1189" spans="1:3">
      <c r="A1189">
        <v>92101048652</v>
      </c>
      <c r="B1189" t="s">
        <v>20906</v>
      </c>
      <c r="C1189" t="s">
        <v>20905</v>
      </c>
    </row>
    <row r="1190" spans="1:3">
      <c r="A1190">
        <v>92101049640</v>
      </c>
      <c r="B1190" t="s">
        <v>22251</v>
      </c>
      <c r="C1190" t="s">
        <v>22252</v>
      </c>
    </row>
    <row r="1191" spans="1:3">
      <c r="A1191">
        <v>92101051870</v>
      </c>
      <c r="B1191" t="s">
        <v>22253</v>
      </c>
      <c r="C1191" t="s">
        <v>22254</v>
      </c>
    </row>
    <row r="1192" spans="1:3">
      <c r="A1192">
        <v>92101058046</v>
      </c>
      <c r="B1192" t="s">
        <v>22255</v>
      </c>
      <c r="C1192" t="s">
        <v>22256</v>
      </c>
    </row>
    <row r="1193" spans="1:3">
      <c r="A1193">
        <v>92101061044</v>
      </c>
      <c r="B1193" t="s">
        <v>24137</v>
      </c>
      <c r="C1193" t="s">
        <v>24233</v>
      </c>
    </row>
    <row r="1194" spans="1:3">
      <c r="A1194">
        <v>92101061045</v>
      </c>
      <c r="B1194" t="s">
        <v>24234</v>
      </c>
      <c r="C1194" t="s">
        <v>24235</v>
      </c>
    </row>
    <row r="1195" spans="1:3">
      <c r="A1195">
        <v>92101061046</v>
      </c>
      <c r="B1195" t="s">
        <v>24139</v>
      </c>
      <c r="C1195" t="s">
        <v>24236</v>
      </c>
    </row>
    <row r="1196" spans="1:3">
      <c r="A1196">
        <v>92101061047</v>
      </c>
      <c r="B1196" t="s">
        <v>24141</v>
      </c>
      <c r="C1196" t="s">
        <v>24237</v>
      </c>
    </row>
    <row r="1197" spans="1:3">
      <c r="A1197">
        <v>92101061048</v>
      </c>
      <c r="B1197" t="s">
        <v>24238</v>
      </c>
      <c r="C1197" t="s">
        <v>24239</v>
      </c>
    </row>
    <row r="1198" spans="1:3">
      <c r="A1198">
        <v>92101061049</v>
      </c>
      <c r="B1198" t="s">
        <v>24143</v>
      </c>
      <c r="C1198" t="s">
        <v>24240</v>
      </c>
    </row>
    <row r="1199" spans="1:3">
      <c r="A1199">
        <v>92101061050</v>
      </c>
      <c r="B1199" t="s">
        <v>24145</v>
      </c>
      <c r="C1199" t="s">
        <v>24241</v>
      </c>
    </row>
    <row r="1200" spans="1:3">
      <c r="A1200">
        <v>92101061051</v>
      </c>
      <c r="B1200" t="s">
        <v>24242</v>
      </c>
      <c r="C1200" t="s">
        <v>24243</v>
      </c>
    </row>
    <row r="1201" spans="1:3">
      <c r="A1201">
        <v>92101061052</v>
      </c>
      <c r="B1201" t="s">
        <v>24147</v>
      </c>
      <c r="C1201" t="s">
        <v>24244</v>
      </c>
    </row>
    <row r="1202" spans="1:3">
      <c r="A1202">
        <v>92101062494</v>
      </c>
      <c r="B1202" t="s">
        <v>23109</v>
      </c>
      <c r="C1202" t="s">
        <v>23110</v>
      </c>
    </row>
    <row r="1203" spans="1:3">
      <c r="A1203">
        <v>92101062495</v>
      </c>
      <c r="B1203" t="s">
        <v>23111</v>
      </c>
      <c r="C1203" t="s">
        <v>23112</v>
      </c>
    </row>
    <row r="1204" spans="1:3">
      <c r="A1204">
        <v>92101062691</v>
      </c>
      <c r="B1204" t="s">
        <v>23749</v>
      </c>
      <c r="C1204" t="s">
        <v>23750</v>
      </c>
    </row>
    <row r="1205" spans="1:3">
      <c r="A1205">
        <v>92101064032</v>
      </c>
      <c r="B1205" t="s">
        <v>20808</v>
      </c>
      <c r="C1205" t="s">
        <v>20807</v>
      </c>
    </row>
    <row r="1206" spans="1:3">
      <c r="A1206">
        <v>92101065362</v>
      </c>
      <c r="B1206" t="s">
        <v>24814</v>
      </c>
      <c r="C1206" t="s">
        <v>24815</v>
      </c>
    </row>
    <row r="1207" spans="1:3">
      <c r="A1207">
        <v>92101066000</v>
      </c>
      <c r="B1207" t="s">
        <v>21496</v>
      </c>
      <c r="C1207" t="s">
        <v>21497</v>
      </c>
    </row>
    <row r="1208" spans="1:3">
      <c r="A1208">
        <v>92101068053</v>
      </c>
      <c r="B1208" t="s">
        <v>24816</v>
      </c>
      <c r="C1208" t="s">
        <v>24817</v>
      </c>
    </row>
    <row r="1209" spans="1:3">
      <c r="A1209">
        <v>92101068151</v>
      </c>
      <c r="B1209" t="s">
        <v>23113</v>
      </c>
      <c r="C1209" t="s">
        <v>23114</v>
      </c>
    </row>
    <row r="1210" spans="1:3">
      <c r="A1210">
        <v>92101068570</v>
      </c>
      <c r="B1210" t="s">
        <v>22257</v>
      </c>
      <c r="C1210" t="s">
        <v>22258</v>
      </c>
    </row>
    <row r="1211" spans="1:3">
      <c r="A1211">
        <v>92101068610</v>
      </c>
      <c r="B1211" t="s">
        <v>22569</v>
      </c>
      <c r="C1211" t="s">
        <v>22570</v>
      </c>
    </row>
    <row r="1212" spans="1:3">
      <c r="A1212">
        <v>92101069533</v>
      </c>
      <c r="B1212" t="s">
        <v>21578</v>
      </c>
      <c r="C1212" t="s">
        <v>21579</v>
      </c>
    </row>
    <row r="1213" spans="1:3">
      <c r="A1213">
        <v>92101069534</v>
      </c>
      <c r="B1213" t="s">
        <v>21580</v>
      </c>
      <c r="C1213" t="s">
        <v>21581</v>
      </c>
    </row>
    <row r="1214" spans="1:3">
      <c r="A1214">
        <v>92101069535</v>
      </c>
      <c r="B1214" t="s">
        <v>21582</v>
      </c>
      <c r="C1214" t="s">
        <v>21583</v>
      </c>
    </row>
    <row r="1215" spans="1:3">
      <c r="A1215">
        <v>92101069537</v>
      </c>
      <c r="B1215" t="s">
        <v>21584</v>
      </c>
      <c r="C1215" t="s">
        <v>21585</v>
      </c>
    </row>
    <row r="1216" spans="1:3">
      <c r="A1216">
        <v>92101069580</v>
      </c>
      <c r="B1216" t="s">
        <v>21586</v>
      </c>
      <c r="C1216" t="s">
        <v>21587</v>
      </c>
    </row>
    <row r="1217" spans="1:3">
      <c r="A1217">
        <v>92101069581</v>
      </c>
      <c r="B1217" t="s">
        <v>21588</v>
      </c>
      <c r="C1217" t="s">
        <v>21589</v>
      </c>
    </row>
    <row r="1218" spans="1:3">
      <c r="A1218">
        <v>92101069582</v>
      </c>
      <c r="B1218" t="s">
        <v>21590</v>
      </c>
      <c r="C1218" t="s">
        <v>21591</v>
      </c>
    </row>
    <row r="1219" spans="1:3">
      <c r="A1219">
        <v>92101069583</v>
      </c>
      <c r="B1219" t="s">
        <v>21592</v>
      </c>
      <c r="C1219" t="s">
        <v>21593</v>
      </c>
    </row>
    <row r="1220" spans="1:3">
      <c r="A1220">
        <v>92101069584</v>
      </c>
      <c r="B1220" t="s">
        <v>23115</v>
      </c>
      <c r="C1220" t="s">
        <v>21594</v>
      </c>
    </row>
    <row r="1221" spans="1:3">
      <c r="A1221">
        <v>92101069585</v>
      </c>
      <c r="B1221" t="s">
        <v>22259</v>
      </c>
      <c r="C1221" t="s">
        <v>21595</v>
      </c>
    </row>
    <row r="1222" spans="1:3">
      <c r="A1222">
        <v>92101069586</v>
      </c>
      <c r="B1222" t="s">
        <v>21596</v>
      </c>
      <c r="C1222" t="s">
        <v>21597</v>
      </c>
    </row>
    <row r="1223" spans="1:3">
      <c r="A1223">
        <v>92101069590</v>
      </c>
      <c r="B1223" t="s">
        <v>21598</v>
      </c>
      <c r="C1223" t="s">
        <v>21599</v>
      </c>
    </row>
    <row r="1224" spans="1:3">
      <c r="A1224">
        <v>92101069591</v>
      </c>
      <c r="B1224" t="s">
        <v>21600</v>
      </c>
      <c r="C1224" t="s">
        <v>21601</v>
      </c>
    </row>
    <row r="1225" spans="1:3">
      <c r="A1225">
        <v>92101069592</v>
      </c>
      <c r="B1225" t="s">
        <v>21602</v>
      </c>
      <c r="C1225" t="s">
        <v>21603</v>
      </c>
    </row>
    <row r="1226" spans="1:3">
      <c r="A1226">
        <v>92101069593</v>
      </c>
      <c r="B1226" t="s">
        <v>21604</v>
      </c>
      <c r="C1226" t="s">
        <v>21605</v>
      </c>
    </row>
    <row r="1227" spans="1:3">
      <c r="A1227">
        <v>92101069594</v>
      </c>
      <c r="B1227" t="s">
        <v>21606</v>
      </c>
      <c r="C1227" t="s">
        <v>21607</v>
      </c>
    </row>
    <row r="1228" spans="1:3">
      <c r="A1228">
        <v>92101069595</v>
      </c>
      <c r="B1228" t="s">
        <v>21608</v>
      </c>
      <c r="C1228" t="s">
        <v>21609</v>
      </c>
    </row>
    <row r="1229" spans="1:3">
      <c r="A1229">
        <v>92101069596</v>
      </c>
      <c r="B1229" t="s">
        <v>22260</v>
      </c>
      <c r="C1229" t="s">
        <v>22261</v>
      </c>
    </row>
    <row r="1230" spans="1:3">
      <c r="A1230">
        <v>92101069597</v>
      </c>
      <c r="B1230" t="s">
        <v>22262</v>
      </c>
      <c r="C1230" t="s">
        <v>22263</v>
      </c>
    </row>
    <row r="1231" spans="1:3">
      <c r="A1231">
        <v>92101069598</v>
      </c>
      <c r="B1231" t="s">
        <v>22264</v>
      </c>
      <c r="C1231" t="s">
        <v>22265</v>
      </c>
    </row>
    <row r="1232" spans="1:3">
      <c r="A1232">
        <v>92101069599</v>
      </c>
      <c r="B1232" t="s">
        <v>22266</v>
      </c>
      <c r="C1232" t="s">
        <v>22267</v>
      </c>
    </row>
    <row r="1233" spans="1:3">
      <c r="A1233">
        <v>92101069600</v>
      </c>
      <c r="B1233" t="s">
        <v>22268</v>
      </c>
      <c r="C1233" t="s">
        <v>22269</v>
      </c>
    </row>
    <row r="1234" spans="1:3">
      <c r="A1234">
        <v>92101069601</v>
      </c>
      <c r="B1234" t="s">
        <v>22270</v>
      </c>
      <c r="C1234" t="s">
        <v>22271</v>
      </c>
    </row>
    <row r="1235" spans="1:3">
      <c r="A1235">
        <v>92101069655</v>
      </c>
      <c r="B1235" t="s">
        <v>21610</v>
      </c>
      <c r="C1235" t="s">
        <v>21611</v>
      </c>
    </row>
    <row r="1236" spans="1:3">
      <c r="A1236">
        <v>92101069656</v>
      </c>
      <c r="B1236" t="s">
        <v>21612</v>
      </c>
      <c r="C1236" t="s">
        <v>21613</v>
      </c>
    </row>
    <row r="1237" spans="1:3">
      <c r="A1237">
        <v>92101069657</v>
      </c>
      <c r="B1237" t="s">
        <v>21614</v>
      </c>
      <c r="C1237" t="s">
        <v>21615</v>
      </c>
    </row>
    <row r="1238" spans="1:3">
      <c r="A1238">
        <v>92101069659</v>
      </c>
      <c r="B1238" t="s">
        <v>21616</v>
      </c>
      <c r="C1238" t="s">
        <v>21617</v>
      </c>
    </row>
    <row r="1239" spans="1:3">
      <c r="A1239">
        <v>92101069661</v>
      </c>
      <c r="B1239" t="s">
        <v>21618</v>
      </c>
      <c r="C1239" t="s">
        <v>21619</v>
      </c>
    </row>
    <row r="1240" spans="1:3">
      <c r="A1240">
        <v>92101069665</v>
      </c>
      <c r="B1240" t="s">
        <v>21620</v>
      </c>
      <c r="C1240" t="s">
        <v>21621</v>
      </c>
    </row>
    <row r="1241" spans="1:3">
      <c r="A1241">
        <v>92101069667</v>
      </c>
      <c r="B1241" t="s">
        <v>21622</v>
      </c>
      <c r="C1241" t="s">
        <v>21623</v>
      </c>
    </row>
    <row r="1242" spans="1:3">
      <c r="A1242">
        <v>92101069668</v>
      </c>
      <c r="B1242" t="s">
        <v>21624</v>
      </c>
      <c r="C1242" t="s">
        <v>21625</v>
      </c>
    </row>
    <row r="1243" spans="1:3">
      <c r="A1243">
        <v>92101069672</v>
      </c>
      <c r="B1243" t="s">
        <v>21626</v>
      </c>
      <c r="C1243" t="s">
        <v>21627</v>
      </c>
    </row>
    <row r="1244" spans="1:3">
      <c r="A1244">
        <v>92101069674</v>
      </c>
      <c r="B1244" t="s">
        <v>21628</v>
      </c>
      <c r="C1244" t="s">
        <v>21629</v>
      </c>
    </row>
    <row r="1245" spans="1:3">
      <c r="A1245">
        <v>92101069862</v>
      </c>
      <c r="B1245" t="s">
        <v>22665</v>
      </c>
      <c r="C1245" t="s">
        <v>22666</v>
      </c>
    </row>
    <row r="1246" spans="1:3">
      <c r="A1246">
        <v>92101069934</v>
      </c>
      <c r="B1246" t="s">
        <v>23116</v>
      </c>
      <c r="C1246" t="s">
        <v>23117</v>
      </c>
    </row>
    <row r="1247" spans="1:3">
      <c r="A1247">
        <v>92101086445</v>
      </c>
      <c r="B1247" t="s">
        <v>23118</v>
      </c>
      <c r="C1247" t="s">
        <v>23119</v>
      </c>
    </row>
    <row r="1248" spans="1:3">
      <c r="A1248">
        <v>92101103020</v>
      </c>
      <c r="B1248" t="s">
        <v>21065</v>
      </c>
      <c r="C1248" t="s">
        <v>21064</v>
      </c>
    </row>
    <row r="1249" spans="1:3">
      <c r="A1249">
        <v>92101105008</v>
      </c>
      <c r="B1249" t="s">
        <v>24066</v>
      </c>
      <c r="C1249" t="s">
        <v>23751</v>
      </c>
    </row>
    <row r="1250" spans="1:3">
      <c r="A1250">
        <v>92101106136</v>
      </c>
      <c r="B1250" t="s">
        <v>24067</v>
      </c>
      <c r="C1250" t="s">
        <v>24068</v>
      </c>
    </row>
    <row r="1251" spans="1:3">
      <c r="A1251">
        <v>92101106140</v>
      </c>
      <c r="B1251" t="s">
        <v>24069</v>
      </c>
      <c r="C1251" t="s">
        <v>20969</v>
      </c>
    </row>
    <row r="1252" spans="1:3">
      <c r="A1252">
        <v>92101106303</v>
      </c>
      <c r="B1252" t="s">
        <v>22571</v>
      </c>
      <c r="C1252" t="s">
        <v>22572</v>
      </c>
    </row>
    <row r="1253" spans="1:3">
      <c r="A1253">
        <v>92101107950</v>
      </c>
      <c r="B1253" t="s">
        <v>24070</v>
      </c>
      <c r="C1253" t="s">
        <v>24071</v>
      </c>
    </row>
    <row r="1254" spans="1:3">
      <c r="A1254">
        <v>92101108564</v>
      </c>
      <c r="B1254" t="s">
        <v>21067</v>
      </c>
      <c r="C1254" t="s">
        <v>21066</v>
      </c>
    </row>
    <row r="1255" spans="1:3">
      <c r="A1255">
        <v>92101109025</v>
      </c>
      <c r="B1255" t="s">
        <v>20882</v>
      </c>
      <c r="C1255" t="s">
        <v>20881</v>
      </c>
    </row>
    <row r="1256" spans="1:3">
      <c r="A1256">
        <v>92101109688</v>
      </c>
      <c r="B1256" t="s">
        <v>21143</v>
      </c>
      <c r="C1256" t="s">
        <v>21142</v>
      </c>
    </row>
    <row r="1257" spans="1:3">
      <c r="A1257">
        <v>92101115802</v>
      </c>
      <c r="B1257" t="s">
        <v>22272</v>
      </c>
      <c r="C1257" t="s">
        <v>22273</v>
      </c>
    </row>
    <row r="1258" spans="1:3">
      <c r="A1258">
        <v>92101119171</v>
      </c>
      <c r="B1258" t="s">
        <v>20513</v>
      </c>
      <c r="C1258" t="s">
        <v>20512</v>
      </c>
    </row>
    <row r="1259" spans="1:3">
      <c r="A1259">
        <v>92101472178</v>
      </c>
      <c r="B1259" t="s">
        <v>20507</v>
      </c>
      <c r="C1259" t="s">
        <v>20506</v>
      </c>
    </row>
    <row r="1260" spans="1:3">
      <c r="A1260">
        <v>92101853643</v>
      </c>
      <c r="B1260" t="s">
        <v>20946</v>
      </c>
      <c r="C1260" t="s">
        <v>20945</v>
      </c>
    </row>
    <row r="1261" spans="1:3">
      <c r="A1261">
        <v>92101854217</v>
      </c>
      <c r="B1261" t="s">
        <v>22806</v>
      </c>
      <c r="C1261" t="s">
        <v>22807</v>
      </c>
    </row>
    <row r="1262" spans="1:3">
      <c r="A1262">
        <v>92101854218</v>
      </c>
      <c r="B1262" t="s">
        <v>20832</v>
      </c>
      <c r="C1262" t="s">
        <v>20831</v>
      </c>
    </row>
    <row r="1263" spans="1:3">
      <c r="A1263">
        <v>92101862252</v>
      </c>
      <c r="B1263" t="s">
        <v>21024</v>
      </c>
      <c r="C1263" t="s">
        <v>21023</v>
      </c>
    </row>
    <row r="1264" spans="1:3">
      <c r="A1264">
        <v>92102028607</v>
      </c>
      <c r="B1264" t="s">
        <v>22573</v>
      </c>
      <c r="C1264" t="s">
        <v>22574</v>
      </c>
    </row>
    <row r="1265" spans="1:3">
      <c r="A1265">
        <v>92102029035</v>
      </c>
      <c r="B1265" t="s">
        <v>20892</v>
      </c>
      <c r="C1265" t="s">
        <v>20891</v>
      </c>
    </row>
    <row r="1266" spans="1:3">
      <c r="A1266">
        <v>92102030432</v>
      </c>
      <c r="B1266" t="s">
        <v>24818</v>
      </c>
      <c r="C1266" t="s">
        <v>24819</v>
      </c>
    </row>
    <row r="1267" spans="1:3">
      <c r="A1267">
        <v>92102035363</v>
      </c>
      <c r="B1267" t="s">
        <v>20985</v>
      </c>
      <c r="C1267" t="s">
        <v>20984</v>
      </c>
    </row>
    <row r="1268" spans="1:3">
      <c r="A1268">
        <v>92102038512</v>
      </c>
      <c r="B1268" t="s">
        <v>20983</v>
      </c>
      <c r="C1268" t="s">
        <v>20982</v>
      </c>
    </row>
    <row r="1269" spans="1:3">
      <c r="A1269">
        <v>92102061200</v>
      </c>
      <c r="B1269" t="s">
        <v>24072</v>
      </c>
      <c r="C1269" t="s">
        <v>24073</v>
      </c>
    </row>
    <row r="1270" spans="1:3">
      <c r="A1270">
        <v>92102061201</v>
      </c>
      <c r="B1270" t="s">
        <v>24074</v>
      </c>
      <c r="C1270" t="s">
        <v>24075</v>
      </c>
    </row>
    <row r="1271" spans="1:3">
      <c r="A1271">
        <v>92102065087</v>
      </c>
      <c r="B1271" t="s">
        <v>22274</v>
      </c>
      <c r="C1271" t="s">
        <v>22275</v>
      </c>
    </row>
    <row r="1272" spans="1:3">
      <c r="A1272">
        <v>92102068609</v>
      </c>
      <c r="B1272" t="s">
        <v>22575</v>
      </c>
      <c r="C1272" t="s">
        <v>22576</v>
      </c>
    </row>
    <row r="1273" spans="1:3">
      <c r="A1273">
        <v>92102088509</v>
      </c>
      <c r="B1273" t="s">
        <v>20987</v>
      </c>
      <c r="C1273" t="s">
        <v>20986</v>
      </c>
    </row>
    <row r="1274" spans="1:3">
      <c r="A1274">
        <v>92102106137</v>
      </c>
      <c r="B1274" t="s">
        <v>24076</v>
      </c>
      <c r="C1274" t="s">
        <v>24077</v>
      </c>
    </row>
    <row r="1275" spans="1:3">
      <c r="A1275">
        <v>92102106141</v>
      </c>
      <c r="B1275" t="s">
        <v>24078</v>
      </c>
      <c r="C1275" t="s">
        <v>20971</v>
      </c>
    </row>
    <row r="1276" spans="1:3">
      <c r="A1276">
        <v>92102109022</v>
      </c>
      <c r="B1276" t="s">
        <v>20888</v>
      </c>
      <c r="C1276" t="s">
        <v>20887</v>
      </c>
    </row>
    <row r="1277" spans="1:3">
      <c r="A1277">
        <v>92102109026</v>
      </c>
      <c r="B1277" t="s">
        <v>20884</v>
      </c>
      <c r="C1277" t="s">
        <v>20883</v>
      </c>
    </row>
    <row r="1278" spans="1:3">
      <c r="A1278">
        <v>92102111810</v>
      </c>
      <c r="B1278" t="s">
        <v>24820</v>
      </c>
      <c r="C1278" t="s">
        <v>24821</v>
      </c>
    </row>
    <row r="1279" spans="1:3">
      <c r="A1279">
        <v>92102156030</v>
      </c>
      <c r="B1279" t="s">
        <v>21053</v>
      </c>
      <c r="C1279" t="s">
        <v>21052</v>
      </c>
    </row>
    <row r="1280" spans="1:3">
      <c r="A1280">
        <v>92102156032</v>
      </c>
      <c r="B1280" t="s">
        <v>20511</v>
      </c>
      <c r="C1280" t="s">
        <v>20510</v>
      </c>
    </row>
    <row r="1281" spans="1:3">
      <c r="A1281">
        <v>92102162494</v>
      </c>
      <c r="B1281" t="s">
        <v>20864</v>
      </c>
      <c r="C1281" t="s">
        <v>20863</v>
      </c>
    </row>
    <row r="1282" spans="1:3">
      <c r="A1282">
        <v>92102169628</v>
      </c>
      <c r="B1282" t="s">
        <v>22276</v>
      </c>
      <c r="C1282" t="s">
        <v>22277</v>
      </c>
    </row>
    <row r="1283" spans="1:3">
      <c r="A1283">
        <v>92102169641</v>
      </c>
      <c r="B1283" t="s">
        <v>22278</v>
      </c>
      <c r="C1283" t="s">
        <v>22279</v>
      </c>
    </row>
    <row r="1284" spans="1:3">
      <c r="A1284">
        <v>92102183931</v>
      </c>
      <c r="B1284" t="s">
        <v>21026</v>
      </c>
      <c r="C1284" t="s">
        <v>21025</v>
      </c>
    </row>
    <row r="1285" spans="1:3">
      <c r="A1285">
        <v>92102185287</v>
      </c>
      <c r="B1285" t="s">
        <v>21030</v>
      </c>
      <c r="C1285" t="s">
        <v>21029</v>
      </c>
    </row>
    <row r="1286" spans="1:3">
      <c r="A1286">
        <v>92102189030</v>
      </c>
      <c r="B1286" t="s">
        <v>20880</v>
      </c>
      <c r="C1286" t="s">
        <v>20879</v>
      </c>
    </row>
    <row r="1287" spans="1:3">
      <c r="A1287">
        <v>92102189901</v>
      </c>
      <c r="B1287" t="s">
        <v>22808</v>
      </c>
      <c r="C1287" t="s">
        <v>22809</v>
      </c>
    </row>
    <row r="1288" spans="1:3">
      <c r="A1288">
        <v>92102221241</v>
      </c>
      <c r="B1288" t="s">
        <v>23752</v>
      </c>
      <c r="C1288" t="s">
        <v>23753</v>
      </c>
    </row>
    <row r="1289" spans="1:3">
      <c r="A1289">
        <v>92102221243</v>
      </c>
      <c r="B1289" t="s">
        <v>24079</v>
      </c>
      <c r="C1289" t="s">
        <v>24080</v>
      </c>
    </row>
    <row r="1290" spans="1:3">
      <c r="A1290">
        <v>92102222749</v>
      </c>
      <c r="B1290" t="s">
        <v>23754</v>
      </c>
      <c r="C1290" t="s">
        <v>23755</v>
      </c>
    </row>
    <row r="1291" spans="1:3">
      <c r="A1291">
        <v>92102223273</v>
      </c>
      <c r="B1291" t="s">
        <v>23756</v>
      </c>
      <c r="C1291" t="s">
        <v>23757</v>
      </c>
    </row>
    <row r="1292" spans="1:3">
      <c r="A1292">
        <v>92102224401</v>
      </c>
      <c r="B1292" t="s">
        <v>20948</v>
      </c>
      <c r="C1292" t="s">
        <v>20947</v>
      </c>
    </row>
    <row r="1293" spans="1:3">
      <c r="A1293">
        <v>92102225856</v>
      </c>
      <c r="B1293" t="s">
        <v>24081</v>
      </c>
      <c r="C1293" t="s">
        <v>24082</v>
      </c>
    </row>
    <row r="1294" spans="1:3">
      <c r="A1294">
        <v>92102388538</v>
      </c>
      <c r="B1294" t="s">
        <v>20810</v>
      </c>
      <c r="C1294" t="s">
        <v>20809</v>
      </c>
    </row>
    <row r="1295" spans="1:3">
      <c r="A1295">
        <v>92102626395</v>
      </c>
      <c r="B1295" t="s">
        <v>21145</v>
      </c>
      <c r="C1295" t="s">
        <v>21144</v>
      </c>
    </row>
    <row r="1296" spans="1:3">
      <c r="A1296">
        <v>92102628604</v>
      </c>
      <c r="B1296" t="s">
        <v>22577</v>
      </c>
      <c r="C1296" t="s">
        <v>22578</v>
      </c>
    </row>
    <row r="1297" spans="1:3">
      <c r="A1297">
        <v>92102769767</v>
      </c>
      <c r="B1297" t="s">
        <v>21055</v>
      </c>
      <c r="C1297" t="s">
        <v>21054</v>
      </c>
    </row>
    <row r="1298" spans="1:3">
      <c r="A1298">
        <v>92102769859</v>
      </c>
      <c r="B1298" t="s">
        <v>22667</v>
      </c>
      <c r="C1298" t="s">
        <v>22668</v>
      </c>
    </row>
    <row r="1299" spans="1:3">
      <c r="A1299">
        <v>92102868562</v>
      </c>
      <c r="B1299" t="s">
        <v>21069</v>
      </c>
      <c r="C1299" t="s">
        <v>21068</v>
      </c>
    </row>
    <row r="1300" spans="1:3">
      <c r="A1300">
        <v>92102868565</v>
      </c>
      <c r="B1300" t="s">
        <v>21071</v>
      </c>
      <c r="C1300" t="s">
        <v>21070</v>
      </c>
    </row>
    <row r="1301" spans="1:3">
      <c r="A1301">
        <v>92103030437</v>
      </c>
      <c r="B1301" t="s">
        <v>22896</v>
      </c>
      <c r="C1301" t="s">
        <v>22897</v>
      </c>
    </row>
    <row r="1302" spans="1:3">
      <c r="A1302">
        <v>92103069294</v>
      </c>
      <c r="B1302" t="s">
        <v>20902</v>
      </c>
      <c r="C1302" t="s">
        <v>20901</v>
      </c>
    </row>
    <row r="1303" spans="1:3">
      <c r="A1303">
        <v>92103177961</v>
      </c>
      <c r="B1303" t="s">
        <v>23393</v>
      </c>
      <c r="C1303" t="s">
        <v>23394</v>
      </c>
    </row>
    <row r="1304" spans="1:3">
      <c r="A1304">
        <v>92104030438</v>
      </c>
      <c r="B1304" t="s">
        <v>20716</v>
      </c>
      <c r="C1304" t="s">
        <v>21178</v>
      </c>
    </row>
    <row r="1305" spans="1:3">
      <c r="A1305">
        <v>92104032519</v>
      </c>
      <c r="B1305" t="s">
        <v>20866</v>
      </c>
      <c r="C1305" t="s">
        <v>20865</v>
      </c>
    </row>
    <row r="1306" spans="1:3">
      <c r="A1306">
        <v>92104065539</v>
      </c>
      <c r="B1306" t="s">
        <v>22579</v>
      </c>
      <c r="C1306" t="s">
        <v>22580</v>
      </c>
    </row>
    <row r="1307" spans="1:3">
      <c r="A1307">
        <v>92104104000</v>
      </c>
      <c r="B1307" t="s">
        <v>20830</v>
      </c>
      <c r="C1307" t="s">
        <v>20829</v>
      </c>
    </row>
    <row r="1308" spans="1:3">
      <c r="A1308">
        <v>92104105945</v>
      </c>
      <c r="B1308" t="s">
        <v>22280</v>
      </c>
      <c r="C1308" t="s">
        <v>22281</v>
      </c>
    </row>
    <row r="1309" spans="1:3">
      <c r="A1309">
        <v>92104107588</v>
      </c>
      <c r="B1309" t="s">
        <v>24822</v>
      </c>
      <c r="C1309" t="s">
        <v>23120</v>
      </c>
    </row>
    <row r="1310" spans="1:3">
      <c r="A1310">
        <v>92104156036</v>
      </c>
      <c r="B1310" t="s">
        <v>20517</v>
      </c>
      <c r="C1310" t="s">
        <v>20516</v>
      </c>
    </row>
    <row r="1311" spans="1:3">
      <c r="A1311">
        <v>92104476208</v>
      </c>
      <c r="B1311" t="s">
        <v>21794</v>
      </c>
      <c r="C1311" t="s">
        <v>22282</v>
      </c>
    </row>
    <row r="1312" spans="1:3">
      <c r="A1312">
        <v>92104741028</v>
      </c>
      <c r="B1312" t="s">
        <v>23395</v>
      </c>
      <c r="C1312" t="s">
        <v>23396</v>
      </c>
    </row>
    <row r="1313" spans="1:3">
      <c r="A1313">
        <v>92104868377</v>
      </c>
      <c r="B1313" t="s">
        <v>22283</v>
      </c>
      <c r="C1313" t="s">
        <v>22284</v>
      </c>
    </row>
    <row r="1314" spans="1:3">
      <c r="A1314">
        <v>92105029730</v>
      </c>
      <c r="B1314" t="s">
        <v>21498</v>
      </c>
      <c r="C1314" t="s">
        <v>21499</v>
      </c>
    </row>
    <row r="1315" spans="1:3">
      <c r="A1315">
        <v>92105030439</v>
      </c>
      <c r="B1315" t="s">
        <v>20989</v>
      </c>
      <c r="C1315" t="s">
        <v>20988</v>
      </c>
    </row>
    <row r="1316" spans="1:3">
      <c r="A1316">
        <v>92105103272</v>
      </c>
      <c r="B1316" t="s">
        <v>20812</v>
      </c>
      <c r="C1316" t="s">
        <v>20811</v>
      </c>
    </row>
    <row r="1317" spans="1:3">
      <c r="A1317">
        <v>92105153932</v>
      </c>
      <c r="B1317" t="s">
        <v>21032</v>
      </c>
      <c r="C1317" t="s">
        <v>21031</v>
      </c>
    </row>
    <row r="1318" spans="1:3">
      <c r="A1318">
        <v>92105225860</v>
      </c>
      <c r="B1318" t="s">
        <v>20950</v>
      </c>
      <c r="C1318" t="s">
        <v>20949</v>
      </c>
    </row>
    <row r="1319" spans="1:3">
      <c r="A1319">
        <v>92105232467</v>
      </c>
      <c r="B1319" t="s">
        <v>24083</v>
      </c>
      <c r="C1319" t="s">
        <v>21072</v>
      </c>
    </row>
    <row r="1320" spans="1:3">
      <c r="A1320">
        <v>92105268542</v>
      </c>
      <c r="B1320" t="s">
        <v>20991</v>
      </c>
      <c r="C1320" t="s">
        <v>20990</v>
      </c>
    </row>
    <row r="1321" spans="1:3">
      <c r="A1321">
        <v>92105268543</v>
      </c>
      <c r="B1321" t="s">
        <v>20993</v>
      </c>
      <c r="C1321" t="s">
        <v>20992</v>
      </c>
    </row>
    <row r="1322" spans="1:3">
      <c r="A1322">
        <v>92107349031</v>
      </c>
      <c r="B1322" t="s">
        <v>20900</v>
      </c>
      <c r="C1322" t="s">
        <v>20899</v>
      </c>
    </row>
    <row r="1323" spans="1:3">
      <c r="A1323">
        <v>92108274001</v>
      </c>
      <c r="B1323" t="s">
        <v>20828</v>
      </c>
      <c r="C1323" t="s">
        <v>20827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20724</v>
      </c>
      <c r="C1325" t="s">
        <v>20723</v>
      </c>
    </row>
    <row r="1326" spans="1:3">
      <c r="A1326">
        <v>92108305292</v>
      </c>
      <c r="B1326" t="s">
        <v>22285</v>
      </c>
      <c r="C1326" t="s">
        <v>22286</v>
      </c>
    </row>
    <row r="1327" spans="1:3">
      <c r="A1327">
        <v>92108305867</v>
      </c>
      <c r="B1327" t="s">
        <v>22287</v>
      </c>
      <c r="C1327" t="s">
        <v>22288</v>
      </c>
    </row>
    <row r="1328" spans="1:3">
      <c r="A1328">
        <v>92108341082</v>
      </c>
      <c r="B1328" t="s">
        <v>23121</v>
      </c>
      <c r="C1328" t="s">
        <v>23122</v>
      </c>
    </row>
    <row r="1329" spans="1:3">
      <c r="A1329">
        <v>92109289836</v>
      </c>
      <c r="B1329" t="s">
        <v>22961</v>
      </c>
      <c r="C1329" t="s">
        <v>22481</v>
      </c>
    </row>
    <row r="1330" spans="1:3">
      <c r="A1330">
        <v>92109349023</v>
      </c>
      <c r="B1330" t="s">
        <v>20898</v>
      </c>
      <c r="C1330" t="s">
        <v>20897</v>
      </c>
    </row>
    <row r="1331" spans="1:3">
      <c r="A1331">
        <v>92110300739</v>
      </c>
      <c r="B1331" t="s">
        <v>21500</v>
      </c>
      <c r="C1331" t="s">
        <v>21501</v>
      </c>
    </row>
    <row r="1332" spans="1:3">
      <c r="A1332">
        <v>92110309903</v>
      </c>
      <c r="B1332" t="s">
        <v>22810</v>
      </c>
      <c r="C1332" t="s">
        <v>22811</v>
      </c>
    </row>
    <row r="1333" spans="1:3">
      <c r="A1333">
        <v>92110341323</v>
      </c>
      <c r="B1333" t="s">
        <v>24193</v>
      </c>
      <c r="C1333" t="s">
        <v>24245</v>
      </c>
    </row>
    <row r="1334" spans="1:3">
      <c r="A1334">
        <v>92110341324</v>
      </c>
      <c r="B1334" t="s">
        <v>24195</v>
      </c>
      <c r="C1334" t="s">
        <v>24246</v>
      </c>
    </row>
    <row r="1335" spans="1:3">
      <c r="A1335">
        <v>92110341325</v>
      </c>
      <c r="B1335" t="s">
        <v>24197</v>
      </c>
      <c r="C1335" t="s">
        <v>24247</v>
      </c>
    </row>
    <row r="1336" spans="1:3">
      <c r="A1336">
        <v>92110349027</v>
      </c>
      <c r="B1336" t="s">
        <v>20896</v>
      </c>
      <c r="C1336" t="s">
        <v>20895</v>
      </c>
    </row>
    <row r="1337" spans="1:3">
      <c r="A1337">
        <v>92110349032</v>
      </c>
      <c r="B1337" t="s">
        <v>20894</v>
      </c>
      <c r="C1337" t="s">
        <v>20893</v>
      </c>
    </row>
    <row r="1338" spans="1:3">
      <c r="A1338">
        <v>92111016797</v>
      </c>
      <c r="B1338" t="s">
        <v>24923</v>
      </c>
      <c r="C1338" t="s">
        <v>24924</v>
      </c>
    </row>
    <row r="1339" spans="1:3">
      <c r="A1339">
        <v>92111062460</v>
      </c>
      <c r="B1339" t="s">
        <v>21020</v>
      </c>
      <c r="C1339" t="s">
        <v>21019</v>
      </c>
    </row>
    <row r="1340" spans="1:3">
      <c r="A1340">
        <v>92111239728</v>
      </c>
      <c r="B1340" t="s">
        <v>21502</v>
      </c>
      <c r="C1340" t="s">
        <v>21503</v>
      </c>
    </row>
    <row r="1341" spans="1:3">
      <c r="A1341">
        <v>92112029729</v>
      </c>
      <c r="B1341" t="s">
        <v>22669</v>
      </c>
      <c r="C1341" t="s">
        <v>21504</v>
      </c>
    </row>
    <row r="1342" spans="1:3">
      <c r="A1342">
        <v>92115011196</v>
      </c>
      <c r="B1342" t="s">
        <v>24084</v>
      </c>
      <c r="C1342" t="s">
        <v>24085</v>
      </c>
    </row>
    <row r="1343" spans="1:3">
      <c r="A1343">
        <v>92115011197</v>
      </c>
      <c r="B1343" t="s">
        <v>24086</v>
      </c>
      <c r="C1343" t="s">
        <v>24087</v>
      </c>
    </row>
    <row r="1344" spans="1:3">
      <c r="A1344">
        <v>92115017839</v>
      </c>
      <c r="B1344" t="s">
        <v>20977</v>
      </c>
      <c r="C1344" t="s">
        <v>20976</v>
      </c>
    </row>
    <row r="1345" spans="1:3">
      <c r="A1345">
        <v>92115019755</v>
      </c>
      <c r="B1345" t="s">
        <v>22482</v>
      </c>
      <c r="C1345" t="s">
        <v>22483</v>
      </c>
    </row>
    <row r="1346" spans="1:3">
      <c r="A1346">
        <v>92115022043</v>
      </c>
      <c r="B1346" t="s">
        <v>22289</v>
      </c>
      <c r="C1346" t="s">
        <v>22290</v>
      </c>
    </row>
    <row r="1347" spans="1:3">
      <c r="A1347">
        <v>92115027838</v>
      </c>
      <c r="B1347" t="s">
        <v>20979</v>
      </c>
      <c r="C1347" t="s">
        <v>20978</v>
      </c>
    </row>
    <row r="1348" spans="1:3">
      <c r="A1348">
        <v>92115029024</v>
      </c>
      <c r="B1348" t="s">
        <v>20876</v>
      </c>
      <c r="C1348" t="s">
        <v>20875</v>
      </c>
    </row>
    <row r="1349" spans="1:3">
      <c r="A1349">
        <v>92115029937</v>
      </c>
      <c r="B1349" t="s">
        <v>22898</v>
      </c>
      <c r="C1349" t="s">
        <v>22899</v>
      </c>
    </row>
    <row r="1350" spans="1:3">
      <c r="A1350">
        <v>92115031230</v>
      </c>
      <c r="B1350" t="s">
        <v>24088</v>
      </c>
      <c r="C1350" t="s">
        <v>24089</v>
      </c>
    </row>
    <row r="1351" spans="1:3">
      <c r="A1351">
        <v>92115033023</v>
      </c>
      <c r="B1351" t="s">
        <v>24090</v>
      </c>
      <c r="C1351" t="s">
        <v>24091</v>
      </c>
    </row>
    <row r="1352" spans="1:3">
      <c r="A1352">
        <v>92115039919</v>
      </c>
      <c r="B1352" t="s">
        <v>23123</v>
      </c>
      <c r="C1352" t="s">
        <v>23124</v>
      </c>
    </row>
    <row r="1353" spans="1:3">
      <c r="A1353">
        <v>92115039920</v>
      </c>
      <c r="B1353" t="s">
        <v>23125</v>
      </c>
      <c r="C1353" t="s">
        <v>23126</v>
      </c>
    </row>
    <row r="1354" spans="1:3">
      <c r="A1354">
        <v>92115049028</v>
      </c>
      <c r="B1354" t="s">
        <v>20874</v>
      </c>
      <c r="C1354" t="s">
        <v>20873</v>
      </c>
    </row>
    <row r="1355" spans="1:3">
      <c r="A1355">
        <v>92115068916</v>
      </c>
      <c r="B1355" t="s">
        <v>22581</v>
      </c>
      <c r="C1355" t="s">
        <v>22582</v>
      </c>
    </row>
    <row r="1356" spans="1:3">
      <c r="A1356">
        <v>92115069902</v>
      </c>
      <c r="B1356" t="s">
        <v>22812</v>
      </c>
      <c r="C1356" t="s">
        <v>22813</v>
      </c>
    </row>
    <row r="1357" spans="1:3">
      <c r="A1357">
        <v>92115069906</v>
      </c>
      <c r="B1357" t="s">
        <v>22814</v>
      </c>
      <c r="C1357" t="s">
        <v>22815</v>
      </c>
    </row>
    <row r="1358" spans="1:3">
      <c r="A1358">
        <v>92115105048</v>
      </c>
      <c r="B1358" t="s">
        <v>21063</v>
      </c>
      <c r="C1358" t="s">
        <v>21062</v>
      </c>
    </row>
    <row r="1359" spans="1:3">
      <c r="A1359">
        <v>92115105214</v>
      </c>
      <c r="B1359" t="s">
        <v>24248</v>
      </c>
      <c r="C1359" t="s">
        <v>24249</v>
      </c>
    </row>
    <row r="1360" spans="1:3">
      <c r="A1360">
        <v>92115105215</v>
      </c>
      <c r="B1360" t="s">
        <v>24250</v>
      </c>
      <c r="C1360" t="s">
        <v>24251</v>
      </c>
    </row>
    <row r="1361" spans="1:3">
      <c r="A1361">
        <v>92115108563</v>
      </c>
      <c r="B1361" t="s">
        <v>21061</v>
      </c>
      <c r="C1361" t="s">
        <v>21060</v>
      </c>
    </row>
    <row r="1362" spans="1:3">
      <c r="A1362">
        <v>92115108584</v>
      </c>
      <c r="B1362" t="s">
        <v>21141</v>
      </c>
      <c r="C1362" t="s">
        <v>21140</v>
      </c>
    </row>
    <row r="1363" spans="1:3">
      <c r="A1363">
        <v>92115111609</v>
      </c>
      <c r="B1363" t="s">
        <v>20806</v>
      </c>
      <c r="C1363" t="s">
        <v>20805</v>
      </c>
    </row>
    <row r="1364" spans="1:3">
      <c r="A1364">
        <v>92115158605</v>
      </c>
      <c r="B1364" t="s">
        <v>22583</v>
      </c>
      <c r="C1364" t="s">
        <v>22584</v>
      </c>
    </row>
    <row r="1365" spans="1:3">
      <c r="A1365">
        <v>92115170167</v>
      </c>
      <c r="B1365" t="s">
        <v>24823</v>
      </c>
      <c r="C1365" t="s">
        <v>24824</v>
      </c>
    </row>
    <row r="1366" spans="1:3">
      <c r="A1366">
        <v>92115188608</v>
      </c>
      <c r="B1366" t="s">
        <v>22585</v>
      </c>
      <c r="C1366" t="s">
        <v>22586</v>
      </c>
    </row>
    <row r="1367" spans="1:3">
      <c r="A1367">
        <v>92115472176</v>
      </c>
      <c r="B1367" t="s">
        <v>20503</v>
      </c>
      <c r="C1367" t="s">
        <v>20502</v>
      </c>
    </row>
    <row r="1368" spans="1:3">
      <c r="A1368">
        <v>92115476413</v>
      </c>
      <c r="B1368" t="s">
        <v>20505</v>
      </c>
      <c r="C1368" t="s">
        <v>20504</v>
      </c>
    </row>
    <row r="1369" spans="1:3">
      <c r="A1369">
        <v>92115476972</v>
      </c>
      <c r="B1369" t="s">
        <v>22291</v>
      </c>
      <c r="C1369" t="s">
        <v>22292</v>
      </c>
    </row>
    <row r="1370" spans="1:3">
      <c r="A1370">
        <v>92115706142</v>
      </c>
      <c r="B1370" t="s">
        <v>20968</v>
      </c>
      <c r="C1370" t="s">
        <v>20967</v>
      </c>
    </row>
    <row r="1371" spans="1:3">
      <c r="A1371">
        <v>92115859033</v>
      </c>
      <c r="B1371" t="s">
        <v>20872</v>
      </c>
      <c r="C1371" t="s">
        <v>20871</v>
      </c>
    </row>
    <row r="1372" spans="1:3">
      <c r="A1372">
        <v>92115864092</v>
      </c>
      <c r="B1372" t="s">
        <v>24825</v>
      </c>
      <c r="C1372" t="s">
        <v>24826</v>
      </c>
    </row>
    <row r="1373" spans="1:3">
      <c r="A1373">
        <v>93101029897</v>
      </c>
      <c r="B1373" t="s">
        <v>22816</v>
      </c>
      <c r="C1373" t="s">
        <v>22817</v>
      </c>
    </row>
    <row r="1374" spans="1:3">
      <c r="A1374">
        <v>93103071198</v>
      </c>
      <c r="B1374" t="s">
        <v>24092</v>
      </c>
      <c r="C1374" t="s">
        <v>24093</v>
      </c>
    </row>
    <row r="1375" spans="1:3">
      <c r="A1375">
        <v>93103071199</v>
      </c>
      <c r="B1375" t="s">
        <v>24094</v>
      </c>
      <c r="C1375" t="s">
        <v>24095</v>
      </c>
    </row>
    <row r="1376" spans="1:3">
      <c r="A1376">
        <v>93103079861</v>
      </c>
      <c r="B1376" t="s">
        <v>22670</v>
      </c>
      <c r="C1376" t="s">
        <v>22671</v>
      </c>
    </row>
    <row r="1377" spans="1:3">
      <c r="A1377">
        <v>93105012478</v>
      </c>
      <c r="B1377" t="s">
        <v>23758</v>
      </c>
      <c r="C1377" t="s">
        <v>23759</v>
      </c>
    </row>
    <row r="1378" spans="1:3">
      <c r="A1378">
        <v>93110019727</v>
      </c>
      <c r="B1378" t="s">
        <v>21505</v>
      </c>
      <c r="C1378" t="s">
        <v>22293</v>
      </c>
    </row>
    <row r="1379" spans="1:3">
      <c r="A1379">
        <v>93111019860</v>
      </c>
      <c r="B1379" t="s">
        <v>22672</v>
      </c>
      <c r="C1379" t="s">
        <v>22673</v>
      </c>
    </row>
    <row r="1380" spans="1:3">
      <c r="A1380">
        <v>93111019868</v>
      </c>
      <c r="B1380" t="s">
        <v>22674</v>
      </c>
      <c r="C1380" t="s">
        <v>22675</v>
      </c>
    </row>
    <row r="1381" spans="1:3">
      <c r="A1381">
        <v>93161095337</v>
      </c>
      <c r="B1381" t="s">
        <v>21630</v>
      </c>
      <c r="C1381" t="s">
        <v>21631</v>
      </c>
    </row>
    <row r="1382" spans="1:3">
      <c r="A1382">
        <v>93161099734</v>
      </c>
      <c r="B1382" t="s">
        <v>21632</v>
      </c>
      <c r="C1382" t="s">
        <v>21633</v>
      </c>
    </row>
    <row r="1383" spans="1:3">
      <c r="A1383">
        <v>93161099735</v>
      </c>
      <c r="B1383" t="s">
        <v>21634</v>
      </c>
      <c r="C1383" t="s">
        <v>21635</v>
      </c>
    </row>
    <row r="1384" spans="1:3">
      <c r="A1384">
        <v>93161099736</v>
      </c>
      <c r="B1384" t="s">
        <v>21636</v>
      </c>
      <c r="C1384" t="s">
        <v>21637</v>
      </c>
    </row>
    <row r="1385" spans="1:3">
      <c r="A1385">
        <v>93161099737</v>
      </c>
      <c r="B1385" t="s">
        <v>21569</v>
      </c>
      <c r="C1385" t="s">
        <v>22294</v>
      </c>
    </row>
    <row r="1386" spans="1:3">
      <c r="A1386">
        <v>93161099738</v>
      </c>
      <c r="B1386" t="s">
        <v>21638</v>
      </c>
      <c r="C1386" t="s">
        <v>21639</v>
      </c>
    </row>
    <row r="1387" spans="1:3">
      <c r="A1387">
        <v>93402028510</v>
      </c>
      <c r="B1387" t="s">
        <v>20981</v>
      </c>
      <c r="C1387" t="s">
        <v>20980</v>
      </c>
    </row>
    <row r="1388" spans="1:3">
      <c r="A1388">
        <v>93402028511</v>
      </c>
      <c r="B1388" t="s">
        <v>20975</v>
      </c>
      <c r="C1388" t="s">
        <v>20974</v>
      </c>
    </row>
    <row r="1389" spans="1:3">
      <c r="A1389">
        <v>98111208582</v>
      </c>
      <c r="B1389" t="s">
        <v>23127</v>
      </c>
      <c r="C1389" t="s">
        <v>20973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79"/>
  <sheetViews>
    <sheetView tabSelected="1" topLeftCell="A234" zoomScaleNormal="100" zoomScaleSheetLayoutView="40" workbookViewId="0">
      <selection activeCell="C252" sqref="C252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30" style="28" customWidth="1"/>
    <col min="7" max="7" width="24.625" style="2" customWidth="1"/>
    <col min="8" max="8" width="17.875" style="5" customWidth="1"/>
    <col min="9" max="9" width="143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21" style="5" customWidth="1"/>
    <col min="26" max="26" width="22" style="27" customWidth="1"/>
    <col min="27" max="27" width="23.375" bestFit="1" customWidth="1"/>
  </cols>
  <sheetData>
    <row r="4" spans="2:27" ht="45">
      <c r="B4" s="14" t="s">
        <v>22439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21471</v>
      </c>
    </row>
    <row r="18" spans="2:26">
      <c r="D18" s="5" t="s">
        <v>21471</v>
      </c>
    </row>
    <row r="19" spans="2:26">
      <c r="B19" t="s">
        <v>21471</v>
      </c>
    </row>
    <row r="20" spans="2:26" ht="28.5">
      <c r="B20" t="s">
        <v>21471</v>
      </c>
      <c r="C20" s="89" t="s">
        <v>24569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ht="14.25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20793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21454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22884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21454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>
      <c r="B23" t="s">
        <v>21471</v>
      </c>
      <c r="C23" s="28" t="s">
        <v>21273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21055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21472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20793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21406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23584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ht="14.25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20793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46283</v>
      </c>
      <c r="O26" s="19">
        <f ca="1">TAB_OFICINAS[[#This Row],[Data Retorno Produção]]-TAB_OFICINAS[[#This Row],[Data Prometida  Entrega]]</f>
        <v>154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21454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21553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21454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20793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21273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20793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22272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21273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21248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20793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21416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21448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22963</v>
      </c>
      <c r="U36" s="52">
        <v>3.85</v>
      </c>
      <c r="V36" s="44" t="s">
        <v>22962</v>
      </c>
      <c r="W36" s="17" t="s">
        <v>22964</v>
      </c>
      <c r="X36" s="5" t="s">
        <v>6251</v>
      </c>
      <c r="Y36" s="27" t="s">
        <v>21417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20732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21048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21273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21473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21250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21534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21454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20793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21454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21273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21500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21641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20793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21650</v>
      </c>
      <c r="U46" s="52">
        <v>3.85</v>
      </c>
      <c r="V46" s="44">
        <v>1925</v>
      </c>
      <c r="W46" s="65" t="s">
        <v>22452</v>
      </c>
      <c r="X46" s="5" t="s">
        <v>6251</v>
      </c>
      <c r="Y46" s="27" t="s">
        <v>21454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21248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21543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22882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21454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23568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23554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21465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21540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20802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21417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21768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22447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22448</v>
      </c>
      <c r="X56" s="5" t="s">
        <v>6251</v>
      </c>
      <c r="Y56" s="27" t="s">
        <v>21417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21769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23252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21794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21448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21417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21768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20793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21536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21454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21273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21644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20793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21454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20950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21448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46283</v>
      </c>
      <c r="O68" s="19">
        <f ca="1">TAB_OFICINAS[[#This Row],[Data Retorno Produção]]-TAB_OFICINAS[[#This Row],[Data Prometida  Entrega]]</f>
        <v>164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21417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21553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22457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21273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21850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24096</v>
      </c>
      <c r="I72" s="73" t="s">
        <v>21254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20793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21572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22960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21417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23554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21063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21553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21273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20793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21417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21067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21246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21454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21246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21647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21246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21454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21273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21498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21273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21502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21273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22669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22640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21448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21273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20772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23093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21071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21768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21417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22888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21454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21478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21645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21646</v>
      </c>
      <c r="X102" s="5" t="s">
        <v>6251</v>
      </c>
      <c r="Y102" s="27" t="s">
        <v>21417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23568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21073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21246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21464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21246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21526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21768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21417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21553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22458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21768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22453</v>
      </c>
      <c r="U112" s="52">
        <v>3.85</v>
      </c>
      <c r="V112" s="44">
        <v>481.25</v>
      </c>
      <c r="W112" s="65" t="s">
        <v>22454</v>
      </c>
      <c r="X112" s="5" t="s">
        <v>6251</v>
      </c>
      <c r="Y112" s="27" t="s">
        <v>21417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>
      <c r="A113" t="s">
        <v>21471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21118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21273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21505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22255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20800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23305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21640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20989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20793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21851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20800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21417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>
      <c r="C133" s="28" t="s">
        <v>21273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21553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23554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21061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21065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21493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21769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22894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23571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6251</v>
      </c>
      <c r="Y143" s="27" t="s">
        <v>21417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23572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6251</v>
      </c>
      <c r="Y144" s="27" t="s">
        <v>21417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24096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22554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23569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21418</v>
      </c>
      <c r="I152" s="28" t="s">
        <v>21419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21420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21851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22456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21273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21246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23116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23296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24096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21478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21417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23078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22798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23028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24096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22892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23570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23546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21069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20944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20930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20950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21448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21417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21314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21537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21314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21417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22798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20844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21457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23573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6251</v>
      </c>
      <c r="Y194" s="27" t="s">
        <v>21417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21314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21417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20870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21401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20740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21314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46283</v>
      </c>
      <c r="O204" s="19">
        <f ca="1">TAB_OFICINAS[[#This Row],[Data Retorno Produção]]-TAB_OFICINAS[[#This Row],[Data Prometida  Entrega]]</f>
        <v>169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21539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21314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21649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21057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22755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22885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22886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22887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21120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20868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20742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21403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21315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46283</v>
      </c>
      <c r="O224" s="19">
        <f ca="1">TAB_OFICINAS[[#This Row],[Data Retorno Produção]]-TAB_OFICINAS[[#This Row],[Data Prometida  Entrega]]</f>
        <v>169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21538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20962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21466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23080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23078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23299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20948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ht="14.25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24096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22776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23028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21467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t="14.25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21468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21496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21136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20916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20918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20920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20922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21136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21410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21315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21417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20922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21404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20918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21404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20916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21404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20920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21404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21315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21417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21315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22555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21547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22776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24096</v>
      </c>
      <c r="I256" s="28" t="s">
        <v>22961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22961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23103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23298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21469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customHeight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20938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23582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22473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22883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23103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46283</v>
      </c>
      <c r="O266" s="19">
        <f ca="1">TAB_OFICINAS[[#This Row],[Data Retorno Produção]]-TAB_OFICINAS[[#This Row],[Data Prometida  Entrega]]</f>
        <v>88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>
      <c r="C270" s="28" t="s">
        <v>21683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21574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21478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21478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21417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22751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20844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23253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23583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21468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21053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21455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21418</v>
      </c>
      <c r="I284" s="28" t="s">
        <v>22641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22642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24096</v>
      </c>
      <c r="I285" s="28" t="s">
        <v>21470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21053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21020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21535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20956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23051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23298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20854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21424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21425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23051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46283</v>
      </c>
      <c r="O295" s="19">
        <f ca="1">TAB_OFICINAS[[#This Row],[Data Retorno Produção]]-TAB_OFICINAS[[#This Row],[Data Prometida  Entrega]]</f>
        <v>88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>
      <c r="C296" s="28" t="s">
        <v>17</v>
      </c>
      <c r="D296" s="5">
        <v>5386</v>
      </c>
      <c r="E296" s="66" t="s">
        <v>22556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21572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20802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22243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23027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22242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23289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22243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22242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23565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20850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20856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customHeight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20940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21485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21448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46283</v>
      </c>
      <c r="O314" s="19">
        <f ca="1">TAB_OFICINAS[[#This Row],[Data Retorno Produção]]-TAB_OFICINAS[[#This Row],[Data Prometida  Entrega]]</f>
        <v>130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22750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22752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22748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22749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21535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23097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>
      <c r="C319" s="28" t="s">
        <v>3</v>
      </c>
      <c r="E319" s="5">
        <v>29</v>
      </c>
      <c r="F319" s="28" t="s">
        <v>23307</v>
      </c>
      <c r="G319" s="2" t="s">
        <v>23307</v>
      </c>
      <c r="H319" s="51" t="s">
        <v>24096</v>
      </c>
      <c r="I319" s="28" t="s">
        <v>23308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21272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22459</v>
      </c>
      <c r="I321" s="28" t="s">
        <v>22461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22460</v>
      </c>
      <c r="I322" s="28" t="s">
        <v>22462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20942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21768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21768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20997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21130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21132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21132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21410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21130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21409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21474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21315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21542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23329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22764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20850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21274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21781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21270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20970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20972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21716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21766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21314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20854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20856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21525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20860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20850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21643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21775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>
      <c r="C366" s="28" t="s">
        <v>21683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21576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21273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20793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21273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22249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21273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22291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22752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21053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22751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>
      <c r="C372" s="28" t="s">
        <v>3</v>
      </c>
      <c r="E372" s="5">
        <v>29</v>
      </c>
      <c r="F372" s="28" t="s">
        <v>23307</v>
      </c>
      <c r="G372" s="2" t="s">
        <v>23307</v>
      </c>
      <c r="H372" s="51" t="s">
        <v>24096</v>
      </c>
      <c r="I372" s="28" t="s">
        <v>23308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23127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23087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23297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23087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23563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20728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21032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>
      <c r="C381" s="28" t="s">
        <v>17</v>
      </c>
      <c r="D381" s="5">
        <v>5386</v>
      </c>
      <c r="E381" s="66" t="s">
        <v>22556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21099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20858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21533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20802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20856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21533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21314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21832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20850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20997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23085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23297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21314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22742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23561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23564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21138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22889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22986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22987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21138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21411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20850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21642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21418</v>
      </c>
      <c r="I400" s="28" t="s">
        <v>23544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46283</v>
      </c>
      <c r="O400" s="23">
        <f ca="1">TAB_OFICINAS[[#This Row],[Data Retorno Produção]]-TAB_OFICINAS[[#This Row],[Data Prometida  Entrega]]</f>
        <v>85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23566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23095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21448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20800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22477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23251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20800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20840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21377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21478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21496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22896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20840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23251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21773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21826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21122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21410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21779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21836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20850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23562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21572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20858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20840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21273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20793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21273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20793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>
      <c r="C428" s="28" t="s">
        <v>17</v>
      </c>
      <c r="D428" s="5">
        <v>5386</v>
      </c>
      <c r="E428" s="66" t="s">
        <v>22556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21203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22477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20850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23581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21838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>
      <c r="C432" s="28" t="s">
        <v>7</v>
      </c>
      <c r="D432" s="5" t="s">
        <v>20290</v>
      </c>
      <c r="E432" s="5">
        <v>473</v>
      </c>
      <c r="F432" s="28" t="s">
        <v>22446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22443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22988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22990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22989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22991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23016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23260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23017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23018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23285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23275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23286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23276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23287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23266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23288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23264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46283</v>
      </c>
      <c r="O441" s="23">
        <f ca="1">TAB_OFICINAS[[#This Row],[Data Retorno Produção]]-TAB_OFICINAS[[#This Row],[Data Prometida  Entrega]]</f>
        <v>85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23543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23547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23547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>
      <c r="C444" s="28" t="s">
        <v>15</v>
      </c>
      <c r="E444" s="5">
        <v>34</v>
      </c>
      <c r="F444" s="28" t="s">
        <v>23307</v>
      </c>
      <c r="G444" s="2" t="s">
        <v>23307</v>
      </c>
      <c r="H444" s="51" t="s">
        <v>23574</v>
      </c>
      <c r="I444" s="28" t="s">
        <v>23575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6251</v>
      </c>
      <c r="Y444" s="27" t="s">
        <v>23259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21426</v>
      </c>
      <c r="I445" s="28" t="s">
        <v>21436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21427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21432</v>
      </c>
      <c r="I446" s="28" t="s">
        <v>21439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21427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21428</v>
      </c>
      <c r="I447" s="28" t="s">
        <v>21437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46283</v>
      </c>
      <c r="O447" s="19">
        <f ca="1">TAB_OFICINAS[[#This Row],[Data Retorno Produção]]-TAB_OFICINAS[[#This Row],[Data Prometida  Entrega]]</f>
        <v>189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21429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21433</v>
      </c>
      <c r="I448" s="28" t="s">
        <v>21440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21429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21434</v>
      </c>
      <c r="I449" s="28" t="s">
        <v>21441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21430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21314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21531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21768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23494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>
      <c r="C452" s="28" t="s">
        <v>7</v>
      </c>
      <c r="D452" s="5" t="s">
        <v>20290</v>
      </c>
      <c r="E452" s="5">
        <v>473</v>
      </c>
      <c r="F452" s="28" t="s">
        <v>22446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22442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>
      <c r="C453" s="28" t="s">
        <v>7</v>
      </c>
      <c r="D453" s="5" t="s">
        <v>20290</v>
      </c>
      <c r="E453" s="5">
        <v>473</v>
      </c>
      <c r="F453" s="28" t="s">
        <v>22446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22441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46283</v>
      </c>
      <c r="O454" s="23">
        <f ca="1">TAB_OFICINAS[[#This Row],[Data Retorno Produção]]-TAB_OFICINAS[[#This Row],[Data Prometida  Entrega]]</f>
        <v>85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23543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21250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21768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22276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ht="14.25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22274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ht="14.25" customHeight="1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24096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24096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24096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21134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21134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21407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21250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21541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>
      <c r="C465" s="28" t="s">
        <v>7</v>
      </c>
      <c r="D465" s="5" t="s">
        <v>20290</v>
      </c>
      <c r="E465" s="5">
        <v>473</v>
      </c>
      <c r="F465" s="28" t="s">
        <v>22446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22440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>
      <c r="C466" s="28" t="s">
        <v>7</v>
      </c>
      <c r="D466" s="5" t="s">
        <v>20290</v>
      </c>
      <c r="E466" s="5">
        <v>473</v>
      </c>
      <c r="F466" s="28" t="s">
        <v>22446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22444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>
      <c r="C467" s="28" t="s">
        <v>7</v>
      </c>
      <c r="D467" s="5" t="s">
        <v>20290</v>
      </c>
      <c r="E467" s="5">
        <v>473</v>
      </c>
      <c r="F467" s="28" t="s">
        <v>22446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22445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22285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ht="14.25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23547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20960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ht="14.25" customHeight="1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21024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21026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21476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21527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22966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23206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23534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23538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23533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23540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23535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23541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23536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23539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23537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23542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21271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21126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21410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21128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21410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21036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21423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21099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21528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22283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ht="14.25" customHeight="1">
      <c r="C489" s="28" t="s">
        <v>7</v>
      </c>
      <c r="D489" s="5" t="s">
        <v>20290</v>
      </c>
      <c r="E489" s="5">
        <v>473</v>
      </c>
      <c r="F489" s="28" t="s">
        <v>22638</v>
      </c>
      <c r="G489" s="5" t="s">
        <v>22636</v>
      </c>
      <c r="H489" s="51" t="s">
        <v>22637</v>
      </c>
      <c r="I489" s="28" t="s">
        <v>22639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ht="14.25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ht="14.25" customHeight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21028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ht="14.25" customHeight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21030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ht="14.25" customHeight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20932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ht="14.25" customHeight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20934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ht="14.25" customHeight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20936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24096</v>
      </c>
      <c r="I496" s="28" t="s">
        <v>24827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23304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23272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23275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23273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23276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24096</v>
      </c>
      <c r="I499" s="28" t="s">
        <v>23283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23275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24096</v>
      </c>
      <c r="I500" s="28" t="s">
        <v>23284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23276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24096</v>
      </c>
      <c r="I501" s="28" t="s">
        <v>23290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23275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24096</v>
      </c>
      <c r="I502" s="28" t="s">
        <v>23291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23276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customHeight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20942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ht="14.25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22753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22762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23300</v>
      </c>
      <c r="H506" s="51" t="s">
        <v>24096</v>
      </c>
      <c r="I506" s="28" t="s">
        <v>23258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23259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23547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23547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23548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24096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24096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21553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ht="14.25" customHeight="1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22581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22569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22583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24096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24096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24096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21036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21449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21435</v>
      </c>
      <c r="I522" s="28" t="s">
        <v>21444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21427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21431</v>
      </c>
      <c r="I523" s="28" t="s">
        <v>21438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21430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21435</v>
      </c>
      <c r="I524" s="28" t="s">
        <v>21442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21430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21435</v>
      </c>
      <c r="I525" s="28" t="s">
        <v>21443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21429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21044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21421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21299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21429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21041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21429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customHeight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20944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ht="14.25" customHeight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20930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ht="14.25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21652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21653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22992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22995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22993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22994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22996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22998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22997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22999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23000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23003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23001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23002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23004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23006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23005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23007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23008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23010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23009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23011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23014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23012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23015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23013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23019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23021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23020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23022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23025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23023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23026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23024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24096</v>
      </c>
      <c r="I550" s="28" t="s">
        <v>23282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23263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24096</v>
      </c>
      <c r="I551" s="28" t="s">
        <v>23281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23262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24096</v>
      </c>
      <c r="I552" s="28" t="s">
        <v>23280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23265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24096</v>
      </c>
      <c r="I553" s="28" t="s">
        <v>23277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23274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21124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21410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21036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21450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21203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21213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21453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21460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21458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21459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21461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21462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21463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21480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21529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21315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21447</v>
      </c>
      <c r="T567" s="5" t="s">
        <v>21447</v>
      </c>
      <c r="U567" s="52" t="s">
        <v>21447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21530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21053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22470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22470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22470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21120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22466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22468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21654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21655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21656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21654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21655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21656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21654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21655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21656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21654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21655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21656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21654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21655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21656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24096</v>
      </c>
      <c r="I590" s="28" t="s">
        <v>21657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24096</v>
      </c>
      <c r="I591" s="28" t="s">
        <v>21658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24096</v>
      </c>
      <c r="I592" s="28" t="s">
        <v>21660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24096</v>
      </c>
      <c r="I593" s="28" t="s">
        <v>21659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24096</v>
      </c>
      <c r="I594" s="28" t="s">
        <v>21658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24096</v>
      </c>
      <c r="I595" s="28" t="s">
        <v>21661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24096</v>
      </c>
      <c r="I596" s="28" t="s">
        <v>21662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24096</v>
      </c>
      <c r="I597" s="28" t="s">
        <v>21658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24096</v>
      </c>
      <c r="I598" s="28" t="s">
        <v>21665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24096</v>
      </c>
      <c r="I599" s="28" t="s">
        <v>21664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24096</v>
      </c>
      <c r="I600" s="28" t="s">
        <v>21658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24096</v>
      </c>
      <c r="I601" s="28" t="s">
        <v>21663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24096</v>
      </c>
      <c r="I602" s="28" t="s">
        <v>21666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24096</v>
      </c>
      <c r="I603" s="28" t="s">
        <v>21658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24096</v>
      </c>
      <c r="I604" s="28" t="s">
        <v>21667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24096</v>
      </c>
      <c r="I605" s="28" t="s">
        <v>21668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24096</v>
      </c>
      <c r="I606" s="28" t="s">
        <v>21658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24096</v>
      </c>
      <c r="I607" s="28" t="s">
        <v>21669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24096</v>
      </c>
      <c r="I608" s="28" t="s">
        <v>21670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24096</v>
      </c>
      <c r="I609" s="28" t="s">
        <v>21671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24096</v>
      </c>
      <c r="I610" s="28" t="s">
        <v>21672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24096</v>
      </c>
      <c r="I611" s="28" t="s">
        <v>21673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24096</v>
      </c>
      <c r="I612" s="28" t="s">
        <v>21671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24096</v>
      </c>
      <c r="I613" s="28" t="s">
        <v>21674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24096</v>
      </c>
      <c r="I614" s="28" t="s">
        <v>21675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24096</v>
      </c>
      <c r="I615" s="28" t="s">
        <v>21671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24096</v>
      </c>
      <c r="I616" s="28" t="s">
        <v>21676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24096</v>
      </c>
      <c r="I617" s="28" t="s">
        <v>21677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24096</v>
      </c>
      <c r="I618" s="28" t="s">
        <v>21671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24096</v>
      </c>
      <c r="I619" s="28" t="s">
        <v>21678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24096</v>
      </c>
      <c r="I620" s="28" t="s">
        <v>21679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24096</v>
      </c>
      <c r="I621" s="28" t="s">
        <v>21671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24096</v>
      </c>
      <c r="I622" s="28" t="s">
        <v>21680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24096</v>
      </c>
      <c r="I623" s="28" t="s">
        <v>21681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24096</v>
      </c>
      <c r="I624" s="28" t="s">
        <v>21671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24096</v>
      </c>
      <c r="I625" s="28" t="s">
        <v>21682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21654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21655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21656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21654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21655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21656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21654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21655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21656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21654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21655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21656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21654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21655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21656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22479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22479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22470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21120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22466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22468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21120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22466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24096</v>
      </c>
      <c r="I649" s="28" t="s">
        <v>22984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22985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22780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22973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22778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22973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24096</v>
      </c>
      <c r="I652" s="28" t="s">
        <v>22969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22971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24096</v>
      </c>
      <c r="I653" s="28" t="s">
        <v>22970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22972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24096</v>
      </c>
      <c r="I654" s="28" t="s">
        <v>22976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22978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24096</v>
      </c>
      <c r="I655" s="28" t="s">
        <v>22977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22979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24096</v>
      </c>
      <c r="I656" s="28" t="s">
        <v>22980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22982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24096</v>
      </c>
      <c r="I657" s="28" t="s">
        <v>22981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22983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23268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23262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23269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23263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23270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23265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23271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23266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23267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23274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23261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23264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24096</v>
      </c>
      <c r="I664" s="28" t="s">
        <v>23279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23266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24096</v>
      </c>
      <c r="I665" s="28" t="s">
        <v>23278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23264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24096</v>
      </c>
      <c r="I666" s="28" t="s">
        <v>23292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23266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24096</v>
      </c>
      <c r="I667" s="28" t="s">
        <v>23293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23264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23030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22983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23039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22983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23045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23294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23049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23302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23576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23578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20916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21404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20918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21404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20920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21405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20922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21405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24096</v>
      </c>
      <c r="I683" s="28" t="s">
        <v>21414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21415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21034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21130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21409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21122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21410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21126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21408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21132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21410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21134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21407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21136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21410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21138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21411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24096</v>
      </c>
      <c r="I692" s="28" t="s">
        <v>21413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21412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21036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21423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21036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21422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21424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21425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21426</v>
      </c>
      <c r="I696" s="28" t="s">
        <v>21436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21427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21428</v>
      </c>
      <c r="I697" s="28" t="s">
        <v>21437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21429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21431</v>
      </c>
      <c r="I698" s="28" t="s">
        <v>21438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21430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21432</v>
      </c>
      <c r="I699" s="28" t="s">
        <v>21439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21427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21433</v>
      </c>
      <c r="I700" s="28" t="s">
        <v>21440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21429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21434</v>
      </c>
      <c r="I701" s="28" t="s">
        <v>21441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21430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21447</v>
      </c>
      <c r="T702" s="5" t="s">
        <v>21447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21447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21435</v>
      </c>
      <c r="I703" s="28" t="s">
        <v>21442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21430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21435</v>
      </c>
      <c r="I704" s="28" t="s">
        <v>21443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21429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21435</v>
      </c>
      <c r="I705" s="28" t="s">
        <v>21444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21427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21445</v>
      </c>
      <c r="I706" s="28" t="s">
        <v>21446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21429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21044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21421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21299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21429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21041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21429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21036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21422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21445</v>
      </c>
      <c r="I711" s="28" t="s">
        <v>21446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21429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24096</v>
      </c>
      <c r="I712" s="28" t="s">
        <v>21451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21452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22468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21120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22466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22468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21828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21456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21457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21130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21409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21053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21447</v>
      </c>
      <c r="T720" s="5" t="s">
        <v>21447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21424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21447</v>
      </c>
      <c r="V721" s="44" t="s">
        <v>21447</v>
      </c>
      <c r="W721" s="17" t="s">
        <v>21447</v>
      </c>
      <c r="X721" s="5" t="s">
        <v>6251</v>
      </c>
      <c r="Y721" s="27" t="s">
        <v>21532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20796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22810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22672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21651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22463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22126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22451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21894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22450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22449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22455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24096</v>
      </c>
      <c r="I729" s="28" t="s">
        <v>22643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22645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24096</v>
      </c>
      <c r="I730" s="28" t="s">
        <v>22644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22646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24096</v>
      </c>
      <c r="I731" s="28" t="s">
        <v>22647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46283</v>
      </c>
      <c r="O731" s="19">
        <f ca="1">TAB_OFICINAS[[#This Row],[Data Retorno Produção]]-TAB_OFICINAS[[#This Row],[Data Prometida  Entrega]]</f>
        <v>133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22650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24096</v>
      </c>
      <c r="I732" s="28" t="s">
        <v>22648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46283</v>
      </c>
      <c r="O732" s="19">
        <f ca="1">TAB_OFICINAS[[#This Row],[Data Retorno Produção]]-TAB_OFICINAS[[#This Row],[Data Prometida  Entrega]]</f>
        <v>133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22649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22559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22743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22559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22744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>
      <c r="C735" s="28" t="s">
        <v>15</v>
      </c>
      <c r="F735" s="28" t="s">
        <v>22746</v>
      </c>
      <c r="G735" s="5" t="s">
        <v>22746</v>
      </c>
      <c r="H735" s="63">
        <v>2115038098</v>
      </c>
      <c r="I735" s="28" t="s">
        <v>22747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22745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22881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22883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24096</v>
      </c>
      <c r="I737" s="28" t="s">
        <v>22934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22933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23084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22935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22479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22479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22929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22931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22930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22932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22967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22974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22968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22975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22965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22931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23043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23295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23254</v>
      </c>
      <c r="I747" s="28" t="s">
        <v>23255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23256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23061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23257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23084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23303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22079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23301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>
      <c r="C751" s="28" t="s">
        <v>15</v>
      </c>
      <c r="D751" s="5">
        <v>5614</v>
      </c>
      <c r="E751" s="5">
        <v>23733</v>
      </c>
      <c r="F751" s="28" t="s">
        <v>23306</v>
      </c>
      <c r="G751" s="28" t="s">
        <v>23306</v>
      </c>
      <c r="H751" s="63">
        <v>3161094502</v>
      </c>
      <c r="I751" s="28" t="s">
        <v>22079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23301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23549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23553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23550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23553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24096</v>
      </c>
      <c r="I754" s="28" t="s">
        <v>23552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23553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24096</v>
      </c>
      <c r="I755" s="28" t="s">
        <v>23551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23553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23543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21418</v>
      </c>
      <c r="I757" s="28" t="s">
        <v>23544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23545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24096</v>
      </c>
      <c r="I758" s="28" t="s">
        <v>23555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23559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24096</v>
      </c>
      <c r="I759" s="28" t="s">
        <v>23556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23560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24096</v>
      </c>
      <c r="I760" s="28" t="s">
        <v>23557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23559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24096</v>
      </c>
      <c r="I761" s="28" t="s">
        <v>23558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23560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23256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23577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6251</v>
      </c>
      <c r="Y763" s="27" t="s">
        <v>23578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20793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 customHeight="1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21402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21273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22585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22816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22808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21273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22661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22670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22674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22814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22812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22665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22663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22667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20824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23123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21273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23668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23125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21273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23668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22563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21314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46283</v>
      </c>
      <c r="O791" s="19">
        <f ca="1">TAB_OFICINAS[[#This Row],[Data Retorno Produção]]-TAB_OFICINAS[[#This Row],[Data Prometida  Entrega]]</f>
        <v>150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21648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ht="14.25" customHeight="1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20793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46283</v>
      </c>
      <c r="O792" s="19">
        <f ca="1">TAB_OFICINAS[[#This Row],[Data Retorno Produção]]-TAB_OFICINAS[[#This Row],[Data Prometida  Entrega]]</f>
        <v>143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ht="14.25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22567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22561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22565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22571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22575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22577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22573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22579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20793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22289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22251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22278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21478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22898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ht="14.25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>
      <c r="C809" s="28" t="s">
        <v>23029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21553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ht="14.25" customHeight="1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14.25" customHeight="1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 customHeight="1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23669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23670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23671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- MODELO KIMONO -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14.25" customHeight="1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 customHeight="1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24119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 customHeight="1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23672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 customHeight="1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23572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23846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23571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21417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23579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23580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14.25" customHeight="1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46283</v>
      </c>
      <c r="O825" s="23">
        <f ca="1">TAB_OFICINAS[[#This Row],[Data Retorno Produção]]-TAB_OFICINAS[[#This Row],[Data Prometida  Entrega]]</f>
        <v>67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21417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 customHeight="1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23666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21447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23667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t="14.25" customHeight="1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21273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21273</v>
      </c>
      <c r="D829" s="5">
        <v>3660</v>
      </c>
      <c r="E829" s="5" t="s">
        <v>23567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21273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 customHeight="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46283</v>
      </c>
      <c r="O831" s="23">
        <f ca="1">TAB_OFICINAS[[#This Row],[Data Retorno Produção]]-TAB_OFICINAS[[#This Row],[Data Prometida  Entrega]]</f>
        <v>65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23742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 customHeight="1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U832" s="11">
        <v>14</v>
      </c>
      <c r="V832" s="25">
        <f>IFERROR(TAB_OFICINAS[[#This Row],[Valor Unit]]*TAB_OFICINAS[[#This Row],[Qtd pçs Enviadas]]," ")</f>
        <v>1400</v>
      </c>
      <c r="W832" s="26"/>
      <c r="X832" s="17" t="s">
        <v>6251</v>
      </c>
      <c r="Y832" s="27" t="s">
        <v>24122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23735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23746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ht="14.25" customHeight="1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23736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ht="14.25" customHeight="1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N1598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24096</v>
      </c>
      <c r="I838" s="28" t="s">
        <v>22894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24096</v>
      </c>
      <c r="I839" s="28" t="s">
        <v>23737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24096</v>
      </c>
      <c r="I840" s="28" t="s">
        <v>23738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M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0">TODAY()</f>
        <v>46283</v>
      </c>
      <c r="O841" s="23">
        <f ca="1">TAB_OFICINAS[[#This Row],[Data Retorno Produção]]-TAB_OFICINAS[[#This Row],[Data Prometida  Entrega]]</f>
        <v>63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23543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21417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14.25" customHeight="1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23739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23740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 customHeight="1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0"/>
        <v>46283</v>
      </c>
      <c r="O844" s="23">
        <f ca="1">TAB_OFICINAS[[#This Row],[Data Retorno Produção]]-TAB_OFICINAS[[#This Row],[Data Prometida  Entrega]]</f>
        <v>58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24097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23741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23578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23576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23578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23577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23578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21417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>
      <c r="C849" s="28" t="s">
        <v>23743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23745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>
      <c r="C850" s="28" t="s">
        <v>23743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23745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14.25" customHeight="1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21273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24397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23819</v>
      </c>
      <c r="I856" s="28" t="s">
        <v>23824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23819</v>
      </c>
      <c r="I857" s="28" t="s">
        <v>23824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24096</v>
      </c>
      <c r="I858" s="28" t="s">
        <v>23820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24096</v>
      </c>
      <c r="I859" s="28" t="s">
        <v>23823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24096</v>
      </c>
      <c r="I860" s="28" t="s">
        <v>23822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24096</v>
      </c>
      <c r="I861" s="28" t="s">
        <v>23821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23825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23826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4.25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21454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 customHeight="1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23827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23828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23829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23830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23830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6251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U869" s="11">
        <v>16</v>
      </c>
      <c r="V869" s="25">
        <f>IFERROR(TAB_OFICINAS[[#This Row],[Valor Unit]]*TAB_OFICINAS[[#This Row],[Qtd pçs Enviadas]]," ")</f>
        <v>288</v>
      </c>
      <c r="W869" s="26"/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24096</v>
      </c>
      <c r="I870" s="28" t="s">
        <v>23831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24096</v>
      </c>
      <c r="I871" s="28" t="s">
        <v>23832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24096</v>
      </c>
      <c r="I872" s="28" t="s">
        <v>23833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24096</v>
      </c>
      <c r="I873" s="28" t="s">
        <v>23834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24096</v>
      </c>
      <c r="I874" s="28" t="s">
        <v>23835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24096</v>
      </c>
      <c r="I875" s="28" t="s">
        <v>23836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24096</v>
      </c>
      <c r="I876" s="28" t="s">
        <v>23837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24096</v>
      </c>
      <c r="I877" s="28" t="s">
        <v>23838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24096</v>
      </c>
      <c r="I878" s="28" t="s">
        <v>23839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24096</v>
      </c>
      <c r="I879" s="28" t="s">
        <v>23840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24096</v>
      </c>
      <c r="I880" s="28" t="s">
        <v>23841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24096</v>
      </c>
      <c r="I881" s="28" t="s">
        <v>23842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24096</v>
      </c>
      <c r="I882" s="28" t="s">
        <v>23843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24096</v>
      </c>
      <c r="I883" s="28" t="s">
        <v>23844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24096</v>
      </c>
      <c r="I884" s="28" t="s">
        <v>23845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- CLASSIC - 230F MSITO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L887" s="9">
        <v>183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2928</v>
      </c>
      <c r="W887" s="26">
        <f>TAB_OFICINAS[[#This Row],[Data Retorno Produção]]+10</f>
        <v>46286</v>
      </c>
      <c r="X887" s="17" t="s">
        <v>6251</v>
      </c>
      <c r="Y887" s="137" t="s">
        <v>25011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14.25" customHeight="1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L888" s="9">
        <v>184</v>
      </c>
      <c r="M888" s="6">
        <v>46287</v>
      </c>
      <c r="N888" s="6">
        <v>46276</v>
      </c>
      <c r="O888" s="23">
        <f>TAB_OFICINAS[[#This Row],[Data Retorno Produção]]-TAB_OFICINAS[[#This Row],[Data Prometida  Entrega]]</f>
        <v>-11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/>
      <c r="S888" s="5">
        <v>3336</v>
      </c>
      <c r="T888" s="5">
        <v>12</v>
      </c>
      <c r="U888" s="11">
        <v>16</v>
      </c>
      <c r="V888" s="25">
        <f>IFERROR(TAB_OFICINAS[[#This Row],[Valor Unit]]*TAB_OFICINAS[[#This Row],[Qtd pçs Enviadas]]," ")</f>
        <v>2944</v>
      </c>
      <c r="W888" s="26">
        <f>TAB_OFICINAS[[#This Row],[Data Retorno Produção]]+10</f>
        <v>46286</v>
      </c>
      <c r="X888" s="17" t="s">
        <v>6251</v>
      </c>
      <c r="Y888" s="137" t="s">
        <v>25012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42.75" customHeight="1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24123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24409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6251</v>
      </c>
      <c r="Y894" s="27" t="s">
        <v>21417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6251</v>
      </c>
      <c r="Y895" s="27" t="s">
        <v>21417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154</v>
      </c>
      <c r="W896" s="26">
        <v>46240</v>
      </c>
      <c r="X896" s="17" t="s">
        <v>6251</v>
      </c>
      <c r="Y896" s="27" t="s">
        <v>21417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T897" s="5">
        <v>17451</v>
      </c>
      <c r="U897" s="11">
        <v>3.85</v>
      </c>
      <c r="V897" s="25">
        <f>IFERROR(TAB_OFICINAS[[#This Row],[Valor Unit]]*TAB_OFICINAS[[#This Row],[Qtd pçs Enviadas]]," ")</f>
        <v>77</v>
      </c>
      <c r="W897" s="26">
        <v>46240</v>
      </c>
      <c r="X897" s="17" t="s">
        <v>6251</v>
      </c>
      <c r="Y897" s="27" t="s">
        <v>21417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>
      <c r="C899" s="28" t="s">
        <v>3</v>
      </c>
      <c r="D899" s="5" t="s">
        <v>20290</v>
      </c>
      <c r="E899" s="5" t="s">
        <v>20290</v>
      </c>
      <c r="F899" s="28" t="s">
        <v>24098</v>
      </c>
      <c r="G899" s="2" t="s">
        <v>23818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>
      <c r="C900" s="28" t="s">
        <v>3</v>
      </c>
      <c r="D900" s="5" t="s">
        <v>20290</v>
      </c>
      <c r="E900" s="5" t="s">
        <v>20290</v>
      </c>
      <c r="F900" s="28" t="s">
        <v>23818</v>
      </c>
      <c r="G900" s="2" t="s">
        <v>23818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>
      <c r="C901" s="28" t="s">
        <v>3</v>
      </c>
      <c r="D901" s="5" t="s">
        <v>20290</v>
      </c>
      <c r="E901" s="5" t="s">
        <v>20290</v>
      </c>
      <c r="F901" s="28" t="s">
        <v>23818</v>
      </c>
      <c r="G901" s="2" t="s">
        <v>23818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>
      <c r="C902" s="28" t="s">
        <v>3</v>
      </c>
      <c r="D902" s="5" t="s">
        <v>20290</v>
      </c>
      <c r="E902" s="5" t="s">
        <v>20290</v>
      </c>
      <c r="F902" s="28" t="s">
        <v>23818</v>
      </c>
      <c r="G902" s="2" t="s">
        <v>23818</v>
      </c>
      <c r="H902" s="51"/>
      <c r="I902" s="28" t="s">
        <v>24099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14.25" customHeight="1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 customHeight="1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24100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24096</v>
      </c>
      <c r="I906" s="28" t="s">
        <v>24101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24103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24096</v>
      </c>
      <c r="I907" s="28" t="s">
        <v>24102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24104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24096</v>
      </c>
      <c r="I908" s="28" t="s">
        <v>24105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23538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24096</v>
      </c>
      <c r="I909" s="28" t="s">
        <v>24106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23538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23538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23538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14.25" customHeight="1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23538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 customHeight="1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24107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24108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14.25" customHeight="1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24096</v>
      </c>
      <c r="I915" s="28" t="s">
        <v>24111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24109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 customHeight="1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24096</v>
      </c>
      <c r="I916" s="28" t="s">
        <v>24110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24112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14.25" customHeight="1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24096</v>
      </c>
      <c r="I917" s="28" t="s">
        <v>24113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24115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24096</v>
      </c>
      <c r="I918" s="28" t="s">
        <v>24114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24116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 customHeight="1">
      <c r="B919" t="s">
        <v>23567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24117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22983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24118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14.25" customHeight="1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21496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 customHeight="1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24120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ref="N925:N938" ca="1" si="1">TODAY()</f>
        <v>46283</v>
      </c>
      <c r="O925" s="23">
        <f ca="1">TAB_OFICINAS[[#This Row],[Data Retorno Produção]]-TAB_OFICINAS[[#This Row],[Data Prometida  Entrega]]</f>
        <v>49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24121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24096</v>
      </c>
      <c r="I926" s="28" t="s">
        <v>24124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24130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24096</v>
      </c>
      <c r="I927" s="28" t="s">
        <v>24125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24130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24096</v>
      </c>
      <c r="I928" s="28" t="s">
        <v>24126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24129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24096</v>
      </c>
      <c r="I929" s="28" t="s">
        <v>24127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24128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23826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t="14.25" customHeight="1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23826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21273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 customHeight="1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24396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14.25" customHeight="1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24123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24133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 customHeight="1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24134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f t="shared" ca="1" si="1"/>
        <v>46283</v>
      </c>
      <c r="O938" s="23">
        <f ca="1">TAB_OFICINAS[[#This Row],[Data Retorno Produção]]-TAB_OFICINAS[[#This Row],[Data Prometida  Entrega]]</f>
        <v>44</v>
      </c>
      <c r="P938" s="98" t="str">
        <f ca="1">IF(TAB_OFICINAS[[#This Row],[Dias Para Entrega]]&lt;=0,"Em dia","Dia de Atrasado")</f>
        <v>Dia de Atrasado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21417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24131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ht="14.25" customHeight="1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21273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24132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M947" s="6">
        <v>46286</v>
      </c>
      <c r="N947" s="6">
        <f t="shared" ref="N947:N960" ca="1" si="2">TODAY()</f>
        <v>46283</v>
      </c>
      <c r="O947" s="23">
        <f ca="1">TAB_OFICINAS[[#This Row],[Data Retorno Produção]]-TAB_OFICINAS[[#This Row],[Data Prometida  Entrega]]</f>
        <v>-3</v>
      </c>
      <c r="P947" s="98" t="str">
        <f ca="1">IF(TAB_OFICINAS[[#This Row],[Dias Para Entrega]]&lt;=0,"Em dia","Dia de Atrasado")</f>
        <v>Em dia</v>
      </c>
      <c r="Q947" s="24">
        <f>IFERROR(TAB_OFICINAS[[#This Row],[Qtd pçs Enviadas]]-TAB_OFICINAS[[#This Row],[Qtd pçs Retornadas ]],"N/D ")</f>
        <v>61</v>
      </c>
      <c r="R947" s="24"/>
      <c r="S947" s="5">
        <v>3351</v>
      </c>
      <c r="U947" s="11">
        <v>14</v>
      </c>
      <c r="V947" s="25">
        <f>IFERROR(TAB_OFICINAS[[#This Row],[Valor Unit]]*TAB_OFICINAS[[#This Row],[Qtd pçs Enviadas]]," ")</f>
        <v>854</v>
      </c>
      <c r="W947" s="26"/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48" spans="3:26" ht="14.25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M948" s="6">
        <v>46286</v>
      </c>
      <c r="N948" s="6">
        <f t="shared" ca="1" si="2"/>
        <v>46283</v>
      </c>
      <c r="O948" s="23">
        <f ca="1">TAB_OFICINAS[[#This Row],[Data Retorno Produção]]-TAB_OFICINAS[[#This Row],[Data Prometida  Entrega]]</f>
        <v>-3</v>
      </c>
      <c r="P948" s="98" t="str">
        <f ca="1">IF(TAB_OFICINAS[[#This Row],[Dias Para Entrega]]&lt;=0,"Em dia","Dia de Atrasado")</f>
        <v>Em dia</v>
      </c>
      <c r="Q948" s="24">
        <f>IFERROR(TAB_OFICINAS[[#This Row],[Qtd pçs Enviadas]]-TAB_OFICINAS[[#This Row],[Qtd pçs Retornadas ]],"N/D ")</f>
        <v>121</v>
      </c>
      <c r="R948" s="24"/>
      <c r="S948" s="5">
        <v>3351</v>
      </c>
      <c r="U948" s="11">
        <v>14</v>
      </c>
      <c r="V948" s="25">
        <f>IFERROR(TAB_OFICINAS[[#This Row],[Valor Unit]]*TAB_OFICINAS[[#This Row],[Qtd pçs Enviadas]]," ")</f>
        <v>1694</v>
      </c>
      <c r="W948" s="26"/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121 Pçs Pendente</v>
      </c>
    </row>
    <row r="949" spans="3:26" ht="14.25" customHeight="1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M949" s="6">
        <v>46286</v>
      </c>
      <c r="N949" s="6">
        <f t="shared" ca="1" si="2"/>
        <v>46283</v>
      </c>
      <c r="O949" s="23">
        <f ca="1">TAB_OFICINAS[[#This Row],[Data Retorno Produção]]-TAB_OFICINAS[[#This Row],[Data Prometida  Entrega]]</f>
        <v>-3</v>
      </c>
      <c r="P949" s="98" t="str">
        <f ca="1">IF(TAB_OFICINAS[[#This Row],[Dias Para Entrega]]&lt;=0,"Em dia","Dia de Atrasado")</f>
        <v>Em dia</v>
      </c>
      <c r="Q949" s="24">
        <f>IFERROR(TAB_OFICINAS[[#This Row],[Qtd pçs Enviadas]]-TAB_OFICINAS[[#This Row],[Qtd pçs Retornadas ]],"N/D ")</f>
        <v>61</v>
      </c>
      <c r="R949" s="24"/>
      <c r="S949" s="5">
        <v>3351</v>
      </c>
      <c r="U949" s="11">
        <v>14</v>
      </c>
      <c r="V949" s="25">
        <f>IFERROR(TAB_OFICINAS[[#This Row],[Valor Unit]]*TAB_OFICINAS[[#This Row],[Qtd pçs Enviadas]]," ")</f>
        <v>854</v>
      </c>
      <c r="W949" s="26"/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50" spans="3:26" ht="14.25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24374</v>
      </c>
      <c r="I950" s="28" t="s">
        <v>24379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24388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24375</v>
      </c>
      <c r="I951" s="28" t="s">
        <v>24380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24387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24376</v>
      </c>
      <c r="I952" s="28" t="s">
        <v>24381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24389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24377</v>
      </c>
      <c r="I953" s="28" t="s">
        <v>24382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24390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24378</v>
      </c>
      <c r="I954" s="28" t="s">
        <v>24383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24387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24384</v>
      </c>
      <c r="I955" s="28" t="s">
        <v>24385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24386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24391</v>
      </c>
      <c r="I956" s="28" t="s">
        <v>24392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24389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t="14.25" customHeight="1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24393</v>
      </c>
      <c r="I957" s="28" t="s">
        <v>24395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24394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28.5">
      <c r="C958" s="28" t="s">
        <v>21273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L958" s="9">
        <v>619</v>
      </c>
      <c r="M958" s="6">
        <v>46262</v>
      </c>
      <c r="N958" s="6">
        <v>46266</v>
      </c>
      <c r="O958" s="23">
        <f>TAB_OFICINAS[[#This Row],[Data Retorno Produção]]-TAB_OFICINAS[[#This Row],[Data Prometida  Entrega]]</f>
        <v>4</v>
      </c>
      <c r="P958" s="98" t="str">
        <f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1</v>
      </c>
      <c r="R958" s="135" t="s">
        <v>24848</v>
      </c>
      <c r="S958" s="5">
        <v>3360</v>
      </c>
      <c r="T958" s="5" t="s">
        <v>24843</v>
      </c>
      <c r="U958" s="11">
        <v>5.95</v>
      </c>
      <c r="V958" s="25">
        <f>IFERROR(TAB_OFICINAS[[#This Row],[Valor Unit]]*TAB_OFICINAS[[#This Row],[Qtd pçs Enviadas]]," ")</f>
        <v>3689</v>
      </c>
      <c r="W958" s="26">
        <f>TAB_OFICINAS[[#This Row],[Data Retorno Produção]]+10</f>
        <v>46276</v>
      </c>
      <c r="X958" s="17" t="s">
        <v>6251</v>
      </c>
      <c r="Y958" s="27" t="s">
        <v>24847</v>
      </c>
      <c r="Z95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959" spans="3:26" ht="14.25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2"/>
        <v>46283</v>
      </c>
      <c r="O960" s="23">
        <f ca="1">TAB_OFICINAS[[#This Row],[Data Retorno Produção]]-TAB_OFICINAS[[#This Row],[Data Prometida  Entrega]]</f>
        <v>35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t="14.25" customHeight="1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v>46249</v>
      </c>
      <c r="O963" s="23">
        <f>TAB_OFICINAS[[#This Row],[Data Retorno Produção]]-TAB_OFICINAS[[#This Row],[Data Prometida  Entrega]]</f>
        <v>-2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21273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24398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21273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24398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23538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L969" s="9">
        <v>50</v>
      </c>
      <c r="M969" s="6">
        <v>46265</v>
      </c>
      <c r="N969" s="6">
        <v>46265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965</v>
      </c>
      <c r="T969" s="5">
        <v>59</v>
      </c>
      <c r="U969" s="11">
        <v>14</v>
      </c>
      <c r="V969" s="25">
        <f>IFERROR(TAB_OFICINAS[[#This Row],[Valor Unit]]*TAB_OFICINAS[[#This Row],[Qtd pçs Enviadas]]," ")</f>
        <v>700</v>
      </c>
      <c r="W969" s="26">
        <v>46275</v>
      </c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21417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21417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21417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21417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21417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21417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21417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24399</v>
      </c>
      <c r="I977" s="28" t="s">
        <v>24401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24406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24399</v>
      </c>
      <c r="I978" s="28" t="s">
        <v>24402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24405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24400</v>
      </c>
      <c r="I979" s="28" t="s">
        <v>24403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24406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24400</v>
      </c>
      <c r="I980" s="28" t="s">
        <v>24404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24405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14.25" customHeight="1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24096</v>
      </c>
      <c r="I981" s="28" t="s">
        <v>24407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24408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24412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24415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24411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24415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24410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24416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24413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24417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14.25" customHeight="1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24414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24418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10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134" t="s">
        <v>24559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23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134" t="s">
        <v>24559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16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134" t="s">
        <v>24559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72" customHeight="1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11</v>
      </c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134" t="s">
        <v>24559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 customHeight="1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24540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24083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37" ca="1" si="3">TODAY()</f>
        <v>46283</v>
      </c>
      <c r="O999" s="23">
        <f ca="1">TAB_OFICINAS[[#This Row],[Data Retorno Produção]]-TAB_OFICINAS[[#This Row],[Data Prometida  Entrega]]</f>
        <v>28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46262</v>
      </c>
      <c r="N1004" s="6">
        <v>46262</v>
      </c>
      <c r="O1004" s="23">
        <f>TAB_OFICINAS[[#This Row],[Data Retorno Produção]]-TAB_OFICINAS[[#This Row],[Data Prometida  Entrega]]</f>
        <v>0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Produção]]+9</f>
        <v>46271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14.25" customHeight="1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 customHeight="1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24541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 customHeight="1">
      <c r="C1007" s="28" t="s">
        <v>15</v>
      </c>
      <c r="D1007" s="5">
        <v>5680</v>
      </c>
      <c r="E1007" s="5" t="s">
        <v>24530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24542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71.25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1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 t="s">
        <v>24560</v>
      </c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3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2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- MODELO KIMONO -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46258</v>
      </c>
      <c r="O1012" s="23">
        <f>TAB_OFICINAS[[#This Row],[Data Retorno Produção]]-TAB_OFICINAS[[#This Row],[Data Prometida  Entrega]]</f>
        <v>-4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5</v>
      </c>
      <c r="S1012" s="5">
        <v>977</v>
      </c>
      <c r="T1012" s="5">
        <v>61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24531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24533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24533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24096</v>
      </c>
      <c r="I1015" s="28" t="s">
        <v>24532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24534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Row],[Cliente]],LISTA_DE_CLIENTES[[Código]:[Nome Fantasia]],2,FALSE),"")</f>
        <v>LOUISE ESTANIECKI RAMOS</v>
      </c>
      <c r="G1016" s="2" t="str">
        <f>IFERROR(VLOOKUP(TAB_OFICINAS[[#This Row],[Cliente]],LISTA_DE_CLIENTES[[Código]:[Nome Fantasia]],3,FALSE),"")</f>
        <v>LOUISE ESTANIECKI RA</v>
      </c>
      <c r="H1016" s="51" t="s">
        <v>24096</v>
      </c>
      <c r="I1016" s="28" t="s">
        <v>24537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24535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Row],[Cliente]],LISTA_DE_CLIENTES[[Código]:[Nome Fantasia]],2,FALSE),"")</f>
        <v>LOUISE ESTANIECKI RAMOS</v>
      </c>
      <c r="G1017" s="2" t="str">
        <f>IFERROR(VLOOKUP(TAB_OFICINAS[[#This Row],[Cliente]],LISTA_DE_CLIENTES[[Código]:[Nome Fantasia]],3,FALSE),"")</f>
        <v>LOUISE ESTANIECKI RA</v>
      </c>
      <c r="H1017" s="51" t="s">
        <v>24096</v>
      </c>
      <c r="I1017" s="28" t="s">
        <v>24536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24535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14.25" customHeight="1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Row],[Cliente]],LISTA_DE_CLIENTES[[Código]:[Nome Fantasia]],2,FALSE),"")</f>
        <v>LOUISE ESTANIECKI RAMOS</v>
      </c>
      <c r="G1018" s="2" t="str">
        <f>IFERROR(VLOOKUP(TAB_OFICINAS[[#This Row],[Cliente]],LISTA_DE_CLIENTES[[Código]:[Nome Fantasia]],3,FALSE),"")</f>
        <v>LOUISE ESTANIECKI RA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0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24535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28.5" customHeight="1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Row],[Cliente]],LISTA_DE_CLIENTES[[Código]:[Nome Fantasia]],2,FALSE),"")</f>
        <v>LOUISE ESTANIECKI RAMOS</v>
      </c>
      <c r="G1019" s="2" t="str">
        <f>IFERROR(VLOOKUP(TAB_OFICINAS[[#This Row],[Cliente]],LISTA_DE_CLIENTES[[Código]:[Nome Fantasia]],3,FALSE),"")</f>
        <v>LOUISE ESTANIECKI RA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1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24561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Row],[Cliente]],LISTA_DE_CLIENTES[[Código]:[Nome Fantasia]],2,FALSE),"")</f>
        <v>LOUISE ESTANIECKI RAMOS</v>
      </c>
      <c r="G1020" s="2" t="str">
        <f>IFERROR(VLOOKUP(TAB_OFICINAS[[#This Row],[Cliente]],LISTA_DE_CLIENTES[[Código]:[Nome Fantasia]],3,FALSE),"")</f>
        <v>LOUISE ESTANIECKI RA</v>
      </c>
      <c r="H1020" s="51" t="s">
        <v>24096</v>
      </c>
      <c r="I1020" s="28" t="s">
        <v>24538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24535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>
      <c r="C1021" s="28" t="s">
        <v>15</v>
      </c>
      <c r="D1021" s="5">
        <v>5758</v>
      </c>
      <c r="E1021" s="5">
        <v>24355</v>
      </c>
      <c r="F1021" s="28" t="str">
        <f>IFERROR(VLOOKUP(TAB_OFICINAS[[#This Row],[Cliente]],LISTA_DE_CLIENTES[[Código]:[Nome Fantasia]],2,FALSE),"")</f>
        <v>LOUISE ESTANIECKI RAMOS</v>
      </c>
      <c r="G1021" s="2" t="str">
        <f>IFERROR(VLOOKUP(TAB_OFICINAS[[#This Row],[Cliente]],LISTA_DE_CLIENTES[[Código]:[Nome Fantasia]],3,FALSE),"")</f>
        <v>LOUISE ESTANIECKI RA</v>
      </c>
      <c r="H1021" s="51" t="s">
        <v>24096</v>
      </c>
      <c r="I1021" s="28" t="s">
        <v>24539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>
        <v>0</v>
      </c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24535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21417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23256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tr">
        <f>IFERROR(VLOOKUP(TAB_OFICINAS[[#This Row],[Codigo Produto ]],_000___PEDIDOS_DE_CLIENTES[[Data.Column2]:[Descrição Produto]],2,FALSE)," ")</f>
        <v>CAPA ALMOFADA 300F MISTO ACAB. VALENCIA 0,30 X 0,40 - COM LOGO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24543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24544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24544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14.25" customHeight="1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>
        <v>0</v>
      </c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24544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24096</v>
      </c>
      <c r="I1030" s="28" t="s">
        <v>24839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20</v>
      </c>
      <c r="V1030" s="25">
        <f>IFERROR(TAB_OFICINAS[[#This Row],[Valor Unit]]*TAB_OFICINAS[[#This Row],[Qtd pçs Enviadas]]," ")</f>
        <v>80</v>
      </c>
      <c r="W1030" s="26">
        <v>46272</v>
      </c>
      <c r="X1030" s="17" t="s">
        <v>6251</v>
      </c>
      <c r="Y1030" s="27" t="s">
        <v>24547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24096</v>
      </c>
      <c r="I1031" s="28" t="s">
        <v>24545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24548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14.25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24546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24096</v>
      </c>
      <c r="I1033" s="28" t="s">
        <v>24549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6251</v>
      </c>
      <c r="Y1033" s="27" t="s">
        <v>24551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24096</v>
      </c>
      <c r="I1034" s="28" t="s">
        <v>24840</v>
      </c>
      <c r="J1034" s="91">
        <v>4</v>
      </c>
      <c r="K1034" s="88">
        <v>46253</v>
      </c>
      <c r="L1034" s="9">
        <v>4</v>
      </c>
      <c r="M1034" s="6">
        <v>46260</v>
      </c>
      <c r="N1034" s="6">
        <f t="shared" ca="1" si="3"/>
        <v>46283</v>
      </c>
      <c r="O1034" s="23">
        <f ca="1">TAB_OFICINAS[[#This Row],[Data Retorno Produção]]-TAB_OFICINAS[[#This Row],[Data Prometida  Entrega]]</f>
        <v>23</v>
      </c>
      <c r="P1034" s="98" t="str">
        <f ca="1"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20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6251</v>
      </c>
      <c r="Y1034" s="27" t="s">
        <v>24551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14.25" customHeight="1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24096</v>
      </c>
      <c r="I1035" s="28" t="s">
        <v>24550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24546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71.25" customHeight="1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7</v>
      </c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24570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t="14.25" customHeight="1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f t="shared" ca="1" si="3"/>
        <v>46283</v>
      </c>
      <c r="O1037" s="23">
        <f ca="1">TAB_OFICINAS[[#This Row],[Data Retorno Produção]]-TAB_OFICINAS[[#This Row],[Data Prometida  Entrega]]</f>
        <v>21</v>
      </c>
      <c r="P1037" s="98" t="str">
        <f ca="1">IF(TAB_OFICINAS[[#This Row],[Dias Para Entrega]]&lt;=0,"Em dia","Dia de Atrasado")</f>
        <v>Dia de Atrasado</v>
      </c>
      <c r="Q1037" s="24">
        <f>IFERROR(TAB_OFICINAS[[#This Row],[Qtd pçs Enviadas]]-TAB_OFICINAS[[#This Row],[Qtd pçs Retornadas ]],"N/D ")</f>
        <v>0</v>
      </c>
      <c r="R1037" s="24">
        <v>0</v>
      </c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21417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>
      <c r="C1038" s="28" t="s">
        <v>21273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L1038" s="9">
        <v>7</v>
      </c>
      <c r="M1038" s="6">
        <v>46273</v>
      </c>
      <c r="N1038" s="6">
        <v>46262</v>
      </c>
      <c r="O1038" s="23">
        <f>TAB_OFICINAS[[#This Row],[Data Retorno Produção]]-TAB_OFICINAS[[#This Row],[Data Prometida  Entrega]]</f>
        <v>-11</v>
      </c>
      <c r="P1038" s="98" t="str">
        <f>IF(TAB_OFICINAS[[#This Row],[Dias Para Entrega]]&lt;=0,"Em dia","Dia de Atrasado")</f>
        <v>Em dia</v>
      </c>
      <c r="Q1038" s="24">
        <f>IFERROR(TAB_OFICINAS[[#This Row],[Qtd pçs Enviadas]]-TAB_OFICINAS[[#This Row],[Qtd pçs Retornadas ]],"N/D ")</f>
        <v>0</v>
      </c>
      <c r="R1038" s="24"/>
      <c r="S1038" s="5">
        <v>3375</v>
      </c>
      <c r="T1038" s="5" t="s">
        <v>24845</v>
      </c>
      <c r="U1038" s="11">
        <v>16</v>
      </c>
      <c r="V1038" s="25">
        <f>IFERROR(TAB_OFICINAS[[#This Row],[Valor Unit]]*TAB_OFICINAS[[#This Row],[Qtd pçs Enviadas]]," ")</f>
        <v>112</v>
      </c>
      <c r="W1038" s="26">
        <f>TAB_OFICINAS[[#This Row],[Data Retorno Produção]]+10</f>
        <v>46272</v>
      </c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>
      <c r="C1039" s="28" t="s">
        <v>21273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L1039" s="9">
        <v>20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24845</v>
      </c>
      <c r="U1039" s="11">
        <v>15</v>
      </c>
      <c r="V1039" s="25">
        <f>IFERROR(TAB_OFICINAS[[#This Row],[Valor Unit]]*TAB_OFICINAS[[#This Row],[Qtd pçs Enviadas]]," ")</f>
        <v>300</v>
      </c>
      <c r="W1039" s="26">
        <f>TAB_OFICINAS[[#This Row],[Data Retorno Produção]]+10</f>
        <v>46272</v>
      </c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>
      <c r="C1040" s="28" t="s">
        <v>21273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L1040" s="9">
        <v>6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24845</v>
      </c>
      <c r="U1040" s="11">
        <v>15</v>
      </c>
      <c r="V1040" s="25">
        <f>IFERROR(TAB_OFICINAS[[#This Row],[Valor Unit]]*TAB_OFICINAS[[#This Row],[Qtd pçs Enviadas]]," ")</f>
        <v>90</v>
      </c>
      <c r="W1040" s="26">
        <f>TAB_OFICINAS[[#This Row],[Data Retorno Produção]]+10</f>
        <v>46272</v>
      </c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>
      <c r="C1041" s="28" t="s">
        <v>21273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L1041" s="9">
        <v>16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24845</v>
      </c>
      <c r="U1041" s="11">
        <v>10.5</v>
      </c>
      <c r="V1041" s="25">
        <f>IFERROR(TAB_OFICINAS[[#This Row],[Valor Unit]]*TAB_OFICINAS[[#This Row],[Qtd pçs Enviadas]]," ")</f>
        <v>168</v>
      </c>
      <c r="W1041" s="26">
        <v>46272</v>
      </c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>
      <c r="C1042" s="28" t="s">
        <v>21273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L1042" s="9">
        <v>251</v>
      </c>
      <c r="M1042" s="6">
        <v>46261</v>
      </c>
      <c r="N1042" s="6">
        <v>46262</v>
      </c>
      <c r="O1042" s="23">
        <f>TAB_OFICINAS[[#This Row],[Data Retorno Produção]]-TAB_OFICINAS[[#This Row],[Data Prometida  Entrega]]</f>
        <v>1</v>
      </c>
      <c r="P1042" s="98" t="str">
        <f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0</v>
      </c>
      <c r="R1042" s="24"/>
      <c r="S1042" s="5">
        <v>3375</v>
      </c>
      <c r="T1042" s="5" t="s">
        <v>24846</v>
      </c>
      <c r="U1042" s="11">
        <v>4.5</v>
      </c>
      <c r="V1042" s="25">
        <f>IFERROR(TAB_OFICINAS[[#This Row],[Valor Unit]]*TAB_OFICINAS[[#This Row],[Qtd pçs Enviadas]]," ")</f>
        <v>1129.5</v>
      </c>
      <c r="W1042" s="26">
        <v>46272</v>
      </c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customHeight="1">
      <c r="C1043" s="28" t="s">
        <v>7</v>
      </c>
      <c r="F1043" s="28" t="s">
        <v>23745</v>
      </c>
      <c r="G1043" s="2" t="s">
        <v>24552</v>
      </c>
      <c r="H1043" s="51" t="s">
        <v>24553</v>
      </c>
      <c r="I1043" s="28" t="s">
        <v>24554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24555</v>
      </c>
      <c r="H1044" s="51" t="s">
        <v>24553</v>
      </c>
      <c r="I1044" s="28" t="s">
        <v>24556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24558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24553</v>
      </c>
      <c r="I1045" s="28" t="s">
        <v>24557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ht="14.25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ht="14.25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ht="14.25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ht="14.25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ht="14.25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ht="14.25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ht="14.25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ht="14.25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ht="14.25" customHeight="1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- COM LOGO - 0,30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ht="14.25" customHeight="1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L1056" s="9">
        <v>105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127</v>
      </c>
      <c r="U1056" s="11">
        <v>4</v>
      </c>
      <c r="V1056" s="25">
        <f>IFERROR(TAB_OFICINAS[[#This Row],[Valor Unit]]*TAB_OFICINAS[[#This Row],[Qtd pçs Enviadas]]," ")</f>
        <v>420</v>
      </c>
      <c r="W1056" s="26">
        <v>46269</v>
      </c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 ht="14.25" customHeight="1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L1057" s="9">
        <v>30</v>
      </c>
      <c r="M1057" s="6">
        <v>46262</v>
      </c>
      <c r="N1057" s="6">
        <v>46261</v>
      </c>
      <c r="O1057" s="23">
        <f>TAB_OFICINAS[[#This Row],[Data Retorno Produção]]-TAB_OFICINAS[[#This Row],[Data Prometida  Entrega]]</f>
        <v>-1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3380</v>
      </c>
      <c r="T1057" s="5">
        <v>128</v>
      </c>
      <c r="U1057" s="11">
        <v>4.5</v>
      </c>
      <c r="V1057" s="25">
        <f>IFERROR(TAB_OFICINAS[[#This Row],[Valor Unit]]*TAB_OFICINAS[[#This Row],[Qtd pçs Enviadas]]," ")</f>
        <v>135</v>
      </c>
      <c r="W1057" s="26">
        <v>46269</v>
      </c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>
      <c r="C1058" s="28" t="s">
        <v>21273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L1058" s="9">
        <v>41</v>
      </c>
      <c r="M1058" s="6">
        <v>46261</v>
      </c>
      <c r="N1058" s="6">
        <v>46260</v>
      </c>
      <c r="O1058" s="23">
        <f>TAB_OFICINAS[[#This Row],[Data Retorno Produção]]-TAB_OFICINAS[[#This Row],[Data Prometida  Entrega]]</f>
        <v>-1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3377</v>
      </c>
      <c r="T1058" s="5" t="s">
        <v>24844</v>
      </c>
      <c r="U1058" s="11">
        <v>13</v>
      </c>
      <c r="V1058" s="25">
        <f>IFERROR(TAB_OFICINAS[[#This Row],[Valor Unit]]*TAB_OFICINAS[[#This Row],[Qtd pçs Enviadas]]," ")</f>
        <v>533</v>
      </c>
      <c r="W1058" s="26">
        <f>TAB_OFICINAS[[#This Row],[Data Retorno Produção]]+10</f>
        <v>46270</v>
      </c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L1059" s="9">
        <v>39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16</v>
      </c>
      <c r="V1059" s="25">
        <f>IFERROR(TAB_OFICINAS[[#This Row],[Valor Unit]]*TAB_OFICINAS[[#This Row],[Qtd pçs Enviadas]]," ")</f>
        <v>624</v>
      </c>
      <c r="W1059" s="26">
        <f>TAB_OFICINAS[[#This Row],[Data Retorno Produção]]+10</f>
        <v>46269</v>
      </c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L1060" s="9">
        <v>8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L1061" s="9">
        <v>12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L1062" s="9">
        <v>39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L1064" s="9">
        <v>8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L1065" s="9">
        <v>39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46259</v>
      </c>
      <c r="O1066" s="23">
        <f>TAB_OFICINAS[[#This Row],[Data Retorno Produção]]-TAB_OFICINAS[[#This Row],[Data Prometida  Entrega]]</f>
        <v>-3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customHeight="1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L1067" s="9">
        <v>8</v>
      </c>
      <c r="M1067" s="6">
        <v>46262</v>
      </c>
      <c r="N1067" s="6">
        <v>46262</v>
      </c>
      <c r="O1067" s="23">
        <f>TAB_OFICINAS[[#This Row],[Data Retorno Produção]]-TAB_OFICINAS[[#This Row],[Data Prometida  Entrega]]</f>
        <v>0</v>
      </c>
      <c r="P1067" s="98" t="str">
        <f>IF(TAB_OFICINAS[[#This Row],[Dias Para Entrega]]&lt;=0,"Em dia","Dia de Atrasado")</f>
        <v>Em dia</v>
      </c>
      <c r="Q1067" s="24">
        <f>IFERROR(TAB_OFICINAS[[#This Row],[Qtd pçs Enviadas]]-TAB_OFICINAS[[#This Row],[Qtd pçs Retornadas ]],"N/D ")</f>
        <v>0</v>
      </c>
      <c r="R1067" s="24"/>
      <c r="S1067" s="5">
        <v>987</v>
      </c>
      <c r="T1067" s="5">
        <v>56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customHeight="1">
      <c r="C1068" s="28" t="s">
        <v>18</v>
      </c>
      <c r="D1068" s="5">
        <v>3625</v>
      </c>
      <c r="E1068" s="5">
        <v>24231</v>
      </c>
      <c r="F1068" s="28" t="str">
        <f>IFERROR(VLOOKUP(TAB_OFICINAS[[#This Row],[Cliente]],LISTA_DE_CLIENTES[[Código]:[Nome Fantasia]],2,FALSE),"")</f>
        <v>DIAGNOSTICOS DA AMERICA S.A .</v>
      </c>
      <c r="G1068" s="2" t="str">
        <f>IFERROR(VLOOKUP(TAB_OFICINAS[[#This Row],[Cliente]],LISTA_DE_CLIENTES[[Código]:[Nome Fantasia]],3,FALSE),"")</f>
        <v>DASA VILA OLIMPIA</v>
      </c>
      <c r="H1068" s="51">
        <v>3301092628</v>
      </c>
      <c r="I1068" s="28" t="str">
        <f>IFERROR(VLOOKUP(TAB_OFICINAS[[#This Row],[Codigo Produto ]],_000___PEDIDOS_DE_CLIENTES[[Data.Column2]:[Descrição Produto]],2,FALSE)," ")</f>
        <v>ROUPÃO PIQUET FAVORINO COM VIVO 100%ALG TAM EXG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f>TAB_OFICINAS[[#This Row],[Data Retorno Produção]]-TAB_OFICINAS[[#This Row],[Data Prometida  Entrega]]</f>
        <v>1</v>
      </c>
      <c r="P1068" s="98" t="str">
        <f>IF(TAB_OFICINAS[[#This Row],[Dias Para Entrega]]&lt;=0,"Em dia","Dia de Atrasado")</f>
        <v>Dia de Atrasado</v>
      </c>
      <c r="Q1068" s="24">
        <f>IFERROR(TAB_OFICINAS[[#This Row],[Qtd pçs Enviadas]]-TAB_OFICINAS[[#This Row],[Qtd pçs Retornadas ]],"N/D ")</f>
        <v>0</v>
      </c>
      <c r="R1068" s="24"/>
      <c r="S1068" s="5">
        <v>988</v>
      </c>
      <c r="T1068" s="5">
        <v>50</v>
      </c>
      <c r="U1068" s="11">
        <v>16</v>
      </c>
      <c r="V1068" s="25">
        <f>IFERROR(TAB_OFICINAS[[#This Row],[Valor Unit]]*TAB_OFICINAS[[#This Row],[Qtd pçs Enviadas]]," ")</f>
        <v>800</v>
      </c>
      <c r="W1068" s="26">
        <f>TAB_OFICINAS[[#This Row],[Data Retorno Produção]]+10</f>
        <v>46284</v>
      </c>
      <c r="X1068" s="17" t="s">
        <v>6251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customHeight="1">
      <c r="C1069" s="28" t="s">
        <v>17</v>
      </c>
      <c r="D1069" s="5">
        <v>5584</v>
      </c>
      <c r="E1069" s="5">
        <v>24204</v>
      </c>
      <c r="F1069" s="28" t="str">
        <f>IFERROR(VLOOKUP(TAB_OFICINAS[[#This Row],[Cliente]],LISTA_DE_CLIENTES[[Código]:[Nome Fantasia]],2,FALSE),"")</f>
        <v>EMPRESA HOTELEIRA MABU LTDA</v>
      </c>
      <c r="G1069" s="2" t="str">
        <f>IFERROR(VLOOKUP(TAB_OFICINAS[[#This Row],[Cliente]],LISTA_DE_CLIENTES[[Código]:[Nome Fantasia]],3,FALSE),"")</f>
        <v>MABU THERMAS GRAND</v>
      </c>
      <c r="H1069" s="51">
        <v>3301071384</v>
      </c>
      <c r="I1069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f>TAB_OFICINAS[[#This Row],[Data Retorno Produção]]-TAB_OFICINAS[[#This Row],[Data Prometida  Entrega]]</f>
        <v>-12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f>IFERROR(TAB_OFICINAS[[#This Row],[Valor Unit]]*TAB_OFICINAS[[#This Row],[Qtd pçs Enviadas]]," ")</f>
        <v>384</v>
      </c>
      <c r="W1069" s="26">
        <v>46275</v>
      </c>
      <c r="X1069" s="17" t="s">
        <v>6251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14.25" customHeight="1">
      <c r="C1070" s="28" t="s">
        <v>17</v>
      </c>
      <c r="D1070" s="5">
        <v>5680</v>
      </c>
      <c r="E1070" s="5">
        <v>24130</v>
      </c>
      <c r="F1070" s="28" t="str">
        <f>IFERROR(VLOOKUP(TAB_OFICINAS[[#This Row],[Cliente]],LISTA_DE_CLIENTES[[Código]:[Nome Fantasia]],2,FALSE),"")</f>
        <v>EDIFICIO CHATEAU CARMELO</v>
      </c>
      <c r="G1070" s="2" t="str">
        <f>IFERROR(VLOOKUP(TAB_OFICINAS[[#This Row],[Cliente]],LISTA_DE_CLIENTES[[Código]:[Nome Fantasia]],3,FALSE),"")</f>
        <v>EDIFICIO CHATEAU CAR</v>
      </c>
      <c r="H1070" s="51">
        <v>3301091213</v>
      </c>
      <c r="I1070" s="28" t="str">
        <f>IFERROR(VLOOKUP(TAB_OFICINAS[[#This Row],[Codigo Produto ]],_000___PEDIDOS_DE_CLIENTES[[Data.Column2]:[Descrição Produto]],2,FALSE)," ")</f>
        <v>ROUPÃO FELPA VELUX BRANCO G COM LOGO -MODELO KIMONO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>
        <f>TAB_OFICINAS[[#This Row],[Data Retorno Produção]]-TAB_OFICINAS[[#This Row],[Data Prometida  Entrega]]</f>
        <v>0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f>IFERROR(TAB_OFICINAS[[#This Row],[Valor Unit]]*TAB_OFICINAS[[#This Row],[Qtd pçs Enviadas]]," ")</f>
        <v>140</v>
      </c>
      <c r="W1070" s="26">
        <v>46275</v>
      </c>
      <c r="X1070" s="17" t="s">
        <v>6251</v>
      </c>
      <c r="Y1070" s="27"/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57" customHeight="1">
      <c r="C1071" s="28" t="s">
        <v>16</v>
      </c>
      <c r="D1071" s="5">
        <v>1942</v>
      </c>
      <c r="E1071" s="5">
        <v>24067</v>
      </c>
      <c r="F1071" s="28" t="str">
        <f>IFERROR(VLOOKUP(TAB_OFICINAS[[#This Row],[Cliente]],LISTA_DE_CLIENTES[[Código]:[Nome Fantasia]],2,FALSE),"")</f>
        <v>ONCO STAR SP ONCOLOGIA LTDA (REDE D´OR)</v>
      </c>
      <c r="G1071" s="2" t="str">
        <f>IFERROR(VLOOKUP(TAB_OFICINAS[[#This Row],[Cliente]],LISTA_DE_CLIENTES[[Código]:[Nome Fantasia]],3,FALSE),"")</f>
        <v>R DOR VILA NOVA STAR</v>
      </c>
      <c r="H1071" s="51">
        <v>2103062485</v>
      </c>
      <c r="I1071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71" s="91">
        <v>300</v>
      </c>
      <c r="K1071" s="88">
        <v>46258</v>
      </c>
      <c r="L1071" s="9">
        <v>300</v>
      </c>
      <c r="M1071" s="6">
        <v>46266</v>
      </c>
      <c r="N1071" s="6">
        <v>46265</v>
      </c>
      <c r="O1071" s="23">
        <f>TAB_OFICINAS[[#This Row],[Data Retorno Produção]]-TAB_OFICINAS[[#This Row],[Data Prometida  Entrega]]</f>
        <v>-1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1">
        <v>5.15</v>
      </c>
      <c r="V1071" s="25">
        <f>IFERROR(TAB_OFICINAS[[#This Row],[Valor Unit]]*TAB_OFICINAS[[#This Row],[Qtd pçs Enviadas]]," ")</f>
        <v>1545</v>
      </c>
      <c r="W1071" s="26">
        <v>46275</v>
      </c>
      <c r="X1071" s="17" t="s">
        <v>6251</v>
      </c>
      <c r="Y1071" s="27" t="s">
        <v>24828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customHeight="1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Row],[Cliente]],LISTA_DE_CLIENTES[[Código]:[Nome Fantasia]],2,FALSE),"")</f>
        <v>SNC DO BRASIL COMERCIO DE EQUIPAMENTOS EIRELI</v>
      </c>
      <c r="G1072" s="2" t="str">
        <f>IFERROR(VLOOKUP(TAB_OFICINAS[[#This Row],[Cliente]],LISTA_DE_CLIENTES[[Código]:[Nome Fantasia]],3,FALSE),"")</f>
        <v>TOTAL BABY STORE</v>
      </c>
      <c r="H1072" s="51" t="s">
        <v>24096</v>
      </c>
      <c r="I1072" s="28" t="s">
        <v>24841</v>
      </c>
      <c r="J1072" s="91">
        <v>4</v>
      </c>
      <c r="K1072" s="88">
        <v>46254</v>
      </c>
      <c r="L1072" s="9">
        <v>4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12</v>
      </c>
      <c r="V1072" s="25">
        <f>IFERROR(TAB_OFICINAS[[#This Row],[Valor Unit]]*TAB_OFICINAS[[#This Row],[Qtd pçs Enviadas]]," ")</f>
        <v>48</v>
      </c>
      <c r="W1072" s="26">
        <v>46269</v>
      </c>
      <c r="X1072" s="17" t="s">
        <v>6251</v>
      </c>
      <c r="Y1072" s="27" t="s">
        <v>24563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customHeight="1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Row],[Cliente]],LISTA_DE_CLIENTES[[Código]:[Nome Fantasia]],2,FALSE),"")</f>
        <v>SNC DO BRASIL COMERCIO DE EQUIPAMENTOS EIRELI</v>
      </c>
      <c r="G1073" s="2" t="str">
        <f>IFERROR(VLOOKUP(TAB_OFICINAS[[#This Row],[Cliente]],LISTA_DE_CLIENTES[[Código]:[Nome Fantasia]],3,FALSE),"")</f>
        <v>TOTAL BABY STORE</v>
      </c>
      <c r="H1073" s="51" t="s">
        <v>24096</v>
      </c>
      <c r="I1073" s="28" t="s">
        <v>24562</v>
      </c>
      <c r="J1073" s="91">
        <v>8</v>
      </c>
      <c r="K1073" s="88">
        <v>46254</v>
      </c>
      <c r="L1073" s="9">
        <v>8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4</v>
      </c>
      <c r="V1073" s="25">
        <f>IFERROR(TAB_OFICINAS[[#This Row],[Valor Unit]]*TAB_OFICINAS[[#This Row],[Qtd pçs Enviadas]]," ")</f>
        <v>32</v>
      </c>
      <c r="W1073" s="26">
        <v>46269</v>
      </c>
      <c r="X1073" s="17" t="s">
        <v>6251</v>
      </c>
      <c r="Y1073" s="27" t="s">
        <v>24564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customHeight="1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Row],[Cliente]],LISTA_DE_CLIENTES[[Código]:[Nome Fantasia]],2,FALSE),"")</f>
        <v>SNC DO BRASIL COMERCIO DE EQUIPAMENTOS EIRELI</v>
      </c>
      <c r="G1074" s="2" t="str">
        <f>IFERROR(VLOOKUP(TAB_OFICINAS[[#This Row],[Cliente]],LISTA_DE_CLIENTES[[Código]:[Nome Fantasia]],3,FALSE),"")</f>
        <v>TOTAL BABY STORE</v>
      </c>
      <c r="H1074" s="51" t="s">
        <v>24096</v>
      </c>
      <c r="I1074" s="28" t="s">
        <v>24842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20</v>
      </c>
      <c r="V1074" s="25">
        <f>IFERROR(TAB_OFICINAS[[#This Row],[Valor Unit]]*TAB_OFICINAS[[#This Row],[Qtd pçs Enviadas]]," ")</f>
        <v>80</v>
      </c>
      <c r="W1074" s="26">
        <v>46269</v>
      </c>
      <c r="X1074" s="17" t="s">
        <v>6251</v>
      </c>
      <c r="Y1074" s="27" t="s">
        <v>24565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customHeight="1">
      <c r="C1075" s="28" t="s">
        <v>15</v>
      </c>
      <c r="D1075" s="5">
        <v>2770</v>
      </c>
      <c r="E1075" s="5">
        <v>24105</v>
      </c>
      <c r="F1075" s="28" t="str">
        <f>IFERROR(VLOOKUP(TAB_OFICINAS[[#This Row],[Cliente]],LISTA_DE_CLIENTES[[Código]:[Nome Fantasia]],2,FALSE),"")</f>
        <v>SNC DO BRASIL COMERCIO DE EQUIPAMENTOS EIRELI</v>
      </c>
      <c r="G1075" s="2" t="str">
        <f>IFERROR(VLOOKUP(TAB_OFICINAS[[#This Row],[Cliente]],LISTA_DE_CLIENTES[[Código]:[Nome Fantasia]],3,FALSE),"")</f>
        <v>TOTAL BABY STORE</v>
      </c>
      <c r="H1075" s="51">
        <v>3161091337</v>
      </c>
      <c r="I1075" s="28" t="str">
        <f>IFERROR(VLOOKUP(TAB_OFICINAS[[#This Row],[Codigo Produto ]],_000___PEDIDOS_DE_CLIENTES[[Data.Column2]:[Descrição Produto]],2,FALSE)," ")</f>
        <v>TOALHA DE BANHO COM CAPUZ KIDS - FELPA VELUX BRANCA C/ BORDADO CACHORRINHO - 0,90 X 1,00</v>
      </c>
      <c r="J1075" s="91">
        <v>4</v>
      </c>
      <c r="K1075" s="88">
        <v>46254</v>
      </c>
      <c r="L1075" s="9">
        <v>4</v>
      </c>
      <c r="M1075" s="6">
        <v>46262</v>
      </c>
      <c r="N1075" s="6">
        <v>46262</v>
      </c>
      <c r="O1075" s="23">
        <f>TAB_OFICINAS[[#This Row],[Data Retorno Produção]]-TAB_OFICINAS[[#This Row],[Data Prometida  Entrega]]</f>
        <v>0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>
        <v>0</v>
      </c>
      <c r="S1075" s="5">
        <v>3378</v>
      </c>
      <c r="T1075" s="5">
        <v>17569</v>
      </c>
      <c r="U1075" s="11">
        <v>8</v>
      </c>
      <c r="V1075" s="25">
        <f>IFERROR(TAB_OFICINAS[[#This Row],[Valor Unit]]*TAB_OFICINAS[[#This Row],[Qtd pçs Enviadas]]," ")</f>
        <v>32</v>
      </c>
      <c r="W1075" s="26">
        <v>46269</v>
      </c>
      <c r="X1075" s="17" t="s">
        <v>6251</v>
      </c>
      <c r="Y1075" s="27" t="s">
        <v>24566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customHeight="1">
      <c r="C1076" s="28" t="s">
        <v>15</v>
      </c>
      <c r="D1076" s="5">
        <v>3660</v>
      </c>
      <c r="E1076" s="5">
        <v>23695</v>
      </c>
      <c r="F1076" s="28" t="str">
        <f>IFERROR(VLOOKUP(TAB_OFICINAS[[#This Row],[Cliente]],LISTA_DE_CLIENTES[[Código]:[Nome Fantasia]],2,FALSE),"")</f>
        <v>HOSPITAL ESPERANCA SA</v>
      </c>
      <c r="G1076" s="2" t="str">
        <f>IFERROR(VLOOKUP(TAB_OFICINAS[[#This Row],[Cliente]],LISTA_DE_CLIENTES[[Código]:[Nome Fantasia]],3,FALSE),"")</f>
        <v>HOSPITAL ALIANÇA</v>
      </c>
      <c r="H1076" s="51">
        <v>2101067951</v>
      </c>
      <c r="I1076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76" s="91">
        <v>316</v>
      </c>
      <c r="K1076" s="88">
        <v>46259</v>
      </c>
      <c r="L1076" s="9">
        <v>316</v>
      </c>
      <c r="M1076" s="6">
        <v>46267</v>
      </c>
      <c r="N1076" s="6">
        <v>46262</v>
      </c>
      <c r="O1076" s="23">
        <f>TAB_OFICINAS[[#This Row],[Data Retorno Produção]]-TAB_OFICINAS[[#This Row],[Data Prometida  Entrega]]</f>
        <v>-5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994</v>
      </c>
      <c r="T1076" s="5">
        <v>17571</v>
      </c>
      <c r="U1076" s="11">
        <v>3.85</v>
      </c>
      <c r="V1076" s="25">
        <f>IFERROR(TAB_OFICINAS[[#This Row],[Valor Unit]]*TAB_OFICINAS[[#This Row],[Qtd pçs Enviadas]]," ")</f>
        <v>1216.6000000000001</v>
      </c>
      <c r="W1076" s="26">
        <v>46269</v>
      </c>
      <c r="X1076" s="17" t="s">
        <v>6251</v>
      </c>
      <c r="Y1076" s="27" t="s">
        <v>21417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customHeight="1">
      <c r="C1077" s="28" t="s">
        <v>15</v>
      </c>
      <c r="D1077" s="5">
        <v>5679</v>
      </c>
      <c r="E1077" s="5">
        <v>24047</v>
      </c>
      <c r="F1077" s="28" t="str">
        <f>IFERROR(VLOOKUP(TAB_OFICINAS[[#This Row],[Cliente]],LISTA_DE_CLIENTES[[Código]:[Nome Fantasia]],2,FALSE),"")</f>
        <v>MMCA COMERCIO E CONFECCAO DE ROUPAS E DECORACOES L</v>
      </c>
      <c r="G1077" s="2" t="str">
        <f>IFERROR(VLOOKUP(TAB_OFICINAS[[#This Row],[Cliente]],LISTA_DE_CLIENTES[[Código]:[Nome Fantasia]],3,FALSE),"")</f>
        <v>MMCA COMERCIO E CONF</v>
      </c>
      <c r="H1077" s="51">
        <v>3302016028</v>
      </c>
      <c r="I1077" s="28" t="str">
        <f>IFERROR(VLOOKUP(TAB_OFICINAS[[#This Row],[Codigo Produto ]],_000___PEDIDOS_DE_CLIENTES[[Data.Column2]:[Descrição Produto]],2,FALSE)," ")</f>
        <v>TOALHA DE MÃO FELPA VELUX BRANCO - COM LOGO - 0,30 X 0,30</v>
      </c>
      <c r="J1077" s="91">
        <v>24</v>
      </c>
      <c r="K1077" s="88">
        <v>46259</v>
      </c>
      <c r="L1077" s="9">
        <v>24</v>
      </c>
      <c r="M1077" s="6">
        <v>46265</v>
      </c>
      <c r="N1077" s="6">
        <v>46262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3.6</v>
      </c>
      <c r="V1077" s="25">
        <f>IFERROR(TAB_OFICINAS[[#This Row],[Valor Unit]]*TAB_OFICINAS[[#This Row],[Qtd pçs Enviadas]]," ")</f>
        <v>86.4</v>
      </c>
      <c r="W1077" s="26">
        <v>46269</v>
      </c>
      <c r="X1077" s="17" t="s">
        <v>6251</v>
      </c>
      <c r="Y1077" s="27" t="s">
        <v>24567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customHeight="1">
      <c r="C1078" s="28" t="s">
        <v>15</v>
      </c>
      <c r="D1078" s="5">
        <v>5645</v>
      </c>
      <c r="E1078" s="5">
        <v>23888</v>
      </c>
      <c r="F1078" s="28" t="str">
        <f>IFERROR(VLOOKUP(TAB_OFICINAS[[#This Row],[Cliente]],LISTA_DE_CLIENTES[[Código]:[Nome Fantasia]],2,FALSE),"")</f>
        <v>HCC HOTELS GESTAO HOTELEIRA SA</v>
      </c>
      <c r="G1078" s="2" t="str">
        <f>IFERROR(VLOOKUP(TAB_OFICINAS[[#This Row],[Cliente]],LISTA_DE_CLIENTES[[Código]:[Nome Fantasia]],3,FALSE),"")</f>
        <v>CASA COSTA</v>
      </c>
      <c r="H1078" s="51">
        <v>2111261202</v>
      </c>
      <c r="I1078" s="28" t="str">
        <f>IFERROR(VLOOKUP(TAB_OFICINAS[[#This Row],[Codigo Produto ]],_000___PEDIDOS_DE_CLIENTES[[Data.Column2]:[Descrição Produto]],2,FALSE)," ")</f>
        <v>CAPA ALMOFADA SEM ABA ACABAMENTO CORDONE TODA VOLTA FECHAMENTO COM ZÍPER BOHEMIAN BEGE COM LOGO ESTRELA COR 5308     -     0,50 X 0,50</v>
      </c>
      <c r="J1078" s="91">
        <v>71</v>
      </c>
      <c r="K1078" s="88">
        <v>46259</v>
      </c>
      <c r="L1078" s="9">
        <v>71</v>
      </c>
      <c r="M1078" s="6">
        <v>46268</v>
      </c>
      <c r="N1078" s="6">
        <v>46265</v>
      </c>
      <c r="O1078" s="23">
        <f>TAB_OFICINAS[[#This Row],[Data Retorno Produção]]-TAB_OFICINAS[[#This Row],[Data Prometida  Entrega]]</f>
        <v>-3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3386</v>
      </c>
      <c r="T1078" s="5">
        <v>17570</v>
      </c>
      <c r="U1078" s="11">
        <v>4</v>
      </c>
      <c r="V1078" s="25">
        <f>IFERROR(TAB_OFICINAS[[#This Row],[Valor Unit]]*TAB_OFICINAS[[#This Row],[Qtd pçs Enviadas]]," ")</f>
        <v>284</v>
      </c>
      <c r="W1078" s="26">
        <v>46269</v>
      </c>
      <c r="X1078" s="17" t="s">
        <v>6251</v>
      </c>
      <c r="Y1078" s="27" t="s">
        <v>24568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customHeight="1">
      <c r="C1079" s="28" t="s">
        <v>15</v>
      </c>
      <c r="D1079" s="5">
        <v>3660</v>
      </c>
      <c r="E1079" s="5">
        <v>23695</v>
      </c>
      <c r="F1079" s="28" t="str">
        <f>IFERROR(VLOOKUP(TAB_OFICINAS[[#This Row],[Cliente]],LISTA_DE_CLIENTES[[Código]:[Nome Fantasia]],2,FALSE),"")</f>
        <v>HOSPITAL ESPERANCA SA</v>
      </c>
      <c r="G1079" s="2" t="str">
        <f>IFERROR(VLOOKUP(TAB_OFICINAS[[#This Row],[Cliente]],LISTA_DE_CLIENTES[[Código]:[Nome Fantasia]],3,FALSE),"")</f>
        <v>HOSPITAL ALIANÇA</v>
      </c>
      <c r="H1079" s="51">
        <v>2101067951</v>
      </c>
      <c r="I1079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79" s="91">
        <v>500</v>
      </c>
      <c r="K1079" s="88">
        <v>46261</v>
      </c>
      <c r="L1079" s="9">
        <v>500</v>
      </c>
      <c r="M1079" s="6">
        <v>46266</v>
      </c>
      <c r="N1079" s="6">
        <v>46265</v>
      </c>
      <c r="O1079" s="23">
        <f>TAB_OFICINAS[[#This Row],[Data Retorno Produção]]-TAB_OFICINAS[[#This Row],[Data Prometida  Entrega]]</f>
        <v>-1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17572</v>
      </c>
      <c r="U1079" s="11">
        <v>3.85</v>
      </c>
      <c r="V1079" s="25">
        <f>IFERROR(TAB_OFICINAS[[#This Row],[Valor Unit]]*TAB_OFICINAS[[#This Row],[Qtd pçs Enviadas]]," ")</f>
        <v>1925</v>
      </c>
      <c r="W1079" s="26">
        <v>46269</v>
      </c>
      <c r="X1079" s="17" t="s">
        <v>6251</v>
      </c>
      <c r="Y1079" s="27" t="s">
        <v>21417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customHeight="1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Row],[Cliente]],LISTA_DE_CLIENTES[[Código]:[Nome Fantasia]],2,FALSE),"")</f>
        <v>WESTWING COMERCIO VAREJISTA S.A.</v>
      </c>
      <c r="G1080" s="2" t="str">
        <f>IFERROR(VLOOKUP(TAB_OFICINAS[[#This Row],[Cliente]],LISTA_DE_CLIENTES[[Código]:[Nome Fantasia]],3,FALSE),"")</f>
        <v>WESTWING - CORRETO</v>
      </c>
      <c r="H1080" s="51">
        <v>2201021433</v>
      </c>
      <c r="I1080" s="28" t="s">
        <v>24571</v>
      </c>
      <c r="J1080" s="91">
        <v>1</v>
      </c>
      <c r="K1080" s="88">
        <v>46261</v>
      </c>
      <c r="L1080" s="9">
        <v>1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12</v>
      </c>
      <c r="W1080" s="26">
        <v>46269</v>
      </c>
      <c r="X1080" s="17" t="s">
        <v>6251</v>
      </c>
      <c r="Y1080" s="27" t="s">
        <v>24417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customHeight="1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Row],[Cliente]],LISTA_DE_CLIENTES[[Código]:[Nome Fantasia]],2,FALSE),"")</f>
        <v>WESTWING COMERCIO VAREJISTA S.A.</v>
      </c>
      <c r="G1081" s="2" t="str">
        <f>IFERROR(VLOOKUP(TAB_OFICINAS[[#This Row],[Cliente]],LISTA_DE_CLIENTES[[Código]:[Nome Fantasia]],3,FALSE),"")</f>
        <v>WESTWING - CORRETO</v>
      </c>
      <c r="H1081" s="51">
        <v>2201021432</v>
      </c>
      <c r="I1081" s="28" t="s">
        <v>24572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6251</v>
      </c>
      <c r="Y1081" s="27" t="s">
        <v>24418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customHeight="1">
      <c r="C1082" s="28" t="s">
        <v>15</v>
      </c>
      <c r="D1082" s="5">
        <v>2533</v>
      </c>
      <c r="E1082" s="5">
        <v>24300</v>
      </c>
      <c r="F1082" s="28" t="str">
        <f>IFERROR(VLOOKUP(TAB_OFICINAS[[#This Row],[Cliente]],LISTA_DE_CLIENTES[[Código]:[Nome Fantasia]],2,FALSE),"")</f>
        <v>WESTWING COMERCIO VAREJISTA S.A.</v>
      </c>
      <c r="G1082" s="2" t="str">
        <f>IFERROR(VLOOKUP(TAB_OFICINAS[[#This Row],[Cliente]],LISTA_DE_CLIENTES[[Código]:[Nome Fantasia]],3,FALSE),"")</f>
        <v>WESTWING - CORRETO</v>
      </c>
      <c r="H1082" s="51">
        <v>2201021434</v>
      </c>
      <c r="I1082" s="28" t="s">
        <v>24573</v>
      </c>
      <c r="J1082" s="91">
        <v>2</v>
      </c>
      <c r="K1082" s="88">
        <v>46261</v>
      </c>
      <c r="L1082" s="9">
        <v>2</v>
      </c>
      <c r="M1082" s="6">
        <v>46262</v>
      </c>
      <c r="N1082" s="6">
        <v>46262</v>
      </c>
      <c r="O1082" s="23">
        <f>TAB_OFICINAS[[#This Row],[Data Retorno Produção]]-TAB_OFICINAS[[#This Row],[Data Prometida  Entrega]]</f>
        <v>0</v>
      </c>
      <c r="P1082" s="98" t="str">
        <f>IF(TAB_OFICINAS[[#This Row],[Dias Para Entrega]]&lt;=0,"Em dia","Dia de Atrasado")</f>
        <v>Em dia</v>
      </c>
      <c r="Q1082" s="24">
        <f>IFERROR(TAB_OFICINAS[[#This Row],[Qtd pçs Enviadas]]-TAB_OFICINAS[[#This Row],[Qtd pçs Retornadas ]],"N/D ")</f>
        <v>0</v>
      </c>
      <c r="R1082" s="24">
        <v>0</v>
      </c>
      <c r="S1082" s="5">
        <v>996</v>
      </c>
      <c r="T1082" s="5">
        <v>17572</v>
      </c>
      <c r="U1082" s="11">
        <v>12</v>
      </c>
      <c r="V1082" s="25">
        <f>IFERROR(TAB_OFICINAS[[#This Row],[Valor Unit]]*TAB_OFICINAS[[#This Row],[Qtd pçs Enviadas]]," ")</f>
        <v>24</v>
      </c>
      <c r="W1082" s="26">
        <v>46269</v>
      </c>
      <c r="X1082" s="17" t="s">
        <v>6251</v>
      </c>
      <c r="Y1082" s="27" t="s">
        <v>24416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customHeight="1">
      <c r="C1083" s="28" t="s">
        <v>15</v>
      </c>
      <c r="D1083" s="5">
        <v>1876</v>
      </c>
      <c r="E1083" s="5">
        <v>24307</v>
      </c>
      <c r="F1083" s="28" t="str">
        <f>IFERROR(VLOOKUP(TAB_OFICINAS[[#This Row],[Cliente]],LISTA_DE_CLIENTES[[Código]:[Nome Fantasia]],2,FALSE),"")</f>
        <v>LAGOA DA ANTA EMPREENDIMENTOS</v>
      </c>
      <c r="G1083" s="2" t="str">
        <f>IFERROR(VLOOKUP(TAB_OFICINAS[[#This Row],[Cliente]],LISTA_DE_CLIENTES[[Código]:[Nome Fantasia]],3,FALSE),"")</f>
        <v>RITZ LAGOA DA ANTA</v>
      </c>
      <c r="H1083" s="51" t="s">
        <v>24574</v>
      </c>
      <c r="I1083" s="28" t="s">
        <v>24575</v>
      </c>
      <c r="J1083" s="91">
        <v>1</v>
      </c>
      <c r="K1083" s="88">
        <v>46261</v>
      </c>
      <c r="L1083" s="9">
        <v>1</v>
      </c>
      <c r="M1083" s="6">
        <v>46266</v>
      </c>
      <c r="N1083" s="6">
        <f t="shared" ref="N1083:N1122" ca="1" si="4">TODAY()</f>
        <v>46283</v>
      </c>
      <c r="O1083" s="23">
        <f ca="1">TAB_OFICINAS[[#This Row],[Data Retorno Produção]]-TAB_OFICINAS[[#This Row],[Data Prometida  Entrega]]</f>
        <v>17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18</v>
      </c>
      <c r="V1083" s="25">
        <f>IFERROR(TAB_OFICINAS[[#This Row],[Valor Unit]]*TAB_OFICINAS[[#This Row],[Qtd pçs Enviadas]]," ")</f>
        <v>18</v>
      </c>
      <c r="W1083" s="26">
        <v>46272</v>
      </c>
      <c r="X1083" s="17" t="s">
        <v>6251</v>
      </c>
      <c r="Y1083" s="27" t="s">
        <v>24576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customHeight="1">
      <c r="C1084" s="28" t="s">
        <v>15</v>
      </c>
      <c r="D1084" s="5">
        <v>5681</v>
      </c>
      <c r="E1084" s="5">
        <v>24196</v>
      </c>
      <c r="F1084" s="28" t="str">
        <f>IFERROR(VLOOKUP(TAB_OFICINAS[[#This Row],[Cliente]],LISTA_DE_CLIENTES[[Código]:[Nome Fantasia]],2,FALSE),"")</f>
        <v>CLINICA DRA PATRICIA FAGUNDES DERMATOLOGIA LTDA</v>
      </c>
      <c r="G1084" s="2" t="str">
        <f>IFERROR(VLOOKUP(TAB_OFICINAS[[#This Row],[Cliente]],LISTA_DE_CLIENTES[[Código]:[Nome Fantasia]],3,FALSE),"")</f>
        <v>CLINICA DRA.PATRICIA</v>
      </c>
      <c r="H1084" s="51">
        <v>3302047896</v>
      </c>
      <c r="I1084" s="28" t="str">
        <f>IFERROR(VLOOKUP(TAB_OFICINAS[[#This Row],[Codigo Produto ]],_000___PEDIDOS_DE_CLIENTES[[Data.Column2]:[Descrição Produto]],2,FALSE)," ")</f>
        <v>TOALHA ROSTO FELPA VELUX BRANCO COM LOGO - 0,48 X 0,70</v>
      </c>
      <c r="J1084" s="91">
        <v>30</v>
      </c>
      <c r="K1084" s="88">
        <v>46261</v>
      </c>
      <c r="L1084" s="9">
        <v>30</v>
      </c>
      <c r="M1084" s="6">
        <v>46268</v>
      </c>
      <c r="N1084" s="6">
        <f t="shared" ca="1" si="4"/>
        <v>46283</v>
      </c>
      <c r="O1084" s="23">
        <f ca="1">TAB_OFICINAS[[#This Row],[Data Retorno Produção]]-TAB_OFICINAS[[#This Row],[Data Prometida  Entrega]]</f>
        <v>15</v>
      </c>
      <c r="P1084" s="98" t="str">
        <f ca="1">IF(TAB_OFICINAS[[#This Row],[Dias Para Entrega]]&lt;=0,"Em dia","Dia de Atrasado")</f>
        <v>Dia de Atrasado</v>
      </c>
      <c r="Q1084" s="24">
        <f>IFERROR(TAB_OFICINAS[[#This Row],[Qtd pçs Enviadas]]-TAB_OFICINAS[[#This Row],[Qtd pçs Retornadas ]],"N/D ")</f>
        <v>0</v>
      </c>
      <c r="R1084" s="24"/>
      <c r="S1084" s="5">
        <v>996</v>
      </c>
      <c r="T1084" s="5">
        <v>17574</v>
      </c>
      <c r="U1084" s="11">
        <v>3.6</v>
      </c>
      <c r="V1084" s="25">
        <f>IFERROR(TAB_OFICINAS[[#This Row],[Valor Unit]]*TAB_OFICINAS[[#This Row],[Qtd pçs Enviadas]]," ")</f>
        <v>108</v>
      </c>
      <c r="W1084" s="26">
        <v>46272</v>
      </c>
      <c r="X1084" s="17" t="s">
        <v>6251</v>
      </c>
      <c r="Y1084" s="27" t="s">
        <v>24577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customHeight="1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Row],[Cliente]],LISTA_DE_CLIENTES[[Código]:[Nome Fantasia]],2,FALSE),"")</f>
        <v>JAQUELINE MARIA MOTA SILVA</v>
      </c>
      <c r="G1085" s="2" t="str">
        <f>IFERROR(VLOOKUP(TAB_OFICINAS[[#This Row],[Cliente]],LISTA_DE_CLIENTES[[Código]:[Nome Fantasia]],3,FALSE),"")</f>
        <v>JAQUELINE MARIA MOTA</v>
      </c>
      <c r="H1085" s="51" t="s">
        <v>24096</v>
      </c>
      <c r="I1085" s="28" t="s">
        <v>24581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6251</v>
      </c>
      <c r="Y1085" s="27" t="s">
        <v>24578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customHeight="1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Row],[Cliente]],LISTA_DE_CLIENTES[[Código]:[Nome Fantasia]],2,FALSE),"")</f>
        <v>JAQUELINE MARIA MOTA SILVA</v>
      </c>
      <c r="G1086" s="2" t="str">
        <f>IFERROR(VLOOKUP(TAB_OFICINAS[[#This Row],[Cliente]],LISTA_DE_CLIENTES[[Código]:[Nome Fantasia]],3,FALSE),"")</f>
        <v>JAQUELINE MARIA MOTA</v>
      </c>
      <c r="H1086" s="51" t="s">
        <v>24096</v>
      </c>
      <c r="I1086" s="28" t="s">
        <v>24582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6251</v>
      </c>
      <c r="Y1086" s="27" t="s">
        <v>24578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customHeight="1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Row],[Cliente]],LISTA_DE_CLIENTES[[Código]:[Nome Fantasia]],2,FALSE),"")</f>
        <v>JAQUELINE MARIA MOTA SILVA</v>
      </c>
      <c r="G1087" s="2" t="str">
        <f>IFERROR(VLOOKUP(TAB_OFICINAS[[#This Row],[Cliente]],LISTA_DE_CLIENTES[[Código]:[Nome Fantasia]],3,FALSE),"")</f>
        <v>JAQUELINE MARIA MOTA</v>
      </c>
      <c r="H1087" s="51" t="s">
        <v>24096</v>
      </c>
      <c r="I1087" s="28" t="s">
        <v>24583</v>
      </c>
      <c r="J1087" s="91">
        <v>1</v>
      </c>
      <c r="K1087" s="88">
        <v>46261</v>
      </c>
      <c r="L1087" s="9">
        <v>1</v>
      </c>
      <c r="M1087" s="6">
        <v>46261</v>
      </c>
      <c r="N1087" s="6">
        <v>46261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6251</v>
      </c>
      <c r="Y1087" s="27" t="s">
        <v>24579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customHeight="1">
      <c r="C1088" s="28" t="s">
        <v>7</v>
      </c>
      <c r="D1088" s="5">
        <v>2463</v>
      </c>
      <c r="E1088" s="5">
        <v>24258</v>
      </c>
      <c r="F1088" s="28" t="str">
        <f>IFERROR(VLOOKUP(TAB_OFICINAS[[#This Row],[Cliente]],LISTA_DE_CLIENTES[[Código]:[Nome Fantasia]],2,FALSE),"")</f>
        <v>JAQUELINE MARIA MOTA SILVA</v>
      </c>
      <c r="G1088" s="2" t="str">
        <f>IFERROR(VLOOKUP(TAB_OFICINAS[[#This Row],[Cliente]],LISTA_DE_CLIENTES[[Código]:[Nome Fantasia]],3,FALSE),"")</f>
        <v>JAQUELINE MARIA MOTA</v>
      </c>
      <c r="H1088" s="51" t="s">
        <v>24096</v>
      </c>
      <c r="I1088" s="28" t="s">
        <v>24583</v>
      </c>
      <c r="J1088" s="91">
        <v>1</v>
      </c>
      <c r="K1088" s="88">
        <v>46262</v>
      </c>
      <c r="L1088" s="9">
        <v>1</v>
      </c>
      <c r="M1088" s="6">
        <v>46262</v>
      </c>
      <c r="N1088" s="6">
        <v>46262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12</v>
      </c>
      <c r="V1088" s="25">
        <f>IFERROR(TAB_OFICINAS[[#This Row],[Valor Unit]]*TAB_OFICINAS[[#This Row],[Qtd pçs Enviadas]]," ")</f>
        <v>12</v>
      </c>
      <c r="W1088" s="26">
        <v>46269</v>
      </c>
      <c r="X1088" s="17" t="s">
        <v>6251</v>
      </c>
      <c r="Y1088" s="27" t="s">
        <v>24580</v>
      </c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customHeight="1">
      <c r="C1089" s="28" t="s">
        <v>7</v>
      </c>
      <c r="F1089" s="28" t="str">
        <f>IFERROR(VLOOKUP(TAB_OFICINAS[[#This Row],[Cliente]],LISTA_DE_CLIENTES[[Código]:[Nome Fantasia]],2,FALSE),"")</f>
        <v/>
      </c>
      <c r="G1089" s="2" t="str">
        <f>IFERROR(VLOOKUP(TAB_OFICINAS[[#This Row],[Cliente]],LISTA_DE_CLIENTES[[Código]:[Nome Fantasia]],3,FALSE),"")</f>
        <v/>
      </c>
      <c r="H1089" s="51" t="s">
        <v>24096</v>
      </c>
      <c r="I1089" s="28" t="s">
        <v>24584</v>
      </c>
      <c r="J1089" s="91">
        <v>1</v>
      </c>
      <c r="K1089" s="88">
        <v>46261</v>
      </c>
      <c r="L1089" s="9">
        <v>1</v>
      </c>
      <c r="M1089" s="6">
        <v>46261</v>
      </c>
      <c r="N1089" s="6">
        <v>46261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3389</v>
      </c>
      <c r="T1089" s="5">
        <v>57</v>
      </c>
      <c r="U1089" s="11">
        <v>6</v>
      </c>
      <c r="V1089" s="25">
        <f>IFERROR(TAB_OFICINAS[[#This Row],[Valor Unit]]*TAB_OFICINAS[[#This Row],[Qtd pçs Enviadas]]," ")</f>
        <v>6</v>
      </c>
      <c r="W1089" s="26">
        <v>46269</v>
      </c>
      <c r="X1089" s="17" t="s">
        <v>6251</v>
      </c>
      <c r="Y1089" s="27"/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customHeight="1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Row],[Cliente]],LISTA_DE_CLIENTES[[Código]:[Nome Fantasia]],2,FALSE),"")</f>
        <v>TRU COMMERCE IMP. EXP. E COM. DE ROUPA EIRELI</v>
      </c>
      <c r="G1090" s="2" t="str">
        <f>IFERROR(VLOOKUP(TAB_OFICINAS[[#This Row],[Cliente]],LISTA_DE_CLIENTES[[Código]:[Nome Fantasia]],3,FALSE),"")</f>
        <v>TRU COMMERCE</v>
      </c>
      <c r="H1090" s="51" t="s">
        <v>24096</v>
      </c>
      <c r="I1090" s="28" t="s">
        <v>24585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6251</v>
      </c>
      <c r="Y1090" s="27" t="s">
        <v>24589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customHeight="1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Row],[Cliente]],LISTA_DE_CLIENTES[[Código]:[Nome Fantasia]],2,FALSE),"")</f>
        <v>TRU COMMERCE IMP. EXP. E COM. DE ROUPA EIRELI</v>
      </c>
      <c r="G1091" s="2" t="str">
        <f>IFERROR(VLOOKUP(TAB_OFICINAS[[#This Row],[Cliente]],LISTA_DE_CLIENTES[[Código]:[Nome Fantasia]],3,FALSE),"")</f>
        <v>TRU COMMERCE</v>
      </c>
      <c r="H1091" s="51" t="s">
        <v>24096</v>
      </c>
      <c r="I1091" s="28" t="s">
        <v>24586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6251</v>
      </c>
      <c r="Y1091" s="27" t="s">
        <v>24589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customHeight="1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Row],[Cliente]],LISTA_DE_CLIENTES[[Código]:[Nome Fantasia]],2,FALSE),"")</f>
        <v>TRU COMMERCE IMP. EXP. E COM. DE ROUPA EIRELI</v>
      </c>
      <c r="G1092" s="2" t="str">
        <f>IFERROR(VLOOKUP(TAB_OFICINAS[[#This Row],[Cliente]],LISTA_DE_CLIENTES[[Código]:[Nome Fantasia]],3,FALSE),"")</f>
        <v>TRU COMMERCE</v>
      </c>
      <c r="H1092" s="51" t="s">
        <v>24096</v>
      </c>
      <c r="I1092" s="28" t="s">
        <v>24587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6251</v>
      </c>
      <c r="Y1092" s="27" t="s">
        <v>24580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customHeight="1">
      <c r="C1093" s="28" t="s">
        <v>7</v>
      </c>
      <c r="D1093" s="5">
        <v>964</v>
      </c>
      <c r="E1093" s="5">
        <v>24258</v>
      </c>
      <c r="F1093" s="28" t="str">
        <f>IFERROR(VLOOKUP(TAB_OFICINAS[[#This Row],[Cliente]],LISTA_DE_CLIENTES[[Código]:[Nome Fantasia]],2,FALSE),"")</f>
        <v>TRU COMMERCE IMP. EXP. E COM. DE ROUPA EIRELI</v>
      </c>
      <c r="G1093" s="2" t="str">
        <f>IFERROR(VLOOKUP(TAB_OFICINAS[[#This Row],[Cliente]],LISTA_DE_CLIENTES[[Código]:[Nome Fantasia]],3,FALSE),"")</f>
        <v>TRU COMMERCE</v>
      </c>
      <c r="H1093" s="51" t="s">
        <v>24096</v>
      </c>
      <c r="I1093" s="28" t="s">
        <v>24588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998</v>
      </c>
      <c r="T1093" s="5">
        <v>58</v>
      </c>
      <c r="U1093" s="11">
        <v>12</v>
      </c>
      <c r="V1093" s="25">
        <f>IFERROR(TAB_OFICINAS[[#This Row],[Valor Unit]]*TAB_OFICINAS[[#This Row],[Qtd pçs Enviadas]]," ")</f>
        <v>12</v>
      </c>
      <c r="W1093" s="26">
        <v>46269</v>
      </c>
      <c r="X1093" s="17" t="s">
        <v>6251</v>
      </c>
      <c r="Y1093" s="27" t="s">
        <v>24590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customHeight="1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Row],[Cliente]],LISTA_DE_CLIENTES[[Código]:[Nome Fantasia]],2,FALSE),"")</f>
        <v>BEACH PARK HOTEIS E TURISMO S/A</v>
      </c>
      <c r="G1094" s="2" t="str">
        <f>IFERROR(VLOOKUP(TAB_OFICINAS[[#This Row],[Cliente]],LISTA_DE_CLIENTES[[Código]:[Nome Fantasia]],3,FALSE),"")</f>
        <v>BEACH PARK OHANA EMP</v>
      </c>
      <c r="H1094" s="51">
        <v>3301091242</v>
      </c>
      <c r="I1094" s="28" t="str">
        <f>IFERROR(VLOOKUP(TAB_OFICINAS[[#This Row],[Codigo Produto ]],_000___PEDIDOS_DE_CLIENTES[[Data.Column2]:[Descrição Produto]],2,FALSE)," ")</f>
        <v>ROUPÃO FELPA VELUX BRANCO - TAM. GG - COM LOGO - MODELO KIMONO</v>
      </c>
      <c r="J1094" s="91">
        <v>61</v>
      </c>
      <c r="K1094" s="88">
        <v>46261</v>
      </c>
      <c r="L1094" s="9">
        <v>61</v>
      </c>
      <c r="M1094" s="6">
        <v>46266</v>
      </c>
      <c r="N1094" s="6">
        <v>46266</v>
      </c>
      <c r="O1094" s="23">
        <f>TAB_OFICINAS[[#This Row],[Data Retorno Produção]]-TAB_OFICINAS[[#This Row],[Data Prometida  Entrega]]</f>
        <v>0</v>
      </c>
      <c r="P1094" s="98" t="str">
        <f>IF(TAB_OFICINAS[[#This Row],[Dias Para Entrega]]&lt;=0,"Em dia","Dia de Atrasado")</f>
        <v>Em dia</v>
      </c>
      <c r="Q1094" s="24">
        <f>IFERROR(TAB_OFICINAS[[#This Row],[Qtd pçs Enviadas]]-TAB_OFICINAS[[#This Row],[Qtd pçs Retornadas ]],"N/D ")</f>
        <v>0</v>
      </c>
      <c r="R1094" s="24"/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256.2</v>
      </c>
      <c r="W1094" s="26">
        <v>46273</v>
      </c>
      <c r="X1094" s="17" t="s">
        <v>6251</v>
      </c>
      <c r="Y1094" s="27" t="s">
        <v>24591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customHeight="1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Row],[Cliente]],LISTA_DE_CLIENTES[[Código]:[Nome Fantasia]],2,FALSE),"")</f>
        <v>BEACH PARK HOTEIS E TURISMO S/A</v>
      </c>
      <c r="G1095" s="2" t="str">
        <f>IFERROR(VLOOKUP(TAB_OFICINAS[[#This Row],[Cliente]],LISTA_DE_CLIENTES[[Código]:[Nome Fantasia]],3,FALSE),"")</f>
        <v>BEACH PARK OHANA EMP</v>
      </c>
      <c r="H1095" s="51">
        <v>3301091213</v>
      </c>
      <c r="I1095" s="28" t="str">
        <f>IFERROR(VLOOKUP(TAB_OFICINAS[[#This Row],[Codigo Produto ]],_000___PEDIDOS_DE_CLIENTES[[Data.Column2]:[Descrição Produto]],2,FALSE)," ")</f>
        <v>ROUPÃO FELPA VELUX BRANCO G COM LOGO -MODELO KIMONO</v>
      </c>
      <c r="J1095" s="91">
        <v>121</v>
      </c>
      <c r="K1095" s="88">
        <v>46261</v>
      </c>
      <c r="L1095" s="9">
        <v>121</v>
      </c>
      <c r="M1095" s="6">
        <v>46266</v>
      </c>
      <c r="N1095" s="6">
        <v>46267</v>
      </c>
      <c r="O1095" s="23">
        <f>TAB_OFICINAS[[#This Row],[Data Retorno Produção]]-TAB_OFICINAS[[#This Row],[Data Prometida  Entrega]]</f>
        <v>1</v>
      </c>
      <c r="P1095" s="98" t="str">
        <f>IF(TAB_OFICINAS[[#This Row],[Dias Para Entrega]]&lt;=0,"Em dia","Dia de Atrasado")</f>
        <v>Dia de Atrasado</v>
      </c>
      <c r="Q1095" s="24">
        <f>IFERROR(TAB_OFICINAS[[#This Row],[Qtd pçs Enviadas]]-TAB_OFICINAS[[#This Row],[Qtd pçs Retornadas ]],"N/D ")</f>
        <v>0</v>
      </c>
      <c r="R1095" s="24">
        <v>2</v>
      </c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508.20000000000005</v>
      </c>
      <c r="W1095" s="26">
        <v>46273</v>
      </c>
      <c r="X1095" s="17" t="s">
        <v>6251</v>
      </c>
      <c r="Y1095" s="27" t="s">
        <v>24591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customHeight="1">
      <c r="C1096" s="28" t="s">
        <v>15</v>
      </c>
      <c r="D1096" s="5">
        <v>4652</v>
      </c>
      <c r="E1096" s="5">
        <v>23900</v>
      </c>
      <c r="F1096" s="28" t="str">
        <f>IFERROR(VLOOKUP(TAB_OFICINAS[[#This Row],[Cliente]],LISTA_DE_CLIENTES[[Código]:[Nome Fantasia]],2,FALSE),"")</f>
        <v>BEACH PARK HOTEIS E TURISMO S/A</v>
      </c>
      <c r="G1096" s="2" t="str">
        <f>IFERROR(VLOOKUP(TAB_OFICINAS[[#This Row],[Cliente]],LISTA_DE_CLIENTES[[Código]:[Nome Fantasia]],3,FALSE),"")</f>
        <v>BEACH PARK OHANA EMP</v>
      </c>
      <c r="H1096" s="51">
        <v>3301091211</v>
      </c>
      <c r="I1096" s="28" t="str">
        <f>IFERROR(VLOOKUP(TAB_OFICINAS[[#This Row],[Codigo Produto ]],_000___PEDIDOS_DE_CLIENTES[[Data.Column2]:[Descrição Produto]],2,FALSE)," ")</f>
        <v>ROUPÃO FELPA VELUX BRANCO M COM LOGO -MODELO KIMONO</v>
      </c>
      <c r="J1096" s="91">
        <v>61</v>
      </c>
      <c r="K1096" s="88">
        <v>46261</v>
      </c>
      <c r="L1096" s="9">
        <v>61</v>
      </c>
      <c r="M1096" s="6">
        <v>46266</v>
      </c>
      <c r="N1096" s="6">
        <v>46266</v>
      </c>
      <c r="O1096" s="23">
        <f>TAB_OFICINAS[[#This Row],[Data Retorno Produção]]-TAB_OFICINAS[[#This Row],[Data Prometida  Entrega]]</f>
        <v>0</v>
      </c>
      <c r="P1096" s="98" t="str">
        <f>IF(TAB_OFICINAS[[#This Row],[Dias Para Entrega]]&lt;=0,"Em dia","Dia de Atrasado")</f>
        <v>Em dia</v>
      </c>
      <c r="Q1096" s="24">
        <f>IFERROR(TAB_OFICINAS[[#This Row],[Qtd pçs Enviadas]]-TAB_OFICINAS[[#This Row],[Qtd pçs Retornadas ]],"N/D ")</f>
        <v>0</v>
      </c>
      <c r="R1096" s="24"/>
      <c r="S1096" s="5">
        <v>3390</v>
      </c>
      <c r="T1096" s="5">
        <v>17576</v>
      </c>
      <c r="U1096" s="11">
        <v>4.2</v>
      </c>
      <c r="V1096" s="25">
        <f>IFERROR(TAB_OFICINAS[[#This Row],[Valor Unit]]*TAB_OFICINAS[[#This Row],[Qtd pçs Enviadas]]," ")</f>
        <v>256.2</v>
      </c>
      <c r="W1096" s="26">
        <v>46273</v>
      </c>
      <c r="X1096" s="17" t="s">
        <v>6251</v>
      </c>
      <c r="Y1096" s="27" t="s">
        <v>24591</v>
      </c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customHeight="1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Row],[Cliente]],LISTA_DE_CLIENTES[[Código]:[Nome Fantasia]],2,FALSE),"")</f>
        <v>MEIRA LINS HOTEIS LTDA</v>
      </c>
      <c r="G1097" s="2" t="str">
        <f>IFERROR(VLOOKUP(TAB_OFICINAS[[#This Row],[Cliente]],LISTA_DE_CLIENTES[[Código]:[Nome Fantasia]],3,FALSE),"")</f>
        <v>NANNAI RESORT &amp; SPA</v>
      </c>
      <c r="H1097" s="51">
        <v>3302119211</v>
      </c>
      <c r="I1097" s="28" t="str">
        <f>IFERROR(VLOOKUP(TAB_OFICINAS[[#This Row],[Codigo Produto ]],_000___PEDIDOS_DE_CLIENTES[[Data.Column2]:[Descrição Produto]],2,FALSE),"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t="shared" ca="1" si="4"/>
        <v>46283</v>
      </c>
      <c r="O1097" s="23">
        <f ca="1">TAB_OFICINAS[[#This Row],[Data Retorno Produção]]-TAB_OFICINAS[[#This Row],[Data Prometida  Entrega]]</f>
        <v>11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46293</v>
      </c>
      <c r="X1097" s="17" t="s">
        <v>6251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customHeight="1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Row],[Cliente]],LISTA_DE_CLIENTES[[Código]:[Nome Fantasia]],2,FALSE),"")</f>
        <v>MEIRA LINS HOTEIS LTDA</v>
      </c>
      <c r="G1098" s="2" t="str">
        <f>IFERROR(VLOOKUP(TAB_OFICINAS[[#This Row],[Cliente]],LISTA_DE_CLIENTES[[Código]:[Nome Fantasia]],3,FALSE),"")</f>
        <v>NANNAI RESORT &amp; SPA</v>
      </c>
      <c r="H1098" s="51">
        <v>3302128548</v>
      </c>
      <c r="I1098" s="28" t="str">
        <f>IFERROR(VLOOKUP(TAB_OFICINAS[[#This Row],[Codigo Produto ]],_000___PEDIDOS_DE_CLIENTES[[Data.Column2]:[Descrição Produto]],2,FALSE),"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t="shared" ca="1" si="4"/>
        <v>46283</v>
      </c>
      <c r="O1098" s="23">
        <f ca="1">TAB_OFICINAS[[#This Row],[Data Retorno Produção]]-TAB_OFICINAS[[#This Row],[Data Prometida  Entrega]]</f>
        <v>11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46293</v>
      </c>
      <c r="X1098" s="17" t="s">
        <v>6251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customHeight="1">
      <c r="C1099" s="28" t="s">
        <v>3</v>
      </c>
      <c r="D1099" s="5">
        <v>1942</v>
      </c>
      <c r="E1099" s="5">
        <v>24067</v>
      </c>
      <c r="F1099" s="28" t="str">
        <f>IFERROR(VLOOKUP(TAB_OFICINAS[[#This Row],[Cliente]],LISTA_DE_CLIENTES[[Código]:[Nome Fantasia]],2,FALSE),"")</f>
        <v>ONCO STAR SP ONCOLOGIA LTDA (REDE D´OR)</v>
      </c>
      <c r="G1099" s="2" t="str">
        <f>IFERROR(VLOOKUP(TAB_OFICINAS[[#This Row],[Cliente]],LISTA_DE_CLIENTES[[Código]:[Nome Fantasia]],3,FALSE),"")</f>
        <v>R DOR VILA NOVA STAR</v>
      </c>
      <c r="H1099" s="51">
        <v>2103062485</v>
      </c>
      <c r="I1099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99" s="91">
        <v>200</v>
      </c>
      <c r="K1099" s="88">
        <v>46261</v>
      </c>
      <c r="L1099" s="9">
        <v>200</v>
      </c>
      <c r="M1099" s="6">
        <v>46272</v>
      </c>
      <c r="N1099" s="6">
        <f t="shared" ca="1" si="4"/>
        <v>46283</v>
      </c>
      <c r="O1099" s="23">
        <f ca="1">TAB_OFICINAS[[#This Row],[Data Retorno Produção]]-TAB_OFICINAS[[#This Row],[Data Prometida  Entrega]]</f>
        <v>11</v>
      </c>
      <c r="P1099" s="98" t="str">
        <f ca="1">IF(TAB_OFICINAS[[#This Row],[Dias Para Entrega]]&lt;=0,"Em dia","Dia de Atrasado")</f>
        <v>Dia de Atrasado</v>
      </c>
      <c r="Q1099" s="24">
        <f>IFERROR(TAB_OFICINAS[[#This Row],[Qtd pçs Enviadas]]-TAB_OFICINAS[[#This Row],[Qtd pçs Retornadas ]],"N/D ")</f>
        <v>0</v>
      </c>
      <c r="R1099" s="24"/>
      <c r="S1099" s="5">
        <v>3388</v>
      </c>
      <c r="T1099" s="5">
        <v>130</v>
      </c>
      <c r="U1099" s="11">
        <v>5.15</v>
      </c>
      <c r="V1099" s="25">
        <f>IFERROR(TAB_OFICINAS[[#This Row],[Valor Unit]]*TAB_OFICINAS[[#This Row],[Qtd pçs Enviadas]]," ")</f>
        <v>1030</v>
      </c>
      <c r="W1099" s="26">
        <f ca="1">TAB_OFICINAS[[#This Row],[Data Retorno Produção]]+10</f>
        <v>46293</v>
      </c>
      <c r="X1099" s="17" t="s">
        <v>6251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3:26" ht="14.25" customHeight="1">
      <c r="C1100" s="28" t="s">
        <v>1</v>
      </c>
      <c r="D1100" s="5">
        <v>526</v>
      </c>
      <c r="E1100" s="5">
        <v>24304</v>
      </c>
      <c r="F1100" s="28" t="str">
        <f>IFERROR(VLOOKUP(TAB_OFICINAS[[#This Row],[Cliente]],LISTA_DE_CLIENTES[[Código]:[Nome Fantasia]],2,FALSE),"")</f>
        <v>ATMOSFERA GESTAO E HIGIENIZACAO DE TEXTEIS S.A.</v>
      </c>
      <c r="G1100" s="2" t="str">
        <f>IFERROR(VLOOKUP(TAB_OFICINAS[[#This Row],[Cliente]],LISTA_DE_CLIENTES[[Código]:[Nome Fantasia]],3,FALSE),"")</f>
        <v>ATMOSFERA ST BARBARA</v>
      </c>
      <c r="H1100" s="51">
        <v>92115472176</v>
      </c>
      <c r="I1100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100" s="91">
        <v>272</v>
      </c>
      <c r="K1100" s="88">
        <v>46262</v>
      </c>
      <c r="M1100" s="6">
        <v>46293</v>
      </c>
      <c r="N1100" s="6">
        <f t="shared" ca="1" si="4"/>
        <v>46283</v>
      </c>
      <c r="O1100" s="23">
        <f ca="1">TAB_OFICINAS[[#This Row],[Data Retorno Produção]]-TAB_OFICINAS[[#This Row],[Data Prometida  Entrega]]</f>
        <v>-10</v>
      </c>
      <c r="P1100" s="98" t="str">
        <f ca="1"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272</v>
      </c>
      <c r="R1100" s="24"/>
      <c r="S1100" s="5">
        <v>3393</v>
      </c>
      <c r="U1100" s="11">
        <v>16</v>
      </c>
      <c r="V1100" s="25">
        <f>IFERROR(TAB_OFICINAS[[#This Row],[Valor Unit]]*TAB_OFICINAS[[#This Row],[Qtd pçs Enviadas]]," ")</f>
        <v>4352</v>
      </c>
      <c r="W1100" s="26">
        <v>46269</v>
      </c>
      <c r="X1100" s="17" t="s">
        <v>6251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272 Pçs Pendente</v>
      </c>
    </row>
    <row r="1101" spans="3:26" ht="14.25" customHeight="1">
      <c r="C1101" s="28" t="s">
        <v>1</v>
      </c>
      <c r="D1101" s="5">
        <v>526</v>
      </c>
      <c r="E1101" s="5">
        <v>24304</v>
      </c>
      <c r="F1101" s="28" t="str">
        <f>IFERROR(VLOOKUP(TAB_OFICINAS[[#This Row],[Cliente]],LISTA_DE_CLIENTES[[Código]:[Nome Fantasia]],2,FALSE),"")</f>
        <v>ATMOSFERA GESTAO E HIGIENIZACAO DE TEXTEIS S.A.</v>
      </c>
      <c r="G1101" s="2" t="str">
        <f>IFERROR(VLOOKUP(TAB_OFICINAS[[#This Row],[Cliente]],LISTA_DE_CLIENTES[[Código]:[Nome Fantasia]],3,FALSE),"")</f>
        <v>ATMOSFERA ST BARBARA</v>
      </c>
      <c r="H1101" s="51">
        <v>92115170167</v>
      </c>
      <c r="I1101" s="28" t="str">
        <f>IFERROR(VLOOKUP(TAB_OFICINAS[[#This Row],[Codigo Produto ]],_000___PEDIDOS_DE_CLIENTES[[Data.Column2]:[Descrição Produto]],2,FALSE)," ")</f>
        <v>CAPA ( DUVET ) - 230F MISTO C/ FESTONÊ "T" LINHA PRATA - PONTAS ARREDONDADAS - 2,05 X 2,55</v>
      </c>
      <c r="J1101" s="91">
        <v>8</v>
      </c>
      <c r="K1101" s="88">
        <v>46262</v>
      </c>
      <c r="M1101" s="6">
        <v>46293</v>
      </c>
      <c r="N1101" s="6">
        <f t="shared" ca="1" si="4"/>
        <v>46283</v>
      </c>
      <c r="O1101" s="23">
        <f ca="1">TAB_OFICINAS[[#This Row],[Data Retorno Produção]]-TAB_OFICINAS[[#This Row],[Data Prometida  Entrega]]</f>
        <v>-10</v>
      </c>
      <c r="P1101" s="98" t="str">
        <f ca="1"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8</v>
      </c>
      <c r="R1101" s="24"/>
      <c r="S1101" s="5">
        <v>3393</v>
      </c>
      <c r="U1101" s="11">
        <v>15</v>
      </c>
      <c r="V1101" s="25">
        <f>IFERROR(TAB_OFICINAS[[#This Row],[Valor Unit]]*TAB_OFICINAS[[#This Row],[Qtd pçs Enviadas]]," ")</f>
        <v>120</v>
      </c>
      <c r="W1101" s="26"/>
      <c r="X1101" s="17" t="s">
        <v>6251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102" spans="3:26" ht="14.25" customHeight="1">
      <c r="C1102" s="28" t="s">
        <v>1</v>
      </c>
      <c r="D1102" s="5">
        <v>526</v>
      </c>
      <c r="E1102" s="5">
        <v>24304</v>
      </c>
      <c r="F1102" s="28" t="str">
        <f>IFERROR(VLOOKUP(TAB_OFICINAS[[#This Row],[Cliente]],LISTA_DE_CLIENTES[[Código]:[Nome Fantasia]],2,FALSE),"")</f>
        <v>ATMOSFERA GESTAO E HIGIENIZACAO DE TEXTEIS S.A.</v>
      </c>
      <c r="G1102" s="2" t="str">
        <f>IFERROR(VLOOKUP(TAB_OFICINAS[[#This Row],[Cliente]],LISTA_DE_CLIENTES[[Código]:[Nome Fantasia]],3,FALSE),"")</f>
        <v>ATMOSFERA ST BARBARA</v>
      </c>
      <c r="H1102" s="51">
        <v>92101040169</v>
      </c>
      <c r="I1102" s="28" t="str">
        <f>IFERROR(VLOOKUP(TAB_OFICINAS[[#This Row],[Codigo Produto ]],_000___PEDIDOS_DE_CLIENTES[[Data.Column2]:[Descrição Produto]],2,FALSE)," ")</f>
        <v>LENÇOL BARRA ESTREITA 4 LADOS - 230F MISTO LISO - 2,35 X 3,15 - LINHA PRATA</v>
      </c>
      <c r="J1102" s="91">
        <v>38</v>
      </c>
      <c r="K1102" s="88">
        <v>46262</v>
      </c>
      <c r="M1102" s="6">
        <v>46293</v>
      </c>
      <c r="N1102" s="6">
        <f t="shared" ca="1" si="4"/>
        <v>46283</v>
      </c>
      <c r="O1102" s="23">
        <f ca="1">TAB_OFICINAS[[#This Row],[Data Retorno Produção]]-TAB_OFICINAS[[#This Row],[Data Prometida  Entrega]]</f>
        <v>-10</v>
      </c>
      <c r="P1102" s="98" t="str">
        <f ca="1"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38</v>
      </c>
      <c r="R1102" s="24"/>
      <c r="S1102" s="5">
        <v>3393</v>
      </c>
      <c r="U1102" s="11">
        <v>7.5</v>
      </c>
      <c r="V1102" s="25">
        <f>IFERROR(TAB_OFICINAS[[#This Row],[Valor Unit]]*TAB_OFICINAS[[#This Row],[Qtd pçs Enviadas]]," ")</f>
        <v>285</v>
      </c>
      <c r="W1102" s="26"/>
      <c r="X1102" s="17" t="s">
        <v>6251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38 Pçs Pendente</v>
      </c>
    </row>
    <row r="1103" spans="3:26" ht="14.25" customHeight="1">
      <c r="C1103" s="28" t="s">
        <v>1</v>
      </c>
      <c r="D1103" s="5">
        <v>526</v>
      </c>
      <c r="E1103" s="5">
        <v>24304</v>
      </c>
      <c r="F1103" s="28" t="str">
        <f>IFERROR(VLOOKUP(TAB_OFICINAS[[#This Row],[Cliente]],LISTA_DE_CLIENTES[[Código]:[Nome Fantasia]],2,FALSE),"")</f>
        <v>ATMOSFERA GESTAO E HIGIENIZACAO DE TEXTEIS S.A.</v>
      </c>
      <c r="G1103" s="2" t="str">
        <f>IFERROR(VLOOKUP(TAB_OFICINAS[[#This Row],[Cliente]],LISTA_DE_CLIENTES[[Código]:[Nome Fantasia]],3,FALSE),"")</f>
        <v>ATMOSFERA ST BARBARA</v>
      </c>
      <c r="H1103" s="51">
        <v>92102156030</v>
      </c>
      <c r="I1103" s="28" t="str">
        <f>IFERROR(VLOOKUP(TAB_OFICINAS[[#This Row],[Codigo Produto ]],_000___PEDIDOS_DE_CLIENTES[[Data.Column2]:[Descrição Produto]],2,FALSE)," ")</f>
        <v>LENÇOL CIMA - 230F MISTO C/ FESTONÊ " T " COR PERSA 07064 - C/ LINHA DE IDENTIFICAÇÃO COR PRATA - 2,00 X 2,75</v>
      </c>
      <c r="J1103" s="91">
        <v>22</v>
      </c>
      <c r="K1103" s="88">
        <v>46262</v>
      </c>
      <c r="M1103" s="6">
        <v>46293</v>
      </c>
      <c r="N1103" s="6">
        <f t="shared" ca="1" si="4"/>
        <v>46283</v>
      </c>
      <c r="O1103" s="23">
        <f ca="1">TAB_OFICINAS[[#This Row],[Data Retorno Produção]]-TAB_OFICINAS[[#This Row],[Data Prometida  Entrega]]</f>
        <v>-10</v>
      </c>
      <c r="P1103" s="98" t="str">
        <f ca="1">IF(TAB_OFICINAS[[#This Row],[Dias Para Entrega]]&lt;=0,"Em dia","Dia de Atrasado")</f>
        <v>Em dia</v>
      </c>
      <c r="Q1103" s="24">
        <f>IFERROR(TAB_OFICINAS[[#This Row],[Qtd pçs Enviadas]]-TAB_OFICINAS[[#This Row],[Qtd pçs Retornadas ]],"N/D ")</f>
        <v>22</v>
      </c>
      <c r="R1103" s="24"/>
      <c r="S1103" s="5">
        <v>3393</v>
      </c>
      <c r="U1103" s="11">
        <v>10.3</v>
      </c>
      <c r="V1103" s="25">
        <f>IFERROR(TAB_OFICINAS[[#This Row],[Valor Unit]]*TAB_OFICINAS[[#This Row],[Qtd pçs Enviadas]]," ")</f>
        <v>226.60000000000002</v>
      </c>
      <c r="W1103" s="26"/>
      <c r="X1103" s="17" t="s">
        <v>6251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22 Pçs Pendente</v>
      </c>
    </row>
    <row r="1104" spans="3:26">
      <c r="C1104" s="28" t="s">
        <v>21273</v>
      </c>
      <c r="D1104" s="5">
        <v>1942</v>
      </c>
      <c r="E1104" s="5">
        <v>24067</v>
      </c>
      <c r="F1104" s="28" t="str">
        <f>IFERROR(VLOOKUP(TAB_OFICINAS[[#This Row],[Cliente]],LISTA_DE_CLIENTES[[Código]:[Nome Fantasia]],2,FALSE),"")</f>
        <v>ONCO STAR SP ONCOLOGIA LTDA (REDE D´OR)</v>
      </c>
      <c r="G1104" s="2" t="str">
        <f>IFERROR(VLOOKUP(TAB_OFICINAS[[#This Row],[Cliente]],LISTA_DE_CLIENTES[[Código]:[Nome Fantasia]],3,FALSE),"")</f>
        <v>R DOR VILA NOVA STAR</v>
      </c>
      <c r="H1104" s="51">
        <v>2103062485</v>
      </c>
      <c r="I110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104" s="91">
        <v>248</v>
      </c>
      <c r="K1104" s="88">
        <v>46265</v>
      </c>
      <c r="L1104" s="9">
        <v>248</v>
      </c>
      <c r="M1104" s="6">
        <v>46269</v>
      </c>
      <c r="N1104" s="6">
        <v>46272</v>
      </c>
      <c r="O1104" s="23">
        <f>TAB_OFICINAS[[#This Row],[Data Retorno Produção]]-TAB_OFICINAS[[#This Row],[Data Prometida  Entrega]]</f>
        <v>3</v>
      </c>
      <c r="P1104" s="98" t="str">
        <f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10001</v>
      </c>
      <c r="T1104" s="5" t="s">
        <v>25010</v>
      </c>
      <c r="U1104" s="11">
        <v>5.15</v>
      </c>
      <c r="V1104" s="25">
        <f>IFERROR(TAB_OFICINAS[[#This Row],[Valor Unit]]*TAB_OFICINAS[[#This Row],[Qtd pçs Enviadas]]," ")</f>
        <v>1277.2</v>
      </c>
      <c r="W1104" s="26">
        <f>TAB_OFICINAS[[#This Row],[Data Retorno Produção]]+10</f>
        <v>46282</v>
      </c>
      <c r="X1104" s="17" t="s">
        <v>6251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14.25" customHeight="1">
      <c r="C1105" s="28" t="s">
        <v>16</v>
      </c>
      <c r="D1105" s="5">
        <v>1942</v>
      </c>
      <c r="E1105" s="5">
        <v>24067</v>
      </c>
      <c r="F1105" s="28" t="str">
        <f>IFERROR(VLOOKUP(TAB_OFICINAS[[#This Row],[Cliente]],LISTA_DE_CLIENTES[[Código]:[Nome Fantasia]],2,FALSE),"")</f>
        <v>ONCO STAR SP ONCOLOGIA LTDA (REDE D´OR)</v>
      </c>
      <c r="G1105" s="2" t="str">
        <f>IFERROR(VLOOKUP(TAB_OFICINAS[[#This Row],[Cliente]],LISTA_DE_CLIENTES[[Código]:[Nome Fantasia]],3,FALSE),"")</f>
        <v>R DOR VILA NOVA STAR</v>
      </c>
      <c r="H1105" s="51">
        <v>2103062485</v>
      </c>
      <c r="I1105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105" s="91">
        <v>250</v>
      </c>
      <c r="K1105" s="88">
        <v>46262</v>
      </c>
      <c r="L1105" s="9">
        <v>250</v>
      </c>
      <c r="M1105" s="6">
        <v>46273</v>
      </c>
      <c r="N1105" s="6">
        <f t="shared" ca="1" si="4"/>
        <v>46283</v>
      </c>
      <c r="O1105" s="23">
        <f ca="1">TAB_OFICINAS[[#This Row],[Data Retorno Produção]]-TAB_OFICINAS[[#This Row],[Data Prometida  Entrega]]</f>
        <v>10</v>
      </c>
      <c r="P1105" s="98" t="str">
        <f ca="1">IF(TAB_OFICINAS[[#This Row],[Dias Para Entrega]]&lt;=0,"Em dia","Dia de Atrasado")</f>
        <v>Dia de Atrasado</v>
      </c>
      <c r="Q1105" s="24">
        <f>IFERROR(TAB_OFICINAS[[#This Row],[Qtd pçs Enviadas]]-TAB_OFICINAS[[#This Row],[Qtd pçs Retornadas ]],"N/D ")</f>
        <v>0</v>
      </c>
      <c r="R1105" s="24"/>
      <c r="S1105" s="5">
        <v>999</v>
      </c>
      <c r="T1105" s="5">
        <v>64</v>
      </c>
      <c r="U1105" s="11">
        <v>5.15</v>
      </c>
      <c r="V1105" s="25">
        <f>IFERROR(TAB_OFICINAS[[#This Row],[Valor Unit]]*TAB_OFICINAS[[#This Row],[Qtd pçs Enviadas]]," ")</f>
        <v>1287.5</v>
      </c>
      <c r="W1105" s="26">
        <v>46269</v>
      </c>
      <c r="X1105" s="17" t="s">
        <v>6251</v>
      </c>
      <c r="Y1105" s="27"/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71.25" customHeight="1">
      <c r="C1106" s="28" t="s">
        <v>19</v>
      </c>
      <c r="D1106" s="5">
        <v>5069</v>
      </c>
      <c r="E1106" s="5">
        <v>24232</v>
      </c>
      <c r="F1106" s="28" t="str">
        <f>IFERROR(VLOOKUP(TAB_OFICINAS[[#This Row],[Cliente]],LISTA_DE_CLIENTES[[Código]:[Nome Fantasia]],2,FALSE),"")</f>
        <v>DIAGNOSTICOS DA AMERICA S.A .</v>
      </c>
      <c r="G1106" s="2" t="str">
        <f>IFERROR(VLOOKUP(TAB_OFICINAS[[#This Row],[Cliente]],LISTA_DE_CLIENTES[[Código]:[Nome Fantasia]],3,FALSE),"")</f>
        <v>DASA BELA VISTA</v>
      </c>
      <c r="H1106" s="51">
        <v>3301092628</v>
      </c>
      <c r="I1106" s="28" t="str">
        <f>IFERROR(VLOOKUP(TAB_OFICINAS[[#This Row],[Codigo Produto ]],_000___PEDIDOS_DE_CLIENTES[[Data.Column2]:[Descrição Produto]],2,FALSE)," ")</f>
        <v>ROUPÃO PIQUET FAVORINO COM VIVO 100%ALG TAM EXG</v>
      </c>
      <c r="J1106" s="91">
        <v>20</v>
      </c>
      <c r="K1106" s="88">
        <v>46265</v>
      </c>
      <c r="L1106" s="9">
        <v>20</v>
      </c>
      <c r="M1106" s="6">
        <v>46273</v>
      </c>
      <c r="N1106" s="6">
        <v>46268</v>
      </c>
      <c r="O1106" s="23">
        <f>TAB_OFICINAS[[#This Row],[Data Retorno Produção]]-TAB_OFICINAS[[#This Row],[Data Prometida  Entrega]]</f>
        <v>-5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2</v>
      </c>
      <c r="S1106" s="5">
        <v>997</v>
      </c>
      <c r="T1106" s="5">
        <v>60</v>
      </c>
      <c r="U1106" s="11">
        <v>16</v>
      </c>
      <c r="V1106" s="25">
        <f>IFERROR(TAB_OFICINAS[[#This Row],[Valor Unit]]*TAB_OFICINAS[[#This Row],[Qtd pçs Enviadas]]," ")</f>
        <v>320</v>
      </c>
      <c r="W1106" s="26">
        <v>46279</v>
      </c>
      <c r="X1106" s="17" t="s">
        <v>6251</v>
      </c>
      <c r="Y1106" s="27" t="s">
        <v>24850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85.5" customHeight="1">
      <c r="C1107" s="28" t="s">
        <v>15</v>
      </c>
      <c r="D1107" s="5">
        <v>3660</v>
      </c>
      <c r="E1107" s="5">
        <v>23695</v>
      </c>
      <c r="F1107" s="28" t="str">
        <f>IFERROR(VLOOKUP(TAB_OFICINAS[[#This Row],[Cliente]],LISTA_DE_CLIENTES[[Código]:[Nome Fantasia]],2,FALSE),"")</f>
        <v>HOSPITAL ESPERANCA SA</v>
      </c>
      <c r="G1107" s="2" t="str">
        <f>IFERROR(VLOOKUP(TAB_OFICINAS[[#This Row],[Cliente]],LISTA_DE_CLIENTES[[Código]:[Nome Fantasia]],3,FALSE),"")</f>
        <v>HOSPITAL ALIANÇA</v>
      </c>
      <c r="H1107" s="51">
        <v>2101067951</v>
      </c>
      <c r="I110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107" s="91">
        <v>110</v>
      </c>
      <c r="K1107" s="88">
        <v>46265</v>
      </c>
      <c r="L1107" s="9">
        <v>110</v>
      </c>
      <c r="M1107" s="6">
        <v>46266</v>
      </c>
      <c r="N1107" s="6">
        <v>46266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>
        <v>8</v>
      </c>
      <c r="S1107" s="5">
        <v>1000</v>
      </c>
      <c r="T1107" s="5">
        <v>17577</v>
      </c>
      <c r="U1107" s="11">
        <v>3.85</v>
      </c>
      <c r="V1107" s="25">
        <f>IFERROR(TAB_OFICINAS[[#This Row],[Valor Unit]]*TAB_OFICINAS[[#This Row],[Qtd pçs Enviadas]]," ")</f>
        <v>423.5</v>
      </c>
      <c r="W1107" s="26">
        <v>46273</v>
      </c>
      <c r="X1107" s="17" t="s">
        <v>6251</v>
      </c>
      <c r="Y1107" s="27" t="s">
        <v>24849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customHeight="1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Row],[Cliente]],LISTA_DE_CLIENTES[[Código]:[Nome Fantasia]],2,FALSE),"")</f>
        <v>COMPANHIA HOTEIS PALACE</v>
      </c>
      <c r="G1108" s="2" t="str">
        <f>IFERROR(VLOOKUP(TAB_OFICINAS[[#This Row],[Cliente]],LISTA_DE_CLIENTES[[Código]:[Nome Fantasia]],3,FALSE),"")</f>
        <v>COPACABANA PALACE</v>
      </c>
      <c r="H1108" s="51" t="s">
        <v>24829</v>
      </c>
      <c r="I1108" s="28" t="s">
        <v>24830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6251</v>
      </c>
      <c r="Y1108" s="27" t="s">
        <v>24833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customHeight="1">
      <c r="C1109" s="28" t="s">
        <v>15</v>
      </c>
      <c r="D1109" s="5">
        <v>4</v>
      </c>
      <c r="E1109" s="5">
        <v>24278</v>
      </c>
      <c r="F1109" s="28" t="str">
        <f>IFERROR(VLOOKUP(TAB_OFICINAS[[#This Row],[Cliente]],LISTA_DE_CLIENTES[[Código]:[Nome Fantasia]],2,FALSE),"")</f>
        <v>COMPANHIA HOTEIS PALACE</v>
      </c>
      <c r="G1109" s="2" t="str">
        <f>IFERROR(VLOOKUP(TAB_OFICINAS[[#This Row],[Cliente]],LISTA_DE_CLIENTES[[Código]:[Nome Fantasia]],3,FALSE),"")</f>
        <v>COPACABANA PALACE</v>
      </c>
      <c r="H1109" s="51" t="s">
        <v>24831</v>
      </c>
      <c r="I1109" s="28" t="s">
        <v>24832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6251</v>
      </c>
      <c r="Y1109" s="27" t="s">
        <v>24833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customHeight="1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Row],[Cliente]],LISTA_DE_CLIENTES[[Código]:[Nome Fantasia]],2,FALSE),"")</f>
        <v>GABRIELA TREVENZOLLI FORTES</v>
      </c>
      <c r="G1110" s="2" t="str">
        <f>IFERROR(VLOOKUP(TAB_OFICINAS[[#This Row],[Cliente]],LISTA_DE_CLIENTES[[Código]:[Nome Fantasia]],3,FALSE),"")</f>
        <v>GABRIELA TREVENZOLLI</v>
      </c>
      <c r="H1110" s="51" t="s">
        <v>24096</v>
      </c>
      <c r="I1110" s="28" t="s">
        <v>24834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6251</v>
      </c>
      <c r="Y1110" s="27" t="s">
        <v>24836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customHeight="1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Row],[Cliente]],LISTA_DE_CLIENTES[[Código]:[Nome Fantasia]],2,FALSE),"")</f>
        <v>GABRIELA TREVENZOLLI FORTES</v>
      </c>
      <c r="G1111" s="2" t="str">
        <f>IFERROR(VLOOKUP(TAB_OFICINAS[[#This Row],[Cliente]],LISTA_DE_CLIENTES[[Código]:[Nome Fantasia]],3,FALSE),"")</f>
        <v>GABRIELA TREVENZOLLI</v>
      </c>
      <c r="H1111" s="51" t="s">
        <v>24096</v>
      </c>
      <c r="I1111" s="28" t="s">
        <v>24835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24</v>
      </c>
      <c r="W1111" s="26">
        <v>46276</v>
      </c>
      <c r="X1111" s="17" t="s">
        <v>6251</v>
      </c>
      <c r="Y1111" s="27" t="s">
        <v>24836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customHeight="1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Row],[Cliente]],LISTA_DE_CLIENTES[[Código]:[Nome Fantasia]],2,FALSE),"")</f>
        <v>GABRIELA TREVENZOLLI FORTES</v>
      </c>
      <c r="G1112" s="2" t="str">
        <f>IFERROR(VLOOKUP(TAB_OFICINAS[[#This Row],[Cliente]],LISTA_DE_CLIENTES[[Código]:[Nome Fantasia]],3,FALSE),"")</f>
        <v>GABRIELA TREVENZOLLI</v>
      </c>
      <c r="H1112" s="51">
        <v>3105015332</v>
      </c>
      <c r="I1112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6251</v>
      </c>
      <c r="Y1112" s="27" t="s">
        <v>24836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customHeight="1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Row],[Cliente]],LISTA_DE_CLIENTES[[Código]:[Nome Fantasia]],2,FALSE),"")</f>
        <v>GABRIELA TREVENZOLLI FORTES</v>
      </c>
      <c r="G1113" s="2" t="str">
        <f>IFERROR(VLOOKUP(TAB_OFICINAS[[#This Row],[Cliente]],LISTA_DE_CLIENTES[[Código]:[Nome Fantasia]],3,FALSE),"")</f>
        <v>GABRIELA TREVENZOLLI</v>
      </c>
      <c r="H1113" s="51">
        <v>3105015333</v>
      </c>
      <c r="I1113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113" s="91">
        <v>1</v>
      </c>
      <c r="K1113" s="88">
        <v>46266</v>
      </c>
      <c r="L1113" s="9">
        <v>1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12</v>
      </c>
      <c r="W1113" s="26">
        <v>46276</v>
      </c>
      <c r="X1113" s="17" t="s">
        <v>6251</v>
      </c>
      <c r="Y1113" s="27" t="s">
        <v>24836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customHeight="1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Row],[Cliente]],LISTA_DE_CLIENTES[[Código]:[Nome Fantasia]],2,FALSE),"")</f>
        <v>GABRIELA TREVENZOLLI FORTES</v>
      </c>
      <c r="G1114" s="2" t="str">
        <f>IFERROR(VLOOKUP(TAB_OFICINAS[[#This Row],[Cliente]],LISTA_DE_CLIENTES[[Código]:[Nome Fantasia]],3,FALSE),"")</f>
        <v>GABRIELA TREVENZOLLI</v>
      </c>
      <c r="H1114" s="51" t="s">
        <v>24096</v>
      </c>
      <c r="I1114" s="28" t="s">
        <v>24538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6251</v>
      </c>
      <c r="Y1114" s="27" t="s">
        <v>24836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customHeight="1">
      <c r="C1115" s="28" t="s">
        <v>15</v>
      </c>
      <c r="D1115" s="5">
        <v>5687</v>
      </c>
      <c r="E1115" s="5">
        <v>24161</v>
      </c>
      <c r="F1115" s="28" t="str">
        <f>IFERROR(VLOOKUP(TAB_OFICINAS[[#This Row],[Cliente]],LISTA_DE_CLIENTES[[Código]:[Nome Fantasia]],2,FALSE),"")</f>
        <v>GABRIELA TREVENZOLLI FORTES</v>
      </c>
      <c r="G1115" s="2" t="str">
        <f>IFERROR(VLOOKUP(TAB_OFICINAS[[#This Row],[Cliente]],LISTA_DE_CLIENTES[[Código]:[Nome Fantasia]],3,FALSE),"")</f>
        <v>GABRIELA TREVENZOLLI</v>
      </c>
      <c r="H1115" s="51" t="s">
        <v>24096</v>
      </c>
      <c r="I1115" s="28" t="s">
        <v>24837</v>
      </c>
      <c r="J1115" s="91">
        <v>2</v>
      </c>
      <c r="K1115" s="88">
        <v>46266</v>
      </c>
      <c r="L1115" s="9">
        <v>2</v>
      </c>
      <c r="M1115" s="6">
        <v>46269</v>
      </c>
      <c r="N1115" s="6">
        <v>46269</v>
      </c>
      <c r="O1115" s="23">
        <f>TAB_OFICINAS[[#This Row],[Data Retorno Produção]]-TAB_OFICINAS[[#This Row],[Data Prometida  Entrega]]</f>
        <v>0</v>
      </c>
      <c r="P1115" s="98" t="str">
        <f>IF(TAB_OFICINAS[[#This Row],[Dias Para Entrega]]&lt;=0,"Em dia","Dia de Atrasado")</f>
        <v>Em dia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1">
        <v>12</v>
      </c>
      <c r="V1115" s="25">
        <f>IFERROR(TAB_OFICINAS[[#This Row],[Valor Unit]]*TAB_OFICINAS[[#This Row],[Qtd pçs Enviadas]]," ")</f>
        <v>24</v>
      </c>
      <c r="W1115" s="26">
        <v>46276</v>
      </c>
      <c r="X1115" s="17" t="s">
        <v>6251</v>
      </c>
      <c r="Y1115" s="27" t="s">
        <v>24836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14.25" customHeight="1">
      <c r="C1116" s="28" t="s">
        <v>15</v>
      </c>
      <c r="D1116" s="5">
        <v>1942</v>
      </c>
      <c r="E1116" s="5">
        <v>24067</v>
      </c>
      <c r="F1116" s="28" t="str">
        <f>IFERROR(VLOOKUP(TAB_OFICINAS[[#This Row],[Cliente]],LISTA_DE_CLIENTES[[Código]:[Nome Fantasia]],2,FALSE),"")</f>
        <v>ONCO STAR SP ONCOLOGIA LTDA (REDE D´OR)</v>
      </c>
      <c r="G1116" s="2" t="str">
        <f>IFERROR(VLOOKUP(TAB_OFICINAS[[#This Row],[Cliente]],LISTA_DE_CLIENTES[[Código]:[Nome Fantasia]],3,FALSE),"")</f>
        <v>R DOR VILA NOVA STAR</v>
      </c>
      <c r="H1116" s="51">
        <v>210112487</v>
      </c>
      <c r="I1116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116" s="91">
        <v>502</v>
      </c>
      <c r="K1116" s="88">
        <v>46266</v>
      </c>
      <c r="M1116" s="6">
        <v>46269</v>
      </c>
      <c r="N1116" s="6">
        <v>46268</v>
      </c>
      <c r="O1116" s="23">
        <f>TAB_OFICINAS[[#This Row],[Data Retorno Produção]]-TAB_OFICINAS[[#This Row],[Data Prometida  Entrega]]</f>
        <v>-1</v>
      </c>
      <c r="P1116" s="98" t="str">
        <f>IF(TAB_OFICINAS[[#This Row],[Dias Para Entrega]]&lt;=0,"Em dia","Dia de Atrasado")</f>
        <v>Em dia</v>
      </c>
      <c r="Q1116" s="24">
        <v>0</v>
      </c>
      <c r="R1116" s="24"/>
      <c r="S1116" s="5">
        <v>3395</v>
      </c>
      <c r="T1116" s="5">
        <v>17581</v>
      </c>
      <c r="U1116" s="11">
        <v>3.85</v>
      </c>
      <c r="V1116" s="25">
        <f>IFERROR(TAB_OFICINAS[[#This Row],[Valor Unit]]*TAB_OFICINAS[[#This Row],[Qtd pçs Enviadas]]," ")</f>
        <v>1932.7</v>
      </c>
      <c r="W1116" s="26">
        <v>46275</v>
      </c>
      <c r="X1116" s="17" t="s">
        <v>6251</v>
      </c>
      <c r="Y1116" s="27" t="s">
        <v>21417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117" spans="3:26" ht="28.5" customHeight="1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Row],[Cliente]],LISTA_DE_CLIENTES[[Código]:[Nome Fantasia]],2,FALSE),"")</f>
        <v>ATMOSFERA GESTAO E HIGIENIZACAO DE TEXTEIS S.A.</v>
      </c>
      <c r="G1117" s="2" t="str">
        <f>IFERROR(VLOOKUP(TAB_OFICINAS[[#This Row],[Cliente]],LISTA_DE_CLIENTES[[Código]:[Nome Fantasia]],3,FALSE),"")</f>
        <v>ATMOSFERA ST BARBARA</v>
      </c>
      <c r="H1117" s="51">
        <v>92115472176</v>
      </c>
      <c r="I1117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117" s="91">
        <v>272</v>
      </c>
      <c r="K1117" s="88">
        <v>46266</v>
      </c>
      <c r="L1117" s="9">
        <v>271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1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4080</v>
      </c>
      <c r="W1117" s="26">
        <v>46282</v>
      </c>
      <c r="X1117" s="17" t="s">
        <v>6251</v>
      </c>
      <c r="Y1117" s="27" t="s">
        <v>25009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18" spans="3:26" ht="14.25" customHeight="1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Row],[Cliente]],LISTA_DE_CLIENTES[[Código]:[Nome Fantasia]],2,FALSE),"")</f>
        <v>ATMOSFERA GESTAO E HIGIENIZACAO DE TEXTEIS S.A.</v>
      </c>
      <c r="G1118" s="2" t="str">
        <f>IFERROR(VLOOKUP(TAB_OFICINAS[[#This Row],[Cliente]],LISTA_DE_CLIENTES[[Código]:[Nome Fantasia]],3,FALSE),"")</f>
        <v>ATMOSFERA ST BARBARA</v>
      </c>
      <c r="H1118" s="51">
        <v>92115170167</v>
      </c>
      <c r="I1118" s="28" t="str">
        <f>IFERROR(VLOOKUP(TAB_OFICINAS[[#This Row],[Codigo Produto ]],_000___PEDIDOS_DE_CLIENTES[[Data.Column2]:[Descrição Produto]],2,FALSE)," ")</f>
        <v>CAPA ( DUVET ) - 230F MISTO C/ FESTONÊ "T" LINHA PRATA - PONTAS ARREDONDADAS - 2,05 X 2,55</v>
      </c>
      <c r="J1118" s="91">
        <v>8</v>
      </c>
      <c r="K1118" s="88">
        <v>46266</v>
      </c>
      <c r="L1118" s="9">
        <v>8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120</v>
      </c>
      <c r="W1118" s="26">
        <v>46282</v>
      </c>
      <c r="X1118" s="17" t="s">
        <v>6251</v>
      </c>
      <c r="Y1118" s="27" t="s">
        <v>25008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customHeight="1">
      <c r="C1119" s="28" t="s">
        <v>15</v>
      </c>
      <c r="D1119" s="5">
        <v>526</v>
      </c>
      <c r="E1119" s="5">
        <v>24304</v>
      </c>
      <c r="F1119" s="28" t="str">
        <f>IFERROR(VLOOKUP(TAB_OFICINAS[[#This Row],[Cliente]],LISTA_DE_CLIENTES[[Código]:[Nome Fantasia]],2,FALSE),"")</f>
        <v>ATMOSFERA GESTAO E HIGIENIZACAO DE TEXTEIS S.A.</v>
      </c>
      <c r="G1119" s="2" t="str">
        <f>IFERROR(VLOOKUP(TAB_OFICINAS[[#This Row],[Cliente]],LISTA_DE_CLIENTES[[Código]:[Nome Fantasia]],3,FALSE),"")</f>
        <v>ATMOSFERA ST BARBARA</v>
      </c>
      <c r="H1119" s="51">
        <v>92102156030</v>
      </c>
      <c r="I1119" s="28" t="str">
        <f>IFERROR(VLOOKUP(TAB_OFICINAS[[#This Row],[Codigo Produto ]],_000___PEDIDOS_DE_CLIENTES[[Data.Column2]:[Descrição Produto]],2,FALSE)," ")</f>
        <v>LENÇOL CIMA - 230F MISTO C/ FESTONÊ " T " COR PERSA 07064 - C/ LINHA DE IDENTIFICAÇÃO COR PRATA - 2,00 X 2,75</v>
      </c>
      <c r="J1119" s="91">
        <v>22</v>
      </c>
      <c r="K1119" s="88">
        <v>46266</v>
      </c>
      <c r="L1119" s="9">
        <v>22</v>
      </c>
      <c r="M1119" s="6">
        <v>46274</v>
      </c>
      <c r="N1119" s="6">
        <v>46275</v>
      </c>
      <c r="O1119" s="23">
        <f>TAB_OFICINAS[[#This Row],[Data Retorno Produção]]-TAB_OFICINAS[[#This Row],[Data Prometida  Entrega]]</f>
        <v>1</v>
      </c>
      <c r="P1119" s="98" t="str">
        <f>IF(TAB_OFICINAS[[#This Row],[Dias Para Entrega]]&lt;=0,"Em dia","Dia de Atrasado")</f>
        <v>Dia de Atrasado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15</v>
      </c>
      <c r="V1119" s="25">
        <f>IFERROR(TAB_OFICINAS[[#This Row],[Valor Unit]]*TAB_OFICINAS[[#This Row],[Qtd pçs Enviadas]]," ")</f>
        <v>330</v>
      </c>
      <c r="W1119" s="26">
        <v>46282</v>
      </c>
      <c r="X1119" s="17" t="s">
        <v>6251</v>
      </c>
      <c r="Y1119" s="27" t="s">
        <v>25008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customHeight="1">
      <c r="C1120" s="28" t="s">
        <v>15</v>
      </c>
      <c r="D1120" s="5">
        <v>5679</v>
      </c>
      <c r="E1120" s="5">
        <v>24047</v>
      </c>
      <c r="F1120" s="28" t="str">
        <f>IFERROR(VLOOKUP(TAB_OFICINAS[[#This Row],[Cliente]],LISTA_DE_CLIENTES[[Código]:[Nome Fantasia]],2,FALSE),"")</f>
        <v>MMCA COMERCIO E CONFECCAO DE ROUPAS E DECORACOES L</v>
      </c>
      <c r="G1120" s="2" t="str">
        <f>IFERROR(VLOOKUP(TAB_OFICINAS[[#This Row],[Cliente]],LISTA_DE_CLIENTES[[Código]:[Nome Fantasia]],3,FALSE),"")</f>
        <v>MMCA COMERCIO E CONF</v>
      </c>
      <c r="H1120" s="51" t="s">
        <v>23574</v>
      </c>
      <c r="I1120" s="28" t="s">
        <v>24838</v>
      </c>
      <c r="J1120" s="91">
        <v>8</v>
      </c>
      <c r="K1120" s="88">
        <v>46266</v>
      </c>
      <c r="L1120" s="9">
        <v>8</v>
      </c>
      <c r="M1120" s="6">
        <v>46269</v>
      </c>
      <c r="N1120" s="6">
        <v>46269</v>
      </c>
      <c r="O1120" s="23">
        <f>TAB_OFICINAS[[#This Row],[Data Retorno Produção]]-TAB_OFICINAS[[#This Row],[Data Prometida  Entrega]]</f>
        <v>0</v>
      </c>
      <c r="P1120" s="98" t="str">
        <f>IF(TAB_OFICINAS[[#This Row],[Dias Para Entrega]]&lt;=0,"Em dia","Dia de Atrasado")</f>
        <v>Em dia</v>
      </c>
      <c r="Q1120" s="24">
        <f>IFERROR(TAB_OFICINAS[[#This Row],[Qtd pçs Enviadas]]-TAB_OFICINAS[[#This Row],[Qtd pçs Retornadas ]],"N/D ")</f>
        <v>0</v>
      </c>
      <c r="R1120" s="24"/>
      <c r="S1120" s="5">
        <v>3395</v>
      </c>
      <c r="T1120" s="5">
        <v>17581</v>
      </c>
      <c r="U1120" s="11">
        <v>8</v>
      </c>
      <c r="V1120" s="25">
        <f>IFERROR(TAB_OFICINAS[[#This Row],[Valor Unit]]*TAB_OFICINAS[[#This Row],[Qtd pçs Enviadas]]," ")</f>
        <v>64</v>
      </c>
      <c r="W1120" s="26">
        <v>46276</v>
      </c>
      <c r="X1120" s="17" t="s">
        <v>6251</v>
      </c>
      <c r="Y1120" s="27" t="s">
        <v>23259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customHeight="1">
      <c r="C1121" s="28" t="s">
        <v>15</v>
      </c>
      <c r="D1121" s="5">
        <v>5758</v>
      </c>
      <c r="E1121" s="5">
        <v>24355</v>
      </c>
      <c r="F1121" s="28" t="str">
        <f>IFERROR(VLOOKUP(TAB_OFICINAS[[#This Row],[Cliente]],LISTA_DE_CLIENTES[[Código]:[Nome Fantasia]],2,FALSE),"")</f>
        <v>LOUISE ESTANIECKI RAMOS</v>
      </c>
      <c r="G1121" s="2" t="str">
        <f>IFERROR(VLOOKUP(TAB_OFICINAS[[#This Row],[Cliente]],LISTA_DE_CLIENTES[[Código]:[Nome Fantasia]],3,FALSE),"")</f>
        <v>LOUISE ESTANIECKI RA</v>
      </c>
      <c r="H1121" s="51">
        <v>3105015333</v>
      </c>
      <c r="I1121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121" s="91">
        <v>1</v>
      </c>
      <c r="K1121" s="88">
        <v>46266</v>
      </c>
      <c r="L1121" s="9">
        <v>1</v>
      </c>
      <c r="M1121" s="6">
        <v>46269</v>
      </c>
      <c r="N1121" s="6">
        <f t="shared" ca="1" si="4"/>
        <v>46283</v>
      </c>
      <c r="O1121" s="23">
        <f ca="1">TAB_OFICINAS[[#This Row],[Data Retorno Produção]]-TAB_OFICINAS[[#This Row],[Data Prometida  Entrega]]</f>
        <v>14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21447</v>
      </c>
      <c r="U1121" s="11" t="s">
        <v>21447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6251</v>
      </c>
      <c r="Y1121" s="27" t="s">
        <v>20413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customHeight="1">
      <c r="C1122" s="28" t="s">
        <v>15</v>
      </c>
      <c r="D1122" s="5">
        <v>2770</v>
      </c>
      <c r="E1122" s="5">
        <v>24105</v>
      </c>
      <c r="F1122" s="28" t="str">
        <f>IFERROR(VLOOKUP(TAB_OFICINAS[[#This Row],[Cliente]],LISTA_DE_CLIENTES[[Código]:[Nome Fantasia]],2,FALSE),"")</f>
        <v>SNC DO BRASIL COMERCIO DE EQUIPAMENTOS EIRELI</v>
      </c>
      <c r="G1122" s="2" t="str">
        <f>IFERROR(VLOOKUP(TAB_OFICINAS[[#This Row],[Cliente]],LISTA_DE_CLIENTES[[Código]:[Nome Fantasia]],3,FALSE),"")</f>
        <v>TOTAL BABY STORE</v>
      </c>
      <c r="H1122" s="51" t="s">
        <v>24096</v>
      </c>
      <c r="I1122" s="28" t="s">
        <v>24839</v>
      </c>
      <c r="J1122" s="91">
        <v>2</v>
      </c>
      <c r="K1122" s="88">
        <v>46266</v>
      </c>
      <c r="L1122" s="9">
        <v>2</v>
      </c>
      <c r="M1122" s="6">
        <v>46269</v>
      </c>
      <c r="N1122" s="6">
        <f t="shared" ca="1" si="4"/>
        <v>46283</v>
      </c>
      <c r="O1122" s="23">
        <f ca="1">TAB_OFICINAS[[#This Row],[Data Retorno Produção]]-TAB_OFICINAS[[#This Row],[Data Prometida  Entrega]]</f>
        <v>14</v>
      </c>
      <c r="P1122" s="98" t="str">
        <f ca="1">IF(TAB_OFICINAS[[#This Row],[Dias Para Entrega]]&lt;=0,"Em dia","Dia de Atrasado")</f>
        <v>Dia de Atrasado</v>
      </c>
      <c r="Q1122" s="24">
        <f>IFERROR(TAB_OFICINAS[[#This Row],[Qtd pçs Enviadas]]-TAB_OFICINAS[[#This Row],[Qtd pçs Retornadas ]],"N/D ")</f>
        <v>0</v>
      </c>
      <c r="R1122" s="24"/>
      <c r="S1122" s="5" t="s">
        <v>21447</v>
      </c>
      <c r="U1122" s="11" t="s">
        <v>21447</v>
      </c>
      <c r="V1122" s="25" t="str">
        <f>IFERROR(TAB_OFICINAS[[#This Row],[Valor Unit]]*TAB_OFICINAS[[#This Row],[Qtd pçs Enviadas]]," ")</f>
        <v xml:space="preserve"> </v>
      </c>
      <c r="W1122" s="26"/>
      <c r="X1122" s="17" t="s">
        <v>6251</v>
      </c>
      <c r="Y1122" s="27" t="s">
        <v>20413</v>
      </c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customHeight="1">
      <c r="C1123" s="28" t="s">
        <v>20</v>
      </c>
      <c r="D1123" s="5">
        <v>245</v>
      </c>
      <c r="E1123" s="5">
        <v>24210</v>
      </c>
      <c r="F1123" s="28" t="str">
        <f>IFERROR(VLOOKUP(TAB_OFICINAS[[#This Row],[Cliente]],LISTA_DE_CLIENTES[[Código]:[Nome Fantasia]],2,FALSE),"")</f>
        <v>MELIA BRASIL ADMINISTRACAO HOTELEIRA E COMERCIAL L</v>
      </c>
      <c r="G1123" s="2" t="str">
        <f>IFERROR(VLOOKUP(TAB_OFICINAS[[#This Row],[Cliente]],LISTA_DE_CLIENTES[[Código]:[Nome Fantasia]],3,FALSE),"")</f>
        <v>MELIA PAULISTA</v>
      </c>
      <c r="H1123" s="51">
        <v>92101041103</v>
      </c>
      <c r="I1123" s="28" t="str">
        <f>IFERROR(VLOOKUP(TAB_OFICINAS[[#This Row],[Codigo Produto ]],_000___PEDIDOS_DE_CLIENTES[[Data.Column2]:[Descrição Produto]],2,FALSE)," ")</f>
        <v>LENÇOL BARRA ESTREITA 4 LADOS - 230F MSITO - 2,80 X 3,00</v>
      </c>
      <c r="J1123" s="91">
        <v>107</v>
      </c>
      <c r="K1123" s="88">
        <v>46268</v>
      </c>
      <c r="L1123" s="9">
        <v>107</v>
      </c>
      <c r="M1123" s="6">
        <v>46275</v>
      </c>
      <c r="N1123" s="6">
        <v>46273</v>
      </c>
      <c r="O1123" s="23">
        <f>TAB_OFICINAS[[#This Row],[Data Retorno Produção]]-TAB_OFICINAS[[#This Row],[Data Prometida  Entrega]]</f>
        <v>-2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3403</v>
      </c>
      <c r="T1123" s="5">
        <v>99</v>
      </c>
      <c r="U1123" s="11">
        <v>7.5</v>
      </c>
      <c r="V1123" s="25">
        <f>IFERROR(TAB_OFICINAS[[#This Row],[Valor Unit]]*TAB_OFICINAS[[#This Row],[Qtd pçs Enviadas]]," ")</f>
        <v>802.5</v>
      </c>
      <c r="W1123" s="26">
        <f>TAB_OFICINAS[[#This Row],[Data Retorno Produção]]+10</f>
        <v>46283</v>
      </c>
      <c r="X1123" s="17" t="s">
        <v>6251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customHeight="1">
      <c r="C1124" s="28" t="s">
        <v>16</v>
      </c>
      <c r="D1124" s="5">
        <v>5645</v>
      </c>
      <c r="E1124" s="5">
        <v>23888</v>
      </c>
      <c r="F1124" s="28" t="str">
        <f>IFERROR(VLOOKUP(TAB_OFICINAS[[#This Row],[Cliente]],LISTA_DE_CLIENTES[[Código]:[Nome Fantasia]],2,FALSE),"")</f>
        <v>HCC HOTELS GESTAO HOTELEIRA SA</v>
      </c>
      <c r="G1124" s="2" t="str">
        <f>IFERROR(VLOOKUP(TAB_OFICINAS[[#This Row],[Cliente]],LISTA_DE_CLIENTES[[Código]:[Nome Fantasia]],3,FALSE),"")</f>
        <v>CASA COSTA</v>
      </c>
      <c r="H1124" s="51">
        <v>92115011196</v>
      </c>
      <c r="I1124" s="28" t="str">
        <f>IFERROR(VLOOKUP(TAB_OFICINAS[[#This Row],[Codigo Produto ]],_000___PEDIDOS_DE_CLIENTES[[Data.Column2]:[Descrição Produto]],2,FALSE)," ")</f>
        <v>DUVET (CAPA) 300F MISTO ACABAMENTO MODELO ENVELOPE CLASSIC 2,60 X 2,40</v>
      </c>
      <c r="J1124" s="91">
        <v>69</v>
      </c>
      <c r="K1124" s="88">
        <v>46269</v>
      </c>
      <c r="L1124" s="9">
        <v>69</v>
      </c>
      <c r="M1124" s="6">
        <v>46289</v>
      </c>
      <c r="N1124" s="6">
        <v>46276</v>
      </c>
      <c r="O1124" s="23">
        <f>TAB_OFICINAS[[#This Row],[Data Retorno Produção]]-TAB_OFICINAS[[#This Row],[Data Prometida  Entrega]]</f>
        <v>-13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3404</v>
      </c>
      <c r="T1124" s="5">
        <v>65</v>
      </c>
      <c r="U1124" s="11">
        <v>16</v>
      </c>
      <c r="V1124" s="25">
        <f>IFERROR(TAB_OFICINAS[[#This Row],[Valor Unit]]*TAB_OFICINAS[[#This Row],[Qtd pçs Enviadas]]," ")</f>
        <v>1104</v>
      </c>
      <c r="W1124" s="26">
        <f>TAB_OFICINAS[[#This Row],[Data Retorno Produção]]+10</f>
        <v>46286</v>
      </c>
      <c r="X1124" s="17" t="s">
        <v>6251</v>
      </c>
      <c r="Y1124" s="27"/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customHeight="1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Row],[Cliente]],LISTA_DE_CLIENTES[[Código]:[Nome Fantasia]],2,FALSE),"")</f>
        <v>JAQUELINE MARIA MOTA SILVA</v>
      </c>
      <c r="G1125" s="2" t="str">
        <f>IFERROR(VLOOKUP(TAB_OFICINAS[[#This Row],[Cliente]],LISTA_DE_CLIENTES[[Código]:[Nome Fantasia]],3,FALSE),"")</f>
        <v>JAQUELINE MARIA MOTA</v>
      </c>
      <c r="H1125" s="51" t="s">
        <v>24096</v>
      </c>
      <c r="I1125" s="28" t="s">
        <v>24851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12</v>
      </c>
      <c r="W1125" s="26">
        <v>46276</v>
      </c>
      <c r="X1125" s="17" t="s">
        <v>6251</v>
      </c>
      <c r="Y1125" s="27" t="s">
        <v>23538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customHeight="1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Row],[Cliente]],LISTA_DE_CLIENTES[[Código]:[Nome Fantasia]],2,FALSE),"")</f>
        <v>JAQUELINE MARIA MOTA SILVA</v>
      </c>
      <c r="G1126" s="2" t="str">
        <f>IFERROR(VLOOKUP(TAB_OFICINAS[[#This Row],[Cliente]],LISTA_DE_CLIENTES[[Código]:[Nome Fantasia]],3,FALSE),"")</f>
        <v>JAQUELINE MARIA MOTA</v>
      </c>
      <c r="H1126" s="51" t="s">
        <v>24096</v>
      </c>
      <c r="I1126" s="28" t="s">
        <v>24852</v>
      </c>
      <c r="J1126" s="91">
        <v>2</v>
      </c>
      <c r="K1126" s="88">
        <v>46267</v>
      </c>
      <c r="L1126" s="9">
        <v>2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24</v>
      </c>
      <c r="W1126" s="26">
        <v>46276</v>
      </c>
      <c r="X1126" s="17" t="s">
        <v>6251</v>
      </c>
      <c r="Y1126" s="27" t="s">
        <v>24104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customHeight="1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Row],[Cliente]],LISTA_DE_CLIENTES[[Código]:[Nome Fantasia]],2,FALSE),"")</f>
        <v>JAQUELINE MARIA MOTA SILVA</v>
      </c>
      <c r="G1127" s="2" t="str">
        <f>IFERROR(VLOOKUP(TAB_OFICINAS[[#This Row],[Cliente]],LISTA_DE_CLIENTES[[Código]:[Nome Fantasia]],3,FALSE),"")</f>
        <v>JAQUELINE MARIA MOTA</v>
      </c>
      <c r="H1127" s="51" t="s">
        <v>24096</v>
      </c>
      <c r="I1127" s="28" t="s">
        <v>24853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6251</v>
      </c>
      <c r="Y1127" s="27" t="s">
        <v>24836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customHeight="1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Row],[Cliente]],LISTA_DE_CLIENTES[[Código]:[Nome Fantasia]],2,FALSE),"")</f>
        <v>JAQUELINE MARIA MOTA SILVA</v>
      </c>
      <c r="G1128" s="2" t="str">
        <f>IFERROR(VLOOKUP(TAB_OFICINAS[[#This Row],[Cliente]],LISTA_DE_CLIENTES[[Código]:[Nome Fantasia]],3,FALSE),"")</f>
        <v>JAQUELINE MARIA MOTA</v>
      </c>
      <c r="H1128" s="51" t="s">
        <v>24096</v>
      </c>
      <c r="I1128" s="28" t="s">
        <v>24854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6251</v>
      </c>
      <c r="Y1128" s="27" t="s">
        <v>24856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customHeight="1">
      <c r="C1129" s="28" t="s">
        <v>15</v>
      </c>
      <c r="D1129" s="5">
        <v>2463</v>
      </c>
      <c r="E1129" s="5">
        <v>24309</v>
      </c>
      <c r="F1129" s="28" t="str">
        <f>IFERROR(VLOOKUP(TAB_OFICINAS[[#This Row],[Cliente]],LISTA_DE_CLIENTES[[Código]:[Nome Fantasia]],2,FALSE),"")</f>
        <v>JAQUELINE MARIA MOTA SILVA</v>
      </c>
      <c r="G1129" s="2" t="str">
        <f>IFERROR(VLOOKUP(TAB_OFICINAS[[#This Row],[Cliente]],LISTA_DE_CLIENTES[[Código]:[Nome Fantasia]],3,FALSE),"")</f>
        <v>JAQUELINE MARIA MOTA</v>
      </c>
      <c r="H1129" s="51" t="s">
        <v>24096</v>
      </c>
      <c r="I1129" s="28" t="s">
        <v>24855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6251</v>
      </c>
      <c r="Y1129" s="27" t="s">
        <v>24857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customHeight="1">
      <c r="C1130" s="28" t="s">
        <v>15</v>
      </c>
      <c r="D1130" s="5">
        <v>5415</v>
      </c>
      <c r="E1130" s="5">
        <v>24291</v>
      </c>
      <c r="F1130" s="28" t="str">
        <f>IFERROR(VLOOKUP(TAB_OFICINAS[[#This Row],[Cliente]],LISTA_DE_CLIENTES[[Código]:[Nome Fantasia]],2,FALSE),"")</f>
        <v>PATRICIA LUNARDELLI</v>
      </c>
      <c r="G1130" s="2" t="str">
        <f>IFERROR(VLOOKUP(TAB_OFICINAS[[#This Row],[Cliente]],LISTA_DE_CLIENTES[[Código]:[Nome Fantasia]],3,FALSE),"")</f>
        <v>PATRICIA LUNARDELLI</v>
      </c>
      <c r="H1130" s="51">
        <v>2111231441</v>
      </c>
      <c r="I1130" s="28" t="str">
        <f>IFERROR(VLOOKUP(TAB_OFICINAS[[#This Row],[Codigo Produto ]],_000___PEDIDOS_DE_CLIENTES[[Data.Column2]:[Descrição Produto]],2,FALSE)," ")</f>
        <v>CAPA ALMOFADA 4 ABAS - 300F 100% ALG. ACAB. VITORIANO C/ LOGO E FECHAMENTO ENVELOPE - 0,35 X 0,45</v>
      </c>
      <c r="J1130" s="91">
        <v>1</v>
      </c>
      <c r="K1130" s="88">
        <v>46267</v>
      </c>
      <c r="L1130" s="9">
        <v>1</v>
      </c>
      <c r="M1130" s="6">
        <v>46269</v>
      </c>
      <c r="N1130" s="6">
        <v>46269</v>
      </c>
      <c r="O1130" s="23">
        <f>TAB_OFICINAS[[#This Row],[Data Retorno Produção]]-TAB_OFICINAS[[#This Row],[Data Prometida  Entrega]]</f>
        <v>0</v>
      </c>
      <c r="P1130" s="98" t="str">
        <f>IF(TAB_OFICINAS[[#This Row],[Dias Para Entrega]]&lt;=0,"Em dia","Dia de Atrasado")</f>
        <v>Em dia</v>
      </c>
      <c r="Q1130" s="24">
        <f>IFERROR(TAB_OFICINAS[[#This Row],[Qtd pçs Enviadas]]-TAB_OFICINAS[[#This Row],[Qtd pçs Retornadas ]],"N/D ")</f>
        <v>0</v>
      </c>
      <c r="R1130" s="24"/>
      <c r="S1130" s="5">
        <v>1004</v>
      </c>
      <c r="T1130" s="5">
        <v>17582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46276</v>
      </c>
      <c r="X1130" s="17" t="s">
        <v>6251</v>
      </c>
      <c r="Y1130" s="27" t="s">
        <v>21453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customHeight="1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Row],[Cliente]],LISTA_DE_CLIENTES[[Código]:[Nome Fantasia]],2,FALSE),"")</f>
        <v>GISLAINE RAFIK</v>
      </c>
      <c r="G1131" s="2" t="str">
        <f>IFERROR(VLOOKUP(TAB_OFICINAS[[#This Row],[Cliente]],LISTA_DE_CLIENTES[[Código]:[Nome Fantasia]],3,FALSE),"")</f>
        <v>GISLAINE RAFIK</v>
      </c>
      <c r="H1131" s="51">
        <v>3161091427</v>
      </c>
      <c r="I1131" s="28" t="s">
        <v>24858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ref="N1131:N1186" ca="1" si="5">TODAY()</f>
        <v>46283</v>
      </c>
      <c r="O1131" s="23">
        <f ca="1">TAB_OFICINAS[[#This Row],[Data Retorno Produção]]-TAB_OFICINAS[[#This Row],[Data Prometida  Entrega]]</f>
        <v>12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6251</v>
      </c>
      <c r="Y1131" s="27" t="s">
        <v>24862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Row],[Cliente]],LISTA_DE_CLIENTES[[Código]:[Nome Fantasia]],2,FALSE),"")</f>
        <v>GISLAINE RAFIK</v>
      </c>
      <c r="G1132" s="2" t="str">
        <f>IFERROR(VLOOKUP(TAB_OFICINAS[[#This Row],[Cliente]],LISTA_DE_CLIENTES[[Código]:[Nome Fantasia]],3,FALSE),"")</f>
        <v>GISLAINE RAFIK</v>
      </c>
      <c r="H1132" s="51">
        <v>3161091426</v>
      </c>
      <c r="I1132" s="28" t="s">
        <v>24859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5"/>
        <v>46283</v>
      </c>
      <c r="O1132" s="23">
        <f ca="1">TAB_OFICINAS[[#This Row],[Data Retorno Produção]]-TAB_OFICINAS[[#This Row],[Data Prometida  Entrega]]</f>
        <v>12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6251</v>
      </c>
      <c r="Y1132" s="27" t="s">
        <v>24861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customHeight="1">
      <c r="C1133" s="28" t="s">
        <v>15</v>
      </c>
      <c r="D1133" s="5">
        <v>5737</v>
      </c>
      <c r="E1133" s="5">
        <v>24314</v>
      </c>
      <c r="F1133" s="28" t="str">
        <f>IFERROR(VLOOKUP(TAB_OFICINAS[[#This Row],[Cliente]],LISTA_DE_CLIENTES[[Código]:[Nome Fantasia]],2,FALSE),"")</f>
        <v>GISLAINE RAFIK</v>
      </c>
      <c r="G1133" s="2" t="str">
        <f>IFERROR(VLOOKUP(TAB_OFICINAS[[#This Row],[Cliente]],LISTA_DE_CLIENTES[[Código]:[Nome Fantasia]],3,FALSE),"")</f>
        <v>GISLAINE RAFIK</v>
      </c>
      <c r="H1133" s="51">
        <v>3105015332</v>
      </c>
      <c r="I1133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33" s="91">
        <v>1</v>
      </c>
      <c r="K1133" s="88">
        <v>46269</v>
      </c>
      <c r="L1133" s="9">
        <v>1</v>
      </c>
      <c r="M1133" s="6">
        <v>46271</v>
      </c>
      <c r="N1133" s="6">
        <f t="shared" ca="1" si="5"/>
        <v>46283</v>
      </c>
      <c r="O1133" s="23">
        <f ca="1">TAB_OFICINAS[[#This Row],[Data Retorno Produção]]-TAB_OFICINAS[[#This Row],[Data Prometida  Entrega]]</f>
        <v>12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3406</v>
      </c>
      <c r="T1133" s="5">
        <v>17585</v>
      </c>
      <c r="U1133" s="11">
        <v>12</v>
      </c>
      <c r="V1133" s="25">
        <f>IFERROR(TAB_OFICINAS[[#This Row],[Valor Unit]]*TAB_OFICINAS[[#This Row],[Qtd pçs Enviadas]]," ")</f>
        <v>12</v>
      </c>
      <c r="W1133" s="26">
        <v>46282</v>
      </c>
      <c r="X1133" s="17" t="s">
        <v>6251</v>
      </c>
      <c r="Y1133" s="27" t="s">
        <v>24860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customHeight="1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Row],[Cliente]],LISTA_DE_CLIENTES[[Código]:[Nome Fantasia]],2,FALSE),"")</f>
        <v>MEIRA LINS HOTEIS LTDA</v>
      </c>
      <c r="G1134" s="2" t="str">
        <f>IFERROR(VLOOKUP(TAB_OFICINAS[[#This Row],[Cliente]],LISTA_DE_CLIENTES[[Código]:[Nome Fantasia]],3,FALSE),"")</f>
        <v>NANNAI RESORT &amp; SPA</v>
      </c>
      <c r="H1134" s="51">
        <v>3302128548</v>
      </c>
      <c r="I1134" s="28" t="str">
        <f>IFERROR(VLOOKUP(TAB_OFICINAS[[#This Row],[Codigo Produto ]],_000___PEDIDOS_DE_CLIENTES[[Data.Column2]:[Descrição Produto]],2,FALSE)," ")</f>
        <v>TOALHA SOHO ROSTO CARAMELO 45 X 1,00 COM LOGO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5"/>
        <v>46283</v>
      </c>
      <c r="O1134" s="23">
        <f ca="1">TAB_OFICINAS[[#This Row],[Data Retorno Produção]]-TAB_OFICINAS[[#This Row],[Data Prometida  Entrega]]</f>
        <v>7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6251</v>
      </c>
      <c r="Y1134" s="27" t="s">
        <v>24863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customHeight="1">
      <c r="C1135" s="28" t="s">
        <v>15</v>
      </c>
      <c r="D1135" s="5">
        <v>240</v>
      </c>
      <c r="E1135" s="5">
        <v>24257</v>
      </c>
      <c r="F1135" s="28" t="str">
        <f>IFERROR(VLOOKUP(TAB_OFICINAS[[#This Row],[Cliente]],LISTA_DE_CLIENTES[[Código]:[Nome Fantasia]],2,FALSE),"")</f>
        <v>MEIRA LINS HOTEIS LTDA</v>
      </c>
      <c r="G1135" s="2" t="str">
        <f>IFERROR(VLOOKUP(TAB_OFICINAS[[#This Row],[Cliente]],LISTA_DE_CLIENTES[[Código]:[Nome Fantasia]],3,FALSE),"")</f>
        <v>NANNAI RESORT &amp; SPA</v>
      </c>
      <c r="H1135" s="51">
        <v>3302119211</v>
      </c>
      <c r="I1135" s="28" t="str">
        <f>IFERROR(VLOOKUP(TAB_OFICINAS[[#This Row],[Codigo Produto ]],_000___PEDIDOS_DE_CLIENTES[[Data.Column2]:[Descrição Produto]],2,FALSE)," ")</f>
        <v>TOALHA BANHO CARAMELO C/ LOGO 0,98 X 1,50</v>
      </c>
      <c r="J1135" s="91">
        <v>60</v>
      </c>
      <c r="K1135" s="88">
        <v>46273</v>
      </c>
      <c r="L1135" s="9">
        <v>60</v>
      </c>
      <c r="M1135" s="6">
        <v>46276</v>
      </c>
      <c r="N1135" s="6">
        <f t="shared" ca="1" si="5"/>
        <v>46283</v>
      </c>
      <c r="O1135" s="23">
        <f ca="1">TAB_OFICINAS[[#This Row],[Data Retorno Produção]]-TAB_OFICINAS[[#This Row],[Data Prometida  Entrega]]</f>
        <v>7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3408</v>
      </c>
      <c r="U1135" s="11">
        <v>4.8</v>
      </c>
      <c r="V1135" s="25">
        <f>IFERROR(TAB_OFICINAS[[#This Row],[Valor Unit]]*TAB_OFICINAS[[#This Row],[Qtd pçs Enviadas]]," ")</f>
        <v>288</v>
      </c>
      <c r="W1135" s="26"/>
      <c r="X1135" s="17" t="s">
        <v>6251</v>
      </c>
      <c r="Y1135" s="27" t="s">
        <v>24864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customHeight="1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Row],[Cliente]],LISTA_DE_CLIENTES[[Código]:[Nome Fantasia]],2,FALSE),"")</f>
        <v>WESTWING COMERCIO VAREJISTA S.A.</v>
      </c>
      <c r="G1136" s="2" t="str">
        <f>IFERROR(VLOOKUP(TAB_OFICINAS[[#This Row],[Cliente]],LISTA_DE_CLIENTES[[Código]:[Nome Fantasia]],3,FALSE),"")</f>
        <v>WESTWING - CORRETO</v>
      </c>
      <c r="H1136" s="51">
        <v>2201021364</v>
      </c>
      <c r="I1136" s="28" t="str">
        <f>IFERROR(VLOOKUP(TAB_OFICINAS[[#This Row],[Codigo Produto ]],_000___PEDIDOS_DE_CLIENTES[[Data.Column2]:[Descrição Produto]],2,FALSE)," ")</f>
        <v>JG 2 PÇS GUARDANAPO BELL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5"/>
        <v>46283</v>
      </c>
      <c r="O1136" s="23">
        <f ca="1">TAB_OFICINAS[[#This Row],[Data Retorno Produção]]-TAB_OFICINAS[[#This Row],[Data Prometida  Entrega]]</f>
        <v>8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6.6</v>
      </c>
      <c r="V1136" s="25">
        <f>IFERROR(TAB_OFICINAS[[#This Row],[Valor Unit]]*TAB_OFICINAS[[#This Row],[Qtd pçs Enviadas]]," ")</f>
        <v>26.4</v>
      </c>
      <c r="W1136" s="26"/>
      <c r="X1136" s="17" t="s">
        <v>6251</v>
      </c>
      <c r="Y1136" s="27" t="s">
        <v>24418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customHeight="1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Row],[Cliente]],LISTA_DE_CLIENTES[[Código]:[Nome Fantasia]],2,FALSE),"")</f>
        <v>WESTWING COMERCIO VAREJISTA S.A.</v>
      </c>
      <c r="G1137" s="2" t="str">
        <f>IFERROR(VLOOKUP(TAB_OFICINAS[[#This Row],[Cliente]],LISTA_DE_CLIENTES[[Código]:[Nome Fantasia]],3,FALSE),"")</f>
        <v>WESTWING - CORRETO</v>
      </c>
      <c r="H1137" s="51">
        <v>2201021365</v>
      </c>
      <c r="I1137" s="28" t="str">
        <f>IFERROR(VLOOKUP(TAB_OFICINAS[[#This Row],[Codigo Produto ]],_000___PEDIDOS_DE_CLIENTES[[Data.Column2]:[Descrição Produto]],2,FALSE)," ")</f>
        <v>JG 2 PÇS GUARDANAPO CANDLES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5"/>
        <v>46283</v>
      </c>
      <c r="O1137" s="23">
        <f ca="1">TAB_OFICINAS[[#This Row],[Data Retorno Produção]]-TAB_OFICINAS[[#This Row],[Data Prometida  Entrega]]</f>
        <v>8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6251</v>
      </c>
      <c r="Y1137" s="27" t="s">
        <v>24417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14.25" customHeight="1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Row],[Cliente]],LISTA_DE_CLIENTES[[Código]:[Nome Fantasia]],2,FALSE),"")</f>
        <v>WESTWING COMERCIO VAREJISTA S.A.</v>
      </c>
      <c r="G1138" s="2" t="str">
        <f>IFERROR(VLOOKUP(TAB_OFICINAS[[#This Row],[Cliente]],LISTA_DE_CLIENTES[[Código]:[Nome Fantasia]],3,FALSE),"")</f>
        <v>WESTWING - CORRETO</v>
      </c>
      <c r="H1138" s="51">
        <v>2201021366</v>
      </c>
      <c r="I1138" s="28" t="str">
        <f>IFERROR(VLOOKUP(TAB_OFICINAS[[#This Row],[Codigo Produto ]],_000___PEDIDOS_DE_CLIENTES[[Data.Column2]:[Descrição Produto]],2,FALSE)," ")</f>
        <v>JG 2 PÇS GUARDANAPO CANDY ACABAMENTO FESTONÊ BORDO 7078 80%ALGODÃO / 20% LINHO COR CRU - 0,30 X 0,30</v>
      </c>
      <c r="J1138" s="91">
        <v>4</v>
      </c>
      <c r="K1138" s="88">
        <v>46273</v>
      </c>
      <c r="L1138" s="9">
        <v>4</v>
      </c>
      <c r="M1138" s="6">
        <v>46275</v>
      </c>
      <c r="N1138" s="6">
        <f t="shared" ca="1" si="5"/>
        <v>46283</v>
      </c>
      <c r="O1138" s="23">
        <f ca="1">TAB_OFICINAS[[#This Row],[Data Retorno Produção]]-TAB_OFICINAS[[#This Row],[Data Prometida  Entrega]]</f>
        <v>8</v>
      </c>
      <c r="P1138" s="98" t="str">
        <f ca="1"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16</v>
      </c>
      <c r="W1138" s="26"/>
      <c r="X1138" s="17" t="s">
        <v>6251</v>
      </c>
      <c r="Y1138" s="27" t="s">
        <v>24416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28.5" customHeight="1">
      <c r="C1139" s="28" t="s">
        <v>15</v>
      </c>
      <c r="D1139" s="5">
        <v>2533</v>
      </c>
      <c r="E1139" s="5">
        <v>24338</v>
      </c>
      <c r="F1139" s="28" t="str">
        <f>IFERROR(VLOOKUP(TAB_OFICINAS[[#This Row],[Cliente]],LISTA_DE_CLIENTES[[Código]:[Nome Fantasia]],2,FALSE),"")</f>
        <v>WESTWING COMERCIO VAREJISTA S.A.</v>
      </c>
      <c r="G1139" s="2" t="str">
        <f>IFERROR(VLOOKUP(TAB_OFICINAS[[#This Row],[Cliente]],LISTA_DE_CLIENTES[[Código]:[Nome Fantasia]],3,FALSE),"")</f>
        <v>WESTWING - CORRETO</v>
      </c>
      <c r="H1139" s="51">
        <v>2201021367</v>
      </c>
      <c r="I1139" s="28" t="str">
        <f>IFERROR(VLOOKUP(TAB_OFICINAS[[#This Row],[Codigo Produto ]],_000___PEDIDOS_DE_CLIENTES[[Data.Column2]:[Descrição Produto]],2,FALSE)," ")</f>
        <v>GUARDANAPO MAGIC C/ AJOUR BARRA 2,5cm - 80% ALGODÃO /20% LINHO - COR BORDO - 0,30 X 0,30</v>
      </c>
      <c r="J1139" s="91">
        <v>5</v>
      </c>
      <c r="K1139" s="88">
        <v>46273</v>
      </c>
      <c r="L1139" s="9">
        <v>5</v>
      </c>
      <c r="M1139" s="6">
        <v>46275</v>
      </c>
      <c r="N1139" s="6">
        <v>46280</v>
      </c>
      <c r="O1139" s="23">
        <f>TAB_OFICINAS[[#This Row],[Data Retorno Produção]]-TAB_OFICINAS[[#This Row],[Data Prometida  Entrega]]</f>
        <v>5</v>
      </c>
      <c r="P1139" s="98" t="str">
        <f>IF(TAB_OFICINAS[[#This Row],[Dias Para Entrega]]&lt;=0,"Em dia","Dia de Atrasado")</f>
        <v>Dia de Atrasado</v>
      </c>
      <c r="Q1139" s="24">
        <f>IFERROR(TAB_OFICINAS[[#This Row],[Qtd pçs Enviadas]]-TAB_OFICINAS[[#This Row],[Qtd pçs Retornadas ]],"N/D ")</f>
        <v>0</v>
      </c>
      <c r="R1139" s="24"/>
      <c r="S1139" s="5">
        <v>3409</v>
      </c>
      <c r="U1139" s="11">
        <v>4</v>
      </c>
      <c r="V1139" s="25">
        <f>IFERROR(TAB_OFICINAS[[#This Row],[Valor Unit]]*TAB_OFICINAS[[#This Row],[Qtd pçs Enviadas]]," ")</f>
        <v>20</v>
      </c>
      <c r="W1139" s="26"/>
      <c r="X1139" s="17" t="s">
        <v>6251</v>
      </c>
      <c r="Y1139" s="27" t="s">
        <v>24415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customHeight="1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Row],[Cliente]],LISTA_DE_CLIENTES[[Código]:[Nome Fantasia]],2,FALSE),"")</f>
        <v>ONCO STAR SP ONCOLOGIA LTDA (REDE D´OR)</v>
      </c>
      <c r="G1140" s="2" t="str">
        <f>IFERROR(VLOOKUP(TAB_OFICINAS[[#This Row],[Cliente]],LISTA_DE_CLIENTES[[Código]:[Nome Fantasia]],3,FALSE),"")</f>
        <v>R DOR VILA NOVA STAR</v>
      </c>
      <c r="H1140" s="51">
        <v>3301084164</v>
      </c>
      <c r="I114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3415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6251</v>
      </c>
      <c r="Y1140" s="27" t="s">
        <v>23554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customHeight="1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Row],[Cliente]],LISTA_DE_CLIENTES[[Código]:[Nome Fantasia]],2,FALSE),"")</f>
        <v>ONCO STAR SP ONCOLOGIA LTDA (REDE D´OR)</v>
      </c>
      <c r="G1141" s="2" t="str">
        <f>IFERROR(VLOOKUP(TAB_OFICINAS[[#This Row],[Cliente]],LISTA_DE_CLIENTES[[Código]:[Nome Fantasia]],3,FALSE),"")</f>
        <v>R DOR VILA NOVA STAR</v>
      </c>
      <c r="H1141" s="51">
        <v>3301084128</v>
      </c>
      <c r="I1141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v>46280</v>
      </c>
      <c r="O1141" s="23">
        <f>TAB_OFICINAS[[#This Row],[Data Retorno Produção]]-TAB_OFICINAS[[#This Row],[Data Prometida  Entrega]]</f>
        <v>0</v>
      </c>
      <c r="P1141" s="98" t="str">
        <f>IF(TAB_OFICINAS[[#This Row],[Dias Para Entrega]]&lt;=0,"Em dia","Dia de Atrasado")</f>
        <v>Em dia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6251</v>
      </c>
      <c r="Y1141" s="27" t="s">
        <v>23554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customHeight="1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Row],[Cliente]],LISTA_DE_CLIENTES[[Código]:[Nome Fantasia]],2,FALSE),"")</f>
        <v>ONCO STAR SP ONCOLOGIA LTDA (REDE D´OR)</v>
      </c>
      <c r="G1142" s="2" t="str">
        <f>IFERROR(VLOOKUP(TAB_OFICINAS[[#This Row],[Cliente]],LISTA_DE_CLIENTES[[Código]:[Nome Fantasia]],3,FALSE),"")</f>
        <v>R DOR VILA NOVA STAR</v>
      </c>
      <c r="H1142" s="51">
        <v>3301084127</v>
      </c>
      <c r="I1142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42" s="91">
        <v>150</v>
      </c>
      <c r="K1142" s="88">
        <v>46273</v>
      </c>
      <c r="L1142" s="9">
        <v>150</v>
      </c>
      <c r="M1142" s="6">
        <v>46280</v>
      </c>
      <c r="N1142" s="6">
        <f t="shared" ca="1" si="5"/>
        <v>46283</v>
      </c>
      <c r="O1142" s="23">
        <f ca="1">TAB_OFICINAS[[#This Row],[Data Retorno Produção]]-TAB_OFICINAS[[#This Row],[Data Prometida  Entrega]]</f>
        <v>3</v>
      </c>
      <c r="P1142" s="98" t="str">
        <f ca="1">IF(TAB_OFICINAS[[#This Row],[Dias Para Entrega]]&lt;=0,"Em dia","Dia de Atrasado")</f>
        <v>Dia de Atrasado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U1142" s="11">
        <v>3.85</v>
      </c>
      <c r="V1142" s="25">
        <f>IFERROR(TAB_OFICINAS[[#This Row],[Valor Unit]]*TAB_OFICINAS[[#This Row],[Qtd pçs Enviadas]]," ")</f>
        <v>577.5</v>
      </c>
      <c r="W1142" s="26"/>
      <c r="X1142" s="17" t="s">
        <v>6251</v>
      </c>
      <c r="Y1142" s="27" t="s">
        <v>23554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customHeight="1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Row],[Cliente]],LISTA_DE_CLIENTES[[Código]:[Nome Fantasia]],2,FALSE),"")</f>
        <v>ONCO STAR SP ONCOLOGIA LTDA (REDE D´OR)</v>
      </c>
      <c r="G1143" s="2" t="str">
        <f>IFERROR(VLOOKUP(TAB_OFICINAS[[#This Row],[Cliente]],LISTA_DE_CLIENTES[[Código]:[Nome Fantasia]],3,FALSE),"")</f>
        <v>R DOR VILA NOVA STAR</v>
      </c>
      <c r="H1143" s="51">
        <v>3301084128</v>
      </c>
      <c r="I114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6251</v>
      </c>
      <c r="Y1143" s="27" t="s">
        <v>23554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customHeight="1">
      <c r="C1144" s="28" t="s">
        <v>15</v>
      </c>
      <c r="D1144" s="5">
        <v>1942</v>
      </c>
      <c r="E1144" s="5">
        <v>24068</v>
      </c>
      <c r="F1144" s="28" t="str">
        <f>IFERROR(VLOOKUP(TAB_OFICINAS[[#This Row],[Cliente]],LISTA_DE_CLIENTES[[Código]:[Nome Fantasia]],2,FALSE),"")</f>
        <v>ONCO STAR SP ONCOLOGIA LTDA (REDE D´OR)</v>
      </c>
      <c r="G1144" s="2" t="str">
        <f>IFERROR(VLOOKUP(TAB_OFICINAS[[#This Row],[Cliente]],LISTA_DE_CLIENTES[[Código]:[Nome Fantasia]],3,FALSE),"")</f>
        <v>R DOR VILA NOVA STAR</v>
      </c>
      <c r="H1144" s="51">
        <v>3301084127</v>
      </c>
      <c r="I114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44" s="91">
        <v>51</v>
      </c>
      <c r="K1144" s="88">
        <v>46279</v>
      </c>
      <c r="L1144" s="9">
        <v>51</v>
      </c>
      <c r="M1144" s="6">
        <v>46281</v>
      </c>
      <c r="N1144" s="6">
        <v>46280</v>
      </c>
      <c r="O1144" s="23">
        <f>TAB_OFICINAS[[#This Row],[Data Retorno Produção]]-TAB_OFICINAS[[#This Row],[Data Prometida  Entrega]]</f>
        <v>-1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T1144" s="5">
        <v>17589</v>
      </c>
      <c r="U1144" s="11">
        <v>3.85</v>
      </c>
      <c r="V1144" s="25">
        <f>IFERROR(TAB_OFICINAS[[#This Row],[Valor Unit]]*TAB_OFICINAS[[#This Row],[Qtd pçs Enviadas]]," ")</f>
        <v>196.35</v>
      </c>
      <c r="W1144" s="26">
        <v>46287</v>
      </c>
      <c r="X1144" s="17" t="s">
        <v>6251</v>
      </c>
      <c r="Y1144" s="27" t="s">
        <v>23554</v>
      </c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customHeight="1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Row],[Cliente]],LISTA_DE_CLIENTES[[Código]:[Nome Fantasia]],2,FALSE),"")</f>
        <v>JARDIM DAS MARGARIDAS EMPREENDIMENTOS HOTELEIROS L</v>
      </c>
      <c r="G1145" s="2" t="str">
        <f>IFERROR(VLOOKUP(TAB_OFICINAS[[#This Row],[Cliente]],LISTA_DE_CLIENTES[[Código]:[Nome Fantasia]],3,FALSE),"")</f>
        <v>MARGARIDAS BOUTIQUE</v>
      </c>
      <c r="H1145" s="51">
        <v>92101065362</v>
      </c>
      <c r="I1145" s="28" t="str">
        <f>IFERROR(VLOOKUP(TAB_OFICINAS[[#This Row],[Codigo Produto ]],_000___PEDIDOS_DE_CLIENTES[[Data.Column2]:[Descrição Produto]],2,FALSE)," ")</f>
        <v>LENÇOL BARRA ESTREITA 4 LADOS 230F MISTO 2,95 X 3,05</v>
      </c>
      <c r="J1145" s="91">
        <v>27</v>
      </c>
      <c r="K1145" s="88">
        <v>46267</v>
      </c>
      <c r="L1145" s="9">
        <v>27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8</v>
      </c>
      <c r="V1145" s="25">
        <f>IFERROR(TAB_OFICINAS[[#This Row],[Valor Unit]]*TAB_OFICINAS[[#This Row],[Qtd pçs Enviadas]]," ")</f>
        <v>216</v>
      </c>
      <c r="W1145" s="26">
        <f>TAB_OFICINAS[[#This Row],[Data Retorno Produção]]+10</f>
        <v>46283</v>
      </c>
      <c r="X1145" s="17" t="s">
        <v>6251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customHeight="1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Row],[Cliente]],LISTA_DE_CLIENTES[[Código]:[Nome Fantasia]],2,FALSE),"")</f>
        <v>JARDIM DAS MARGARIDAS EMPREENDIMENTOS HOTELEIROS L</v>
      </c>
      <c r="G1146" s="2" t="str">
        <f>IFERROR(VLOOKUP(TAB_OFICINAS[[#This Row],[Cliente]],LISTA_DE_CLIENTES[[Código]:[Nome Fantasia]],3,FALSE),"")</f>
        <v>MARGARIDAS BOUTIQUE</v>
      </c>
      <c r="H1146" s="51">
        <v>92101021444</v>
      </c>
      <c r="I1146" s="28" t="str">
        <f>IFERROR(VLOOKUP(TAB_OFICINAS[[#This Row],[Codigo Produto ]],_000___PEDIDOS_DE_CLIENTES[[Data.Column2]:[Descrição Produto]],2,FALSE)," ")</f>
        <v>LENÇOL BAIXO BARRA ESTREITA 4 LADOS 230F MISTO 2,60 X 3,00</v>
      </c>
      <c r="J1146" s="91">
        <v>33</v>
      </c>
      <c r="K1146" s="88">
        <v>46267</v>
      </c>
      <c r="L1146" s="9">
        <v>33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7.5</v>
      </c>
      <c r="V1146" s="25">
        <f>IFERROR(TAB_OFICINAS[[#This Row],[Valor Unit]]*TAB_OFICINAS[[#This Row],[Qtd pçs Enviadas]]," ")</f>
        <v>247.5</v>
      </c>
      <c r="W1146" s="26">
        <f>TAB_OFICINAS[[#This Row],[Data Retorno Produção]]+10</f>
        <v>46283</v>
      </c>
      <c r="X1146" s="17" t="s">
        <v>6251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customHeight="1">
      <c r="C1147" s="28" t="s">
        <v>1</v>
      </c>
      <c r="D1147" s="5">
        <v>5756</v>
      </c>
      <c r="E1147" s="5">
        <v>24353</v>
      </c>
      <c r="F1147" s="28" t="str">
        <f>IFERROR(VLOOKUP(TAB_OFICINAS[[#This Row],[Cliente]],LISTA_DE_CLIENTES[[Código]:[Nome Fantasia]],2,FALSE),"")</f>
        <v>JARDIM DAS MARGARIDAS EMPREENDIMENTOS HOTELEIROS L</v>
      </c>
      <c r="G1147" s="2" t="str">
        <f>IFERROR(VLOOKUP(TAB_OFICINAS[[#This Row],[Cliente]],LISTA_DE_CLIENTES[[Código]:[Nome Fantasia]],3,FALSE),"")</f>
        <v>MARGARIDAS BOUTIQUE</v>
      </c>
      <c r="H1147" s="51">
        <v>92101021443</v>
      </c>
      <c r="I1147" s="28" t="str">
        <f>IFERROR(VLOOKUP(TAB_OFICINAS[[#This Row],[Codigo Produto ]],_000___PEDIDOS_DE_CLIENTES[[Data.Column2]:[Descrição Produto]],2,FALSE)," ")</f>
        <v>LENÇOL BAIXO BARRA ESTREITA 4 LADOS 230F MISTO 2,00 X 3,05</v>
      </c>
      <c r="J1147" s="91">
        <v>20</v>
      </c>
      <c r="K1147" s="88">
        <v>46267</v>
      </c>
      <c r="L1147" s="9">
        <v>20</v>
      </c>
      <c r="M1147" s="6">
        <v>46277</v>
      </c>
      <c r="N1147" s="6">
        <v>46273</v>
      </c>
      <c r="O1147" s="23">
        <f>TAB_OFICINAS[[#This Row],[Data Retorno Produção]]-TAB_OFICINAS[[#This Row],[Data Prometida  Entrega]]</f>
        <v>-4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3400</v>
      </c>
      <c r="T1147" s="5">
        <v>64</v>
      </c>
      <c r="U1147" s="11">
        <v>6</v>
      </c>
      <c r="V1147" s="25">
        <f>IFERROR(TAB_OFICINAS[[#This Row],[Valor Unit]]*TAB_OFICINAS[[#This Row],[Qtd pçs Enviadas]]," ")</f>
        <v>120</v>
      </c>
      <c r="W1147" s="26">
        <f>TAB_OFICINAS[[#This Row],[Data Retorno Produção]]+10</f>
        <v>46283</v>
      </c>
      <c r="X1147" s="17" t="s">
        <v>6251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customHeight="1">
      <c r="C1148" s="28" t="s">
        <v>1</v>
      </c>
      <c r="D1148" s="5">
        <v>5756</v>
      </c>
      <c r="E1148" s="5">
        <v>24353</v>
      </c>
      <c r="F1148" s="28" t="str">
        <f>IFERROR(VLOOKUP(TAB_OFICINAS[[#This Row],[Cliente]],LISTA_DE_CLIENTES[[Código]:[Nome Fantasia]],2,FALSE),"")</f>
        <v>JARDIM DAS MARGARIDAS EMPREENDIMENTOS HOTELEIROS L</v>
      </c>
      <c r="G1148" s="2" t="str">
        <f>IFERROR(VLOOKUP(TAB_OFICINAS[[#This Row],[Cliente]],LISTA_DE_CLIENTES[[Código]:[Nome Fantasia]],3,FALSE),"")</f>
        <v>MARGARIDAS BOUTIQUE</v>
      </c>
      <c r="H1148" s="51">
        <v>92115864092</v>
      </c>
      <c r="I1148" s="28" t="str">
        <f>IFERROR(VLOOKUP(TAB_OFICINAS[[#This Row],[Codigo Produto ]],_000___PEDIDOS_DE_CLIENTES[[Data.Column2]:[Descrição Produto]],2,FALSE)," ")</f>
        <v>LENÇOL CIMA CLASSIC 230F MISTO CLASSIC 2,95 X 2,55</v>
      </c>
      <c r="J1148" s="91">
        <v>27</v>
      </c>
      <c r="K1148" s="88">
        <v>46267</v>
      </c>
      <c r="L1148" s="9">
        <v>27</v>
      </c>
      <c r="M1148" s="6">
        <v>46277</v>
      </c>
      <c r="N1148" s="6">
        <v>46273</v>
      </c>
      <c r="O1148" s="23">
        <f>TAB_OFICINAS[[#This Row],[Data Retorno Produção]]-TAB_OFICINAS[[#This Row],[Data Prometida  Entrega]]</f>
        <v>-4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0</v>
      </c>
      <c r="R1148" s="24"/>
      <c r="S1148" s="5">
        <v>3400</v>
      </c>
      <c r="T1148" s="5">
        <v>64</v>
      </c>
      <c r="U1148" s="11">
        <v>8.5</v>
      </c>
      <c r="V1148" s="25">
        <f>IFERROR(TAB_OFICINAS[[#This Row],[Valor Unit]]*TAB_OFICINAS[[#This Row],[Qtd pçs Enviadas]]," ")</f>
        <v>229.5</v>
      </c>
      <c r="W1148" s="26">
        <f>TAB_OFICINAS[[#This Row],[Data Retorno Produção]]+10</f>
        <v>46283</v>
      </c>
      <c r="X1148" s="17" t="s">
        <v>6251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9" spans="3:26" ht="14.25" customHeight="1">
      <c r="C1149" s="28" t="s">
        <v>1</v>
      </c>
      <c r="D1149" s="5">
        <v>5756</v>
      </c>
      <c r="E1149" s="5">
        <v>24353</v>
      </c>
      <c r="F1149" s="28" t="str">
        <f>IFERROR(VLOOKUP(TAB_OFICINAS[[#This Row],[Cliente]],LISTA_DE_CLIENTES[[Código]:[Nome Fantasia]],2,FALSE),"")</f>
        <v>JARDIM DAS MARGARIDAS EMPREENDIMENTOS HOTELEIROS L</v>
      </c>
      <c r="G1149" s="2" t="str">
        <f>IFERROR(VLOOKUP(TAB_OFICINAS[[#This Row],[Cliente]],LISTA_DE_CLIENTES[[Código]:[Nome Fantasia]],3,FALSE),"")</f>
        <v>MARGARIDAS BOUTIQUE</v>
      </c>
      <c r="H1149" s="51">
        <v>92102111810</v>
      </c>
      <c r="I1149" s="28" t="str">
        <f>IFERROR(VLOOKUP(TAB_OFICINAS[[#This Row],[Codigo Produto ]],_000___PEDIDOS_DE_CLIENTES[[Data.Column2]:[Descrição Produto]],2,FALSE)," ")</f>
        <v>LENÇOL CIMA 230FIOS MISTO CLASSIC 2,60 X 2,50</v>
      </c>
      <c r="J1149" s="91">
        <v>33</v>
      </c>
      <c r="K1149" s="88">
        <v>46267</v>
      </c>
      <c r="L1149" s="9">
        <v>33</v>
      </c>
      <c r="M1149" s="6">
        <v>46277</v>
      </c>
      <c r="N1149" s="6">
        <v>46273</v>
      </c>
      <c r="O1149" s="23">
        <f>TAB_OFICINAS[[#This Row],[Data Retorno Produção]]-TAB_OFICINAS[[#This Row],[Data Prometida  Entrega]]</f>
        <v>-4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3400</v>
      </c>
      <c r="T1149" s="5">
        <v>64</v>
      </c>
      <c r="U1149" s="11">
        <v>8</v>
      </c>
      <c r="V1149" s="25">
        <f>IFERROR(TAB_OFICINAS[[#This Row],[Valor Unit]]*TAB_OFICINAS[[#This Row],[Qtd pçs Enviadas]]," ")</f>
        <v>264</v>
      </c>
      <c r="W1149" s="26">
        <f>TAB_OFICINAS[[#This Row],[Data Retorno Produção]]+10</f>
        <v>46283</v>
      </c>
      <c r="X1149" s="17" t="s">
        <v>6251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customHeight="1">
      <c r="C1150" s="28" t="s">
        <v>1</v>
      </c>
      <c r="D1150" s="5">
        <v>5756</v>
      </c>
      <c r="E1150" s="5">
        <v>24353</v>
      </c>
      <c r="F1150" s="28" t="str">
        <f>IFERROR(VLOOKUP(TAB_OFICINAS[[#This Row],[Cliente]],LISTA_DE_CLIENTES[[Código]:[Nome Fantasia]],2,FALSE),"")</f>
        <v>JARDIM DAS MARGARIDAS EMPREENDIMENTOS HOTELEIROS L</v>
      </c>
      <c r="G1150" s="2" t="str">
        <f>IFERROR(VLOOKUP(TAB_OFICINAS[[#This Row],[Cliente]],LISTA_DE_CLIENTES[[Código]:[Nome Fantasia]],3,FALSE),"")</f>
        <v>MARGARIDAS BOUTIQUE</v>
      </c>
      <c r="H1150" s="51">
        <v>92102030432</v>
      </c>
      <c r="I1150" s="28" t="str">
        <f>IFERROR(VLOOKUP(TAB_OFICINAS[[#This Row],[Codigo Produto ]],_000___PEDIDOS_DE_CLIENTES[[Data.Column2]:[Descrição Produto]],2,FALSE)," ")</f>
        <v>LENÇOL CIMA 230F MISTO CLASSIC 2,00 X 2,55</v>
      </c>
      <c r="J1150" s="91">
        <v>20</v>
      </c>
      <c r="K1150" s="88">
        <v>46267</v>
      </c>
      <c r="L1150" s="9">
        <v>20</v>
      </c>
      <c r="M1150" s="6">
        <v>46277</v>
      </c>
      <c r="N1150" s="6">
        <v>46273</v>
      </c>
      <c r="O1150" s="23">
        <f>TAB_OFICINAS[[#This Row],[Data Retorno Produção]]-TAB_OFICINAS[[#This Row],[Data Prometida  Entrega]]</f>
        <v>-4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3400</v>
      </c>
      <c r="T1150" s="5">
        <v>64</v>
      </c>
      <c r="U1150" s="11">
        <v>6.5</v>
      </c>
      <c r="V1150" s="25">
        <f>IFERROR(TAB_OFICINAS[[#This Row],[Valor Unit]]*TAB_OFICINAS[[#This Row],[Qtd pçs Enviadas]]," ")</f>
        <v>130</v>
      </c>
      <c r="W1150" s="26">
        <f>TAB_OFICINAS[[#This Row],[Data Retorno Produção]]+10</f>
        <v>46283</v>
      </c>
      <c r="X1150" s="17" t="s">
        <v>6251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customHeight="1">
      <c r="C1151" s="28" t="s">
        <v>1</v>
      </c>
      <c r="D1151" s="5">
        <v>5645</v>
      </c>
      <c r="E1151" s="5">
        <v>23888</v>
      </c>
      <c r="F1151" s="28" t="str">
        <f>IFERROR(VLOOKUP(TAB_OFICINAS[[#This Row],[Cliente]],LISTA_DE_CLIENTES[[Código]:[Nome Fantasia]],2,FALSE),"")</f>
        <v>HCC HOTELS GESTAO HOTELEIRA SA</v>
      </c>
      <c r="G1151" s="2" t="str">
        <f>IFERROR(VLOOKUP(TAB_OFICINAS[[#This Row],[Cliente]],LISTA_DE_CLIENTES[[Código]:[Nome Fantasia]],3,FALSE),"")</f>
        <v>CASA COSTA</v>
      </c>
      <c r="H1151" s="51">
        <v>92115011196</v>
      </c>
      <c r="I1151" s="28" t="str">
        <f>IFERROR(VLOOKUP(TAB_OFICINAS[[#This Row],[Codigo Produto ]],_000___PEDIDOS_DE_CLIENTES[[Data.Column2]:[Descrição Produto]],2,FALSE)," ")</f>
        <v>DUVET (CAPA) 300F MISTO ACABAMENTO MODELO ENVELOPE CLASSIC 2,60 X 2,40</v>
      </c>
      <c r="J1151" s="91">
        <v>113</v>
      </c>
      <c r="K1151" s="88">
        <v>46268</v>
      </c>
      <c r="L1151" s="9">
        <v>113</v>
      </c>
      <c r="M1151" s="6">
        <v>46293</v>
      </c>
      <c r="N1151" s="6">
        <v>46279</v>
      </c>
      <c r="O1151" s="23">
        <f>TAB_OFICINAS[[#This Row],[Data Retorno Produção]]-TAB_OFICINAS[[#This Row],[Data Prometida  Entrega]]</f>
        <v>-14</v>
      </c>
      <c r="P1151" s="98" t="str">
        <f>IF(TAB_OFICINAS[[#This Row],[Dias Para Entrega]]&lt;=0,"Em dia","Dia de Atrasado")</f>
        <v>Em dia</v>
      </c>
      <c r="Q1151" s="24">
        <f>IFERROR(TAB_OFICINAS[[#This Row],[Qtd pçs Enviadas]]-TAB_OFICINAS[[#This Row],[Qtd pçs Retornadas ]],"N/D ")</f>
        <v>0</v>
      </c>
      <c r="R1151" s="24"/>
      <c r="S1151" s="5">
        <v>3402</v>
      </c>
      <c r="T1151" s="5">
        <v>65</v>
      </c>
      <c r="U1151" s="11">
        <v>16</v>
      </c>
      <c r="V1151" s="25">
        <f>IFERROR(TAB_OFICINAS[[#This Row],[Valor Unit]]*TAB_OFICINAS[[#This Row],[Qtd pçs Enviadas]]," ")</f>
        <v>1808</v>
      </c>
      <c r="W1151" s="26">
        <f>TAB_OFICINAS[[#This Row],[Data Retorno Produção]]+10</f>
        <v>46289</v>
      </c>
      <c r="X1151" s="17" t="s">
        <v>6251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2" spans="3:26" ht="14.25" customHeight="1">
      <c r="C1152" s="28" t="s">
        <v>21273</v>
      </c>
      <c r="D1152" s="5">
        <v>1942</v>
      </c>
      <c r="E1152" s="5">
        <v>24068</v>
      </c>
      <c r="F1152" s="28" t="str">
        <f>IFERROR(VLOOKUP(TAB_OFICINAS[[#This Row],[Cliente]],LISTA_DE_CLIENTES[[Código]:[Nome Fantasia]],2,FALSE),"")</f>
        <v>ONCO STAR SP ONCOLOGIA LTDA (REDE D´OR)</v>
      </c>
      <c r="G1152" s="2" t="str">
        <f>IFERROR(VLOOKUP(TAB_OFICINAS[[#This Row],[Cliente]],LISTA_DE_CLIENTES[[Código]:[Nome Fantasia]],3,FALSE),"")</f>
        <v>R DOR VILA NOVA STAR</v>
      </c>
      <c r="H1152" s="51">
        <v>3301084127</v>
      </c>
      <c r="I1152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52" s="91">
        <v>150</v>
      </c>
      <c r="K1152" s="88">
        <v>46276</v>
      </c>
      <c r="M1152" s="6">
        <v>46293</v>
      </c>
      <c r="N1152" s="6">
        <f t="shared" ca="1" si="5"/>
        <v>46283</v>
      </c>
      <c r="O1152" s="23">
        <f ca="1">TAB_OFICINAS[[#This Row],[Data Retorno Produção]]-TAB_OFICINAS[[#This Row],[Data Prometida  Entrega]]</f>
        <v>-10</v>
      </c>
      <c r="P1152" s="98" t="str">
        <f ca="1">IF(TAB_OFICINAS[[#This Row],[Dias Para Entrega]]&lt;=0,"Em dia","Dia de Atrasado")</f>
        <v>Em dia</v>
      </c>
      <c r="Q1152" s="24">
        <f>IFERROR(TAB_OFICINAS[[#This Row],[Qtd pçs Enviadas]]-TAB_OFICINAS[[#This Row],[Qtd pçs Retornadas ]],"N/D ")</f>
        <v>150</v>
      </c>
      <c r="R1152" s="24"/>
      <c r="S1152" s="5">
        <v>1008</v>
      </c>
      <c r="U1152" s="11">
        <v>16</v>
      </c>
      <c r="V1152" s="25">
        <f>IFERROR(TAB_OFICINAS[[#This Row],[Valor Unit]]*TAB_OFICINAS[[#This Row],[Qtd pçs Enviadas]]," ")</f>
        <v>2400</v>
      </c>
      <c r="W1152" s="26"/>
      <c r="X1152" s="17" t="s">
        <v>6251</v>
      </c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3" spans="3:26" ht="14.25" customHeight="1">
      <c r="C1153" s="28" t="s">
        <v>18</v>
      </c>
      <c r="D1153" s="5">
        <v>1942</v>
      </c>
      <c r="E1153" s="5">
        <v>24068</v>
      </c>
      <c r="F1153" s="28" t="str">
        <f>IFERROR(VLOOKUP(TAB_OFICINAS[[#This Row],[Cliente]],LISTA_DE_CLIENTES[[Código]:[Nome Fantasia]],2,FALSE),"")</f>
        <v>ONCO STAR SP ONCOLOGIA LTDA (REDE D´OR)</v>
      </c>
      <c r="G1153" s="2" t="str">
        <f>IFERROR(VLOOKUP(TAB_OFICINAS[[#This Row],[Cliente]],LISTA_DE_CLIENTES[[Código]:[Nome Fantasia]],3,FALSE),"")</f>
        <v>R DOR VILA NOVA STAR</v>
      </c>
      <c r="H1153" s="51">
        <v>3301084128</v>
      </c>
      <c r="I115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53" s="91">
        <v>150</v>
      </c>
      <c r="K1153" s="88">
        <v>46274</v>
      </c>
      <c r="M1153" s="6">
        <v>46293</v>
      </c>
      <c r="N1153" s="6">
        <f t="shared" ca="1" si="5"/>
        <v>46283</v>
      </c>
      <c r="O1153" s="23">
        <f ca="1">TAB_OFICINAS[[#This Row],[Data Retorno Produção]]-TAB_OFICINAS[[#This Row],[Data Prometida  Entrega]]</f>
        <v>-10</v>
      </c>
      <c r="P1153" s="98" t="str">
        <f ca="1"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150</v>
      </c>
      <c r="R1153" s="24"/>
      <c r="S1153" s="5">
        <v>1006</v>
      </c>
      <c r="U1153" s="11">
        <v>14</v>
      </c>
      <c r="V1153" s="25">
        <f>IFERROR(TAB_OFICINAS[[#This Row],[Valor Unit]]*TAB_OFICINAS[[#This Row],[Qtd pçs Enviadas]]," ")</f>
        <v>2100</v>
      </c>
      <c r="W1153" s="26"/>
      <c r="X1153" s="17" t="s">
        <v>6251</v>
      </c>
      <c r="Y1153" s="27"/>
      <c r="Z1153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4" spans="3:26" ht="14.25" customHeight="1">
      <c r="C1154" s="28" t="s">
        <v>19</v>
      </c>
      <c r="D1154" s="5">
        <v>1942</v>
      </c>
      <c r="E1154" s="5">
        <v>24068</v>
      </c>
      <c r="F1154" s="28" t="str">
        <f>IFERROR(VLOOKUP(TAB_OFICINAS[[#This Row],[Cliente]],LISTA_DE_CLIENTES[[Código]:[Nome Fantasia]],2,FALSE),"")</f>
        <v>ONCO STAR SP ONCOLOGIA LTDA (REDE D´OR)</v>
      </c>
      <c r="G1154" s="2" t="str">
        <f>IFERROR(VLOOKUP(TAB_OFICINAS[[#This Row],[Cliente]],LISTA_DE_CLIENTES[[Código]:[Nome Fantasia]],3,FALSE),"")</f>
        <v>R DOR VILA NOVA STAR</v>
      </c>
      <c r="H1154" s="51">
        <v>3301084164</v>
      </c>
      <c r="I1154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154" s="91">
        <v>150</v>
      </c>
      <c r="K1154" s="88">
        <v>46276</v>
      </c>
      <c r="M1154" s="6">
        <v>46293</v>
      </c>
      <c r="N1154" s="6">
        <f t="shared" ca="1" si="5"/>
        <v>46283</v>
      </c>
      <c r="O1154" s="23">
        <f ca="1">TAB_OFICINAS[[#This Row],[Data Retorno Produção]]-TAB_OFICINAS[[#This Row],[Data Prometida  Entrega]]</f>
        <v>-10</v>
      </c>
      <c r="P1154" s="98" t="str">
        <f ca="1"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150</v>
      </c>
      <c r="R1154" s="24"/>
      <c r="S1154" s="5">
        <v>1007</v>
      </c>
      <c r="U1154" s="11">
        <v>14</v>
      </c>
      <c r="V1154" s="25">
        <f>IFERROR(TAB_OFICINAS[[#This Row],[Valor Unit]]*TAB_OFICINAS[[#This Row],[Qtd pçs Enviadas]]," ")</f>
        <v>2100</v>
      </c>
      <c r="W1154" s="26"/>
      <c r="X1154" s="17" t="s">
        <v>6251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5" spans="3:26" ht="14.25" customHeight="1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Row],[Cliente]],LISTA_DE_CLIENTES[[Código]:[Nome Fantasia]],2,FALSE),"")</f>
        <v>HCC HOTELS GESTAO HOTELEIRA SA</v>
      </c>
      <c r="G1155" s="2" t="str">
        <f>IFERROR(VLOOKUP(TAB_OFICINAS[[#This Row],[Cliente]],LISTA_DE_CLIENTES[[Código]:[Nome Fantasia]],3,FALSE),"")</f>
        <v>CASA COSTA</v>
      </c>
      <c r="H1155" s="51">
        <v>3101011204</v>
      </c>
      <c r="I1155" s="28" t="str">
        <f>IFERROR(VLOOKUP(TAB_OFICINAS[[#This Row],[Codigo Produto ]],_000___PEDIDOS_DE_CLIENTES[[Data.Column2]:[Descrição Produto]],2,FALSE)," ")</f>
        <v>PESEIRA DUPLA ACABAMENTO CORDONE TODA VOLTA BOHEMIAN BEGE 0,60 X 2,70</v>
      </c>
      <c r="J1155" s="91">
        <v>70</v>
      </c>
      <c r="K1155" s="88">
        <v>46269</v>
      </c>
      <c r="M1155" s="6">
        <v>46293</v>
      </c>
      <c r="N1155" s="6">
        <f t="shared" ca="1" si="5"/>
        <v>46283</v>
      </c>
      <c r="O1155" s="23">
        <f ca="1">TAB_OFICINAS[[#This Row],[Data Retorno Produção]]-TAB_OFICINAS[[#This Row],[Data Prometida  Entrega]]</f>
        <v>-10</v>
      </c>
      <c r="P1155" s="98" t="str">
        <f ca="1"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70</v>
      </c>
      <c r="R1155" s="24"/>
      <c r="S1155" s="5">
        <v>3405</v>
      </c>
      <c r="U1155" s="11">
        <v>11.9</v>
      </c>
      <c r="V1155" s="25">
        <f>IFERROR(TAB_OFICINAS[[#This Row],[Valor Unit]]*TAB_OFICINAS[[#This Row],[Qtd pçs Enviadas]]," ")</f>
        <v>833</v>
      </c>
      <c r="W1155" s="26"/>
      <c r="X1155" s="17" t="s">
        <v>6251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70 Pçs Pendente</v>
      </c>
    </row>
    <row r="1156" spans="3:26" ht="14.25" customHeight="1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Row],[Cliente]],LISTA_DE_CLIENTES[[Código]:[Nome Fantasia]],2,FALSE),"")</f>
        <v>HCC HOTELS GESTAO HOTELEIRA SA</v>
      </c>
      <c r="G1156" s="2" t="str">
        <f>IFERROR(VLOOKUP(TAB_OFICINAS[[#This Row],[Cliente]],LISTA_DE_CLIENTES[[Código]:[Nome Fantasia]],3,FALSE),"")</f>
        <v>CASA COSTA</v>
      </c>
      <c r="H1156" s="51">
        <v>3101011203</v>
      </c>
      <c r="I1156" s="28" t="str">
        <f>IFERROR(VLOOKUP(TAB_OFICINAS[[#This Row],[Codigo Produto ]],_000___PEDIDOS_DE_CLIENTES[[Data.Column2]:[Descrição Produto]],2,FALSE)," ")</f>
        <v>PESEIRA DUPLA ACABAMENTO CORDONE TODA VOLTA BOHEMIAN BEGE 0,60 X 1,70</v>
      </c>
      <c r="J1156" s="91">
        <v>16</v>
      </c>
      <c r="K1156" s="88">
        <v>46269</v>
      </c>
      <c r="M1156" s="6">
        <v>46293</v>
      </c>
      <c r="N1156" s="6">
        <f t="shared" ca="1" si="5"/>
        <v>46283</v>
      </c>
      <c r="O1156" s="23">
        <f ca="1">TAB_OFICINAS[[#This Row],[Data Retorno Produção]]-TAB_OFICINAS[[#This Row],[Data Prometida  Entrega]]</f>
        <v>-10</v>
      </c>
      <c r="P1156" s="98" t="str">
        <f ca="1"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16</v>
      </c>
      <c r="R1156" s="24"/>
      <c r="S1156" s="5">
        <v>3405</v>
      </c>
      <c r="U1156" s="11">
        <v>8</v>
      </c>
      <c r="V1156" s="25">
        <f>IFERROR(TAB_OFICINAS[[#This Row],[Valor Unit]]*TAB_OFICINAS[[#This Row],[Qtd pçs Enviadas]]," ")</f>
        <v>128</v>
      </c>
      <c r="W1156" s="26"/>
      <c r="X1156" s="17" t="s">
        <v>6251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157" spans="3:26" ht="14.25" customHeight="1">
      <c r="C1157" s="28" t="s">
        <v>3</v>
      </c>
      <c r="D1157" s="5">
        <v>5645</v>
      </c>
      <c r="E1157" s="5">
        <v>23888</v>
      </c>
      <c r="F1157" s="28" t="str">
        <f>IFERROR(VLOOKUP(TAB_OFICINAS[[#This Row],[Cliente]],LISTA_DE_CLIENTES[[Código]:[Nome Fantasia]],2,FALSE),"")</f>
        <v>HCC HOTELS GESTAO HOTELEIRA SA</v>
      </c>
      <c r="G1157" s="2" t="str">
        <f>IFERROR(VLOOKUP(TAB_OFICINAS[[#This Row],[Cliente]],LISTA_DE_CLIENTES[[Código]:[Nome Fantasia]],3,FALSE),"")</f>
        <v>CASA COSTA</v>
      </c>
      <c r="H1157" s="51">
        <v>2111261202</v>
      </c>
      <c r="I1157" s="28" t="str">
        <f>IFERROR(VLOOKUP(TAB_OFICINAS[[#This Row],[Codigo Produto ]],_000___PEDIDOS_DE_CLIENTES[[Data.Column2]:[Descrição Produto]],2,FALSE)," ")</f>
        <v>CAPA ALMOFADA SEM ABA ACABAMENTO CORDONE TODA VOLTA FECHAMENTO COM ZÍPER BOHEMIAN BEGE COM LOGO ESTRELA COR 5308     -     0,50 X 0,50</v>
      </c>
      <c r="J1157" s="91">
        <v>71</v>
      </c>
      <c r="K1157" s="88">
        <v>46269</v>
      </c>
      <c r="M1157" s="6">
        <v>46293</v>
      </c>
      <c r="N1157" s="6">
        <f t="shared" ca="1" si="5"/>
        <v>46283</v>
      </c>
      <c r="O1157" s="23">
        <f ca="1">TAB_OFICINAS[[#This Row],[Data Retorno Produção]]-TAB_OFICINAS[[#This Row],[Data Prometida  Entrega]]</f>
        <v>-10</v>
      </c>
      <c r="P1157" s="98" t="str">
        <f ca="1"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71</v>
      </c>
      <c r="R1157" s="24"/>
      <c r="S1157" s="5">
        <v>3405</v>
      </c>
      <c r="U1157" s="11">
        <v>6.5</v>
      </c>
      <c r="V1157" s="25">
        <f>IFERROR(TAB_OFICINAS[[#This Row],[Valor Unit]]*TAB_OFICINAS[[#This Row],[Qtd pçs Enviadas]]," ")</f>
        <v>461.5</v>
      </c>
      <c r="W1157" s="26"/>
      <c r="X1157" s="17" t="s">
        <v>6251</v>
      </c>
      <c r="Y1157" s="27"/>
      <c r="Z1157" s="90" t="str">
        <f>IF(TAB_OFICINAS[[#This Row],[Qtd pçs Enviadas]]=TAB_OFICINAS[[#This Row],[Qtd pçs Retornadas ]],"Produção Finalizada",TAB_OFICINAS[[#This Row],[Qtd pçs Pendetente ]] &amp; " " &amp; "Pçs Pendente")</f>
        <v>71 Pçs Pendente</v>
      </c>
    </row>
    <row r="1158" spans="3:26" ht="14.25" customHeight="1">
      <c r="C1158" s="28" t="s">
        <v>15</v>
      </c>
      <c r="D1158" s="5">
        <v>4422</v>
      </c>
      <c r="E1158" s="5">
        <v>24319</v>
      </c>
      <c r="F1158" s="28" t="str">
        <f>IFERROR(VLOOKUP(TAB_OFICINAS[[#This Row],[Cliente]],LISTA_DE_CLIENTES[[Código]:[Nome Fantasia]],2,FALSE),"")</f>
        <v>VOAR AVIATION TAXI AEREO E MANUTENCAO LTDA.</v>
      </c>
      <c r="G1158" s="2" t="str">
        <f>IFERROR(VLOOKUP(TAB_OFICINAS[[#This Row],[Cliente]],LISTA_DE_CLIENTES[[Código]:[Nome Fantasia]],3,FALSE),"")</f>
        <v>VOAR AVIATION</v>
      </c>
      <c r="H1158" s="51">
        <v>92111016797</v>
      </c>
      <c r="I1158" s="28" t="str">
        <f>IFERROR(VLOOKUP(TAB_OFICINAS[[#This Row],[Codigo Produto ]],_000___PEDIDOS_DE_CLIENTES[[Data.Column2]:[Descrição Produto]],2,FALSE)," ")</f>
        <v>CAPA ALMOFADA 4 ABAS 400F 100%ALGODÃO 0,30 X 0,40 ACABAMENTO FESTONÊ COR BRANCA C/ LOGO + VOAR COR BRANCA</v>
      </c>
      <c r="J1158" s="91">
        <v>100</v>
      </c>
      <c r="K1158" s="88">
        <v>46279</v>
      </c>
      <c r="L1158" s="9">
        <v>100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T1158" s="5">
        <v>17589</v>
      </c>
      <c r="U1158" s="11">
        <v>4</v>
      </c>
      <c r="V1158" s="25">
        <f>IFERROR(TAB_OFICINAS[[#This Row],[Valor Unit]]*TAB_OFICINAS[[#This Row],[Qtd pçs Enviadas]]," ")</f>
        <v>400</v>
      </c>
      <c r="W1158" s="26">
        <v>46287</v>
      </c>
      <c r="X1158" s="17" t="s">
        <v>6251</v>
      </c>
      <c r="Y1158" s="27" t="s">
        <v>25014</v>
      </c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customHeight="1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Row],[Cliente]],LISTA_DE_CLIENTES[[Código]:[Nome Fantasia]],2,FALSE),"")</f>
        <v>GISLAINE RAFIK</v>
      </c>
      <c r="G1159" s="2" t="str">
        <f>IFERROR(VLOOKUP(TAB_OFICINAS[[#This Row],[Cliente]],LISTA_DE_CLIENTES[[Código]:[Nome Fantasia]],3,FALSE),"")</f>
        <v>GISLAINE RAFIK</v>
      </c>
      <c r="H1159" s="51">
        <v>3105015332</v>
      </c>
      <c r="I1159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6251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customHeight="1">
      <c r="C1160" s="28" t="s">
        <v>15</v>
      </c>
      <c r="D1160" s="5">
        <v>5737</v>
      </c>
      <c r="E1160" s="5">
        <v>24314</v>
      </c>
      <c r="F1160" s="28" t="str">
        <f>IFERROR(VLOOKUP(TAB_OFICINAS[[#This Row],[Cliente]],LISTA_DE_CLIENTES[[Código]:[Nome Fantasia]],2,FALSE),"")</f>
        <v>GISLAINE RAFIK</v>
      </c>
      <c r="G1160" s="2" t="str">
        <f>IFERROR(VLOOKUP(TAB_OFICINAS[[#This Row],[Cliente]],LISTA_DE_CLIENTES[[Código]:[Nome Fantasia]],3,FALSE),"")</f>
        <v>GISLAINE RAFIK</v>
      </c>
      <c r="H1160" s="51">
        <v>3161091427</v>
      </c>
      <c r="I1160" s="28" t="str">
        <f>IFERROR(VLOOKUP(TAB_OFICINAS[[#This Row],[Codigo Produto ]],_000___PEDIDOS_DE_CLIENTES[[Data.Column2]:[Descrição Produto]],2,FALSE)," ")</f>
        <v>TOALHA DE BANHO BABY  COM CAPUZ FELPA BRANCA E CORDONÊ ROSE C/ LOGO - 0,70 X 0,90</v>
      </c>
      <c r="J1160" s="91">
        <v>1</v>
      </c>
      <c r="K1160" s="88">
        <v>46276</v>
      </c>
      <c r="L1160" s="9">
        <v>1</v>
      </c>
      <c r="M1160" s="6">
        <v>46281</v>
      </c>
      <c r="N1160" s="6">
        <v>46280</v>
      </c>
      <c r="O1160" s="23">
        <f>TAB_OFICINAS[[#This Row],[Data Retorno Produção]]-TAB_OFICINAS[[#This Row],[Data Prometida  Entrega]]</f>
        <v>-1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S1160" s="5">
        <v>3409</v>
      </c>
      <c r="T1160" s="5">
        <v>17588</v>
      </c>
      <c r="U1160" s="11">
        <v>12</v>
      </c>
      <c r="V1160" s="25">
        <f>IFERROR(TAB_OFICINAS[[#This Row],[Valor Unit]]*TAB_OFICINAS[[#This Row],[Qtd pçs Enviadas]]," ")</f>
        <v>12</v>
      </c>
      <c r="W1160" s="26"/>
      <c r="X1160" s="17" t="s">
        <v>6251</v>
      </c>
      <c r="Y1160" s="27"/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customHeight="1">
      <c r="F1161" s="28" t="str">
        <f>IFERROR(VLOOKUP(TAB_OFICINAS[[#This Row],[Cliente]],LISTA_DE_CLIENTES[[Código]:[Nome Fantasia]],2,FALSE),"")</f>
        <v/>
      </c>
      <c r="G1161" s="2" t="str">
        <f>IFERROR(VLOOKUP(TAB_OFICINAS[[#This Row],[Cliente]],LISTA_DE_CLIENTES[[Código]:[Nome Fantasia]],3,FALSE),"")</f>
        <v/>
      </c>
      <c r="H1161" s="51"/>
      <c r="I1161" s="28" t="str">
        <f>IFERROR(VLOOKUP(TAB_OFICINAS[[#This Row],[Codigo Produto ]],_000___PEDIDOS_DE_CLIENTES[[Data.Column2]:[Descrição Produto]],2,FALSE)," ")</f>
        <v xml:space="preserve"> </v>
      </c>
      <c r="J1161" s="91"/>
      <c r="K1161" s="88"/>
      <c r="N1161" s="6">
        <f t="shared" ca="1" si="5"/>
        <v>46283</v>
      </c>
      <c r="O1161" s="23">
        <f ca="1">TAB_OFICINAS[[#This Row],[Data Retorno Produção]]-TAB_OFICINAS[[#This Row],[Data Prometida  Entrega]]</f>
        <v>46283</v>
      </c>
      <c r="P1161" s="98" t="str">
        <f ca="1">IF(TAB_OFICINAS[[#This Row],[Dias Para Entrega]]&lt;=0,"Em dia","Dia de Atrasado")</f>
        <v>Dia de Atrasado</v>
      </c>
      <c r="Q1161" s="24">
        <f>IFERROR(TAB_OFICINAS[[#This Row],[Qtd pçs Enviadas]]-TAB_OFICINAS[[#This Row],[Qtd pçs Retornadas ]],"N/D ")</f>
        <v>0</v>
      </c>
      <c r="R1161" s="24"/>
      <c r="U1161" s="11"/>
      <c r="V1161" s="25">
        <f>IFERROR(TAB_OFICINAS[[#This Row],[Valor Unit]]*TAB_OFICINAS[[#This Row],[Qtd pçs Enviadas]]," ")</f>
        <v>0</v>
      </c>
      <c r="W1161" s="26"/>
      <c r="X1161" s="17" t="s">
        <v>6251</v>
      </c>
      <c r="Y1161" s="27"/>
      <c r="Z11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2" spans="3:26" ht="14.25" customHeight="1">
      <c r="F1162" s="28" t="str">
        <f>IFERROR(VLOOKUP(TAB_OFICINAS[[#This Row],[Cliente]],LISTA_DE_CLIENTES[[Código]:[Nome Fantasia]],2,FALSE),"")</f>
        <v/>
      </c>
      <c r="G1162" s="2" t="str">
        <f>IFERROR(VLOOKUP(TAB_OFICINAS[[#This Row],[Cliente]],LISTA_DE_CLIENTES[[Código]:[Nome Fantasia]],3,FALSE),"")</f>
        <v/>
      </c>
      <c r="H1162" s="51"/>
      <c r="I1162" s="28" t="str">
        <f>IFERROR(VLOOKUP(TAB_OFICINAS[[#This Row],[Codigo Produto ]],_000___PEDIDOS_DE_CLIENTES[[Data.Column2]:[Descrição Produto]],2,FALSE)," ")</f>
        <v xml:space="preserve"> </v>
      </c>
      <c r="J1162" s="91"/>
      <c r="K1162" s="88"/>
      <c r="N1162" s="6">
        <f t="shared" ca="1" si="5"/>
        <v>46283</v>
      </c>
      <c r="O1162" s="23">
        <f ca="1">TAB_OFICINAS[[#This Row],[Data Retorno Produção]]-TAB_OFICINAS[[#This Row],[Data Prometida  Entrega]]</f>
        <v>46283</v>
      </c>
      <c r="P1162" s="98" t="str">
        <f ca="1">IF(TAB_OFICINAS[[#This Row],[Dias Para Entrega]]&lt;=0,"Em dia","Dia de Atrasado")</f>
        <v>Dia de Atrasado</v>
      </c>
      <c r="Q1162" s="24">
        <f>IFERROR(TAB_OFICINAS[[#This Row],[Qtd pçs Enviadas]]-TAB_OFICINAS[[#This Row],[Qtd pçs Retornadas ]],"N/D ")</f>
        <v>0</v>
      </c>
      <c r="R1162" s="24"/>
      <c r="U1162" s="11"/>
      <c r="V1162" s="25">
        <f>IFERROR(TAB_OFICINAS[[#This Row],[Valor Unit]]*TAB_OFICINAS[[#This Row],[Qtd pçs Enviadas]]," ")</f>
        <v>0</v>
      </c>
      <c r="W1162" s="26"/>
      <c r="X1162" s="17" t="s">
        <v>6251</v>
      </c>
      <c r="Y1162" s="27"/>
      <c r="Z11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3" spans="3:26" ht="14.25" customHeight="1">
      <c r="F1163" s="28" t="str">
        <f>IFERROR(VLOOKUP(TAB_OFICINAS[[#This Row],[Cliente]],LISTA_DE_CLIENTES[[Código]:[Nome Fantasia]],2,FALSE),"")</f>
        <v/>
      </c>
      <c r="G1163" s="2" t="str">
        <f>IFERROR(VLOOKUP(TAB_OFICINAS[[#This Row],[Cliente]],LISTA_DE_CLIENTES[[Código]:[Nome Fantasia]],3,FALSE),"")</f>
        <v/>
      </c>
      <c r="H1163" s="51"/>
      <c r="I1163" s="28" t="str">
        <f>IFERROR(VLOOKUP(TAB_OFICINAS[[#This Row],[Codigo Produto ]],_000___PEDIDOS_DE_CLIENTES[[Data.Column2]:[Descrição Produto]],2,FALSE)," ")</f>
        <v xml:space="preserve"> </v>
      </c>
      <c r="J1163" s="91"/>
      <c r="K1163" s="88"/>
      <c r="N1163" s="6">
        <f t="shared" ca="1" si="5"/>
        <v>46283</v>
      </c>
      <c r="O1163" s="23">
        <f ca="1">TAB_OFICINAS[[#This Row],[Data Retorno Produção]]-TAB_OFICINAS[[#This Row],[Data Prometida  Entrega]]</f>
        <v>46283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0</v>
      </c>
      <c r="R1163" s="24"/>
      <c r="U1163" s="11"/>
      <c r="V1163" s="25">
        <f>IFERROR(TAB_OFICINAS[[#This Row],[Valor Unit]]*TAB_OFICINAS[[#This Row],[Qtd pçs Enviadas]]," ")</f>
        <v>0</v>
      </c>
      <c r="W1163" s="26"/>
      <c r="X1163" s="17" t="s">
        <v>6251</v>
      </c>
      <c r="Y1163" s="27"/>
      <c r="Z11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4" spans="3:26" ht="14.25" customHeight="1">
      <c r="F1164" s="28" t="str">
        <f>IFERROR(VLOOKUP(TAB_OFICINAS[[#This Row],[Cliente]],LISTA_DE_CLIENTES[[Código]:[Nome Fantasia]],2,FALSE),"")</f>
        <v/>
      </c>
      <c r="G1164" s="2" t="str">
        <f>IFERROR(VLOOKUP(TAB_OFICINAS[[#This Row],[Cliente]],LISTA_DE_CLIENTES[[Código]:[Nome Fantasia]],3,FALSE),"")</f>
        <v/>
      </c>
      <c r="H1164" s="51"/>
      <c r="I1164" s="28" t="str">
        <f>IFERROR(VLOOKUP(TAB_OFICINAS[[#This Row],[Codigo Produto ]],_000___PEDIDOS_DE_CLIENTES[[Data.Column2]:[Descrição Produto]],2,FALSE)," ")</f>
        <v xml:space="preserve"> </v>
      </c>
      <c r="J1164" s="91"/>
      <c r="K1164" s="88"/>
      <c r="N1164" s="6">
        <f t="shared" ca="1" si="5"/>
        <v>46283</v>
      </c>
      <c r="O1164" s="23">
        <f ca="1">TAB_OFICINAS[[#This Row],[Data Retorno Produção]]-TAB_OFICINAS[[#This Row],[Data Prometida  Entrega]]</f>
        <v>46283</v>
      </c>
      <c r="P1164" s="98" t="str">
        <f ca="1">IF(TAB_OFICINAS[[#This Row],[Dias Para Entrega]]&lt;=0,"Em dia","Dia de Atrasado")</f>
        <v>Dia de Atrasado</v>
      </c>
      <c r="Q1164" s="24">
        <f>IFERROR(TAB_OFICINAS[[#This Row],[Qtd pçs Enviadas]]-TAB_OFICINAS[[#This Row],[Qtd pçs Retornadas ]],"N/D ")</f>
        <v>0</v>
      </c>
      <c r="R1164" s="24"/>
      <c r="U1164" s="11"/>
      <c r="V1164" s="25">
        <f>IFERROR(TAB_OFICINAS[[#This Row],[Valor Unit]]*TAB_OFICINAS[[#This Row],[Qtd pçs Enviadas]]," ")</f>
        <v>0</v>
      </c>
      <c r="W1164" s="26"/>
      <c r="X1164" s="17" t="s">
        <v>6251</v>
      </c>
      <c r="Y1164" s="27"/>
      <c r="Z11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5" spans="3:26" ht="14.25" customHeight="1">
      <c r="F1165" s="28" t="str">
        <f>IFERROR(VLOOKUP(TAB_OFICINAS[[#This Row],[Cliente]],LISTA_DE_CLIENTES[[Código]:[Nome Fantasia]],2,FALSE),"")</f>
        <v/>
      </c>
      <c r="G1165" s="2" t="str">
        <f>IFERROR(VLOOKUP(TAB_OFICINAS[[#This Row],[Cliente]],LISTA_DE_CLIENTES[[Código]:[Nome Fantasia]],3,FALSE),"")</f>
        <v/>
      </c>
      <c r="H1165" s="51"/>
      <c r="I1165" s="28" t="str">
        <f>IFERROR(VLOOKUP(TAB_OFICINAS[[#This Row],[Codigo Produto ]],_000___PEDIDOS_DE_CLIENTES[[Data.Column2]:[Descrição Produto]],2,FALSE)," ")</f>
        <v xml:space="preserve"> </v>
      </c>
      <c r="J1165" s="91"/>
      <c r="K1165" s="88"/>
      <c r="N1165" s="6">
        <f t="shared" ca="1" si="5"/>
        <v>46283</v>
      </c>
      <c r="O1165" s="23">
        <f ca="1">TAB_OFICINAS[[#This Row],[Data Retorno Produção]]-TAB_OFICINAS[[#This Row],[Data Prometida  Entrega]]</f>
        <v>46283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0</v>
      </c>
      <c r="R1165" s="24"/>
      <c r="U1165" s="11"/>
      <c r="V1165" s="25">
        <f>IFERROR(TAB_OFICINAS[[#This Row],[Valor Unit]]*TAB_OFICINAS[[#This Row],[Qtd pçs Enviadas]]," ")</f>
        <v>0</v>
      </c>
      <c r="W1165" s="26"/>
      <c r="X1165" s="17" t="s">
        <v>6251</v>
      </c>
      <c r="Y1165" s="27"/>
      <c r="Z11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6" spans="3:26" ht="14.25" customHeight="1">
      <c r="F1166" s="28" t="str">
        <f>IFERROR(VLOOKUP(TAB_OFICINAS[[#This Row],[Cliente]],LISTA_DE_CLIENTES[[Código]:[Nome Fantasia]],2,FALSE),"")</f>
        <v/>
      </c>
      <c r="G1166" s="2" t="str">
        <f>IFERROR(VLOOKUP(TAB_OFICINAS[[#This Row],[Cliente]],LISTA_DE_CLIENTES[[Código]:[Nome Fantasia]],3,FALSE),"")</f>
        <v/>
      </c>
      <c r="H1166" s="51"/>
      <c r="I1166" s="28" t="str">
        <f>IFERROR(VLOOKUP(TAB_OFICINAS[[#This Row],[Codigo Produto ]],_000___PEDIDOS_DE_CLIENTES[[Data.Column2]:[Descrição Produto]],2,FALSE)," ")</f>
        <v xml:space="preserve"> </v>
      </c>
      <c r="J1166" s="91"/>
      <c r="K1166" s="88"/>
      <c r="N1166" s="6">
        <f t="shared" ca="1" si="5"/>
        <v>46283</v>
      </c>
      <c r="O1166" s="23">
        <f ca="1">TAB_OFICINAS[[#This Row],[Data Retorno Produção]]-TAB_OFICINAS[[#This Row],[Data Prometida  Entrega]]</f>
        <v>46283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0</v>
      </c>
      <c r="R1166" s="24"/>
      <c r="U1166" s="11"/>
      <c r="V1166" s="25">
        <f>IFERROR(TAB_OFICINAS[[#This Row],[Valor Unit]]*TAB_OFICINAS[[#This Row],[Qtd pçs Enviadas]]," ")</f>
        <v>0</v>
      </c>
      <c r="W1166" s="26"/>
      <c r="X1166" s="17" t="s">
        <v>6251</v>
      </c>
      <c r="Y1166" s="27"/>
      <c r="Z11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7" spans="3:26" ht="14.25" customHeight="1">
      <c r="F1167" s="28" t="str">
        <f>IFERROR(VLOOKUP(TAB_OFICINAS[[#This Row],[Cliente]],LISTA_DE_CLIENTES[[Código]:[Nome Fantasia]],2,FALSE),"")</f>
        <v/>
      </c>
      <c r="G1167" s="2" t="str">
        <f>IFERROR(VLOOKUP(TAB_OFICINAS[[#This Row],[Cliente]],LISTA_DE_CLIENTES[[Código]:[Nome Fantasia]],3,FALSE),"")</f>
        <v/>
      </c>
      <c r="H1167" s="51"/>
      <c r="I1167" s="28" t="str">
        <f>IFERROR(VLOOKUP(TAB_OFICINAS[[#This Row],[Codigo Produto ]],_000___PEDIDOS_DE_CLIENTES[[Data.Column2]:[Descrição Produto]],2,FALSE)," ")</f>
        <v xml:space="preserve"> </v>
      </c>
      <c r="J1167" s="91"/>
      <c r="K1167" s="88"/>
      <c r="N1167" s="6">
        <f t="shared" ca="1" si="5"/>
        <v>46283</v>
      </c>
      <c r="O1167" s="23">
        <f ca="1">TAB_OFICINAS[[#This Row],[Data Retorno Produção]]-TAB_OFICINAS[[#This Row],[Data Prometida  Entrega]]</f>
        <v>46283</v>
      </c>
      <c r="P1167" s="98" t="str">
        <f ca="1">IF(TAB_OFICINAS[[#This Row],[Dias Para Entrega]]&lt;=0,"Em dia","Dia de Atrasado")</f>
        <v>Dia de Atrasado</v>
      </c>
      <c r="Q1167" s="24">
        <f>IFERROR(TAB_OFICINAS[[#This Row],[Qtd pçs Enviadas]]-TAB_OFICINAS[[#This Row],[Qtd pçs Retornadas ]],"N/D ")</f>
        <v>0</v>
      </c>
      <c r="R1167" s="24"/>
      <c r="U1167" s="11"/>
      <c r="V1167" s="25">
        <f>IFERROR(TAB_OFICINAS[[#This Row],[Valor Unit]]*TAB_OFICINAS[[#This Row],[Qtd pçs Enviadas]]," ")</f>
        <v>0</v>
      </c>
      <c r="W1167" s="26"/>
      <c r="X1167" s="17" t="s">
        <v>6251</v>
      </c>
      <c r="Y1167" s="27"/>
      <c r="Z11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8" spans="3:26" ht="14.25" customHeight="1">
      <c r="F1168" s="28" t="str">
        <f>IFERROR(VLOOKUP(TAB_OFICINAS[[#This Row],[Cliente]],LISTA_DE_CLIENTES[[Código]:[Nome Fantasia]],2,FALSE),"")</f>
        <v/>
      </c>
      <c r="G1168" s="2" t="str">
        <f>IFERROR(VLOOKUP(TAB_OFICINAS[[#This Row],[Cliente]],LISTA_DE_CLIENTES[[Código]:[Nome Fantasia]],3,FALSE),"")</f>
        <v/>
      </c>
      <c r="H1168" s="51"/>
      <c r="I1168" s="28" t="str">
        <f>IFERROR(VLOOKUP(TAB_OFICINAS[[#This Row],[Codigo Produto ]],_000___PEDIDOS_DE_CLIENTES[[Data.Column2]:[Descrição Produto]],2,FALSE)," ")</f>
        <v xml:space="preserve"> </v>
      </c>
      <c r="J1168" s="91"/>
      <c r="K1168" s="88"/>
      <c r="N1168" s="6">
        <f t="shared" ca="1" si="5"/>
        <v>46283</v>
      </c>
      <c r="O1168" s="23">
        <f ca="1">TAB_OFICINAS[[#This Row],[Data Retorno Produção]]-TAB_OFICINAS[[#This Row],[Data Prometida  Entrega]]</f>
        <v>46283</v>
      </c>
      <c r="P1168" s="98" t="str">
        <f ca="1">IF(TAB_OFICINAS[[#This Row],[Dias Para Entrega]]&lt;=0,"Em dia","Dia de Atrasado")</f>
        <v>Dia de Atrasado</v>
      </c>
      <c r="Q1168" s="24">
        <f>IFERROR(TAB_OFICINAS[[#This Row],[Qtd pçs Enviadas]]-TAB_OFICINAS[[#This Row],[Qtd pçs Retornadas ]],"N/D ")</f>
        <v>0</v>
      </c>
      <c r="R1168" s="24"/>
      <c r="U1168" s="11"/>
      <c r="V1168" s="25">
        <f>IFERROR(TAB_OFICINAS[[#This Row],[Valor Unit]]*TAB_OFICINAS[[#This Row],[Qtd pçs Enviadas]]," ")</f>
        <v>0</v>
      </c>
      <c r="W1168" s="26"/>
      <c r="X1168" s="17" t="s">
        <v>6251</v>
      </c>
      <c r="Y1168" s="27"/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6:26" ht="14.25" customHeight="1">
      <c r="F1169" s="28" t="str">
        <f>IFERROR(VLOOKUP(TAB_OFICINAS[[#This Row],[Cliente]],LISTA_DE_CLIENTES[[Código]:[Nome Fantasia]],2,FALSE),"")</f>
        <v/>
      </c>
      <c r="G1169" s="2" t="str">
        <f>IFERROR(VLOOKUP(TAB_OFICINAS[[#This Row],[Cliente]],LISTA_DE_CLIENTES[[Código]:[Nome Fantasia]],3,FALSE),"")</f>
        <v/>
      </c>
      <c r="H1169" s="51"/>
      <c r="I1169" s="28" t="str">
        <f>IFERROR(VLOOKUP(TAB_OFICINAS[[#This Row],[Codigo Produto ]],_000___PEDIDOS_DE_CLIENTES[[Data.Column2]:[Descrição Produto]],2,FALSE)," ")</f>
        <v xml:space="preserve"> </v>
      </c>
      <c r="J1169" s="91"/>
      <c r="K1169" s="88"/>
      <c r="N1169" s="6">
        <f t="shared" ca="1" si="5"/>
        <v>46283</v>
      </c>
      <c r="O1169" s="23">
        <f ca="1">TAB_OFICINAS[[#This Row],[Data Retorno Produção]]-TAB_OFICINAS[[#This Row],[Data Prometida  Entrega]]</f>
        <v>46283</v>
      </c>
      <c r="P1169" s="98" t="str">
        <f ca="1">IF(TAB_OFICINAS[[#This Row],[Dias Para Entrega]]&lt;=0,"Em dia","Dia de Atrasado")</f>
        <v>Dia de Atrasado</v>
      </c>
      <c r="Q1169" s="24">
        <f>IFERROR(TAB_OFICINAS[[#This Row],[Qtd pçs Enviadas]]-TAB_OFICINAS[[#This Row],[Qtd pçs Retornadas ]],"N/D ")</f>
        <v>0</v>
      </c>
      <c r="R1169" s="24"/>
      <c r="U1169" s="11"/>
      <c r="V1169" s="25">
        <f>IFERROR(TAB_OFICINAS[[#This Row],[Valor Unit]]*TAB_OFICINAS[[#This Row],[Qtd pçs Enviadas]]," ")</f>
        <v>0</v>
      </c>
      <c r="W1169" s="26"/>
      <c r="X1169" s="17" t="s">
        <v>6251</v>
      </c>
      <c r="Y1169" s="27"/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6:26" ht="14.25" customHeight="1">
      <c r="F1170" s="28" t="str">
        <f>IFERROR(VLOOKUP(TAB_OFICINAS[[#This Row],[Cliente]],LISTA_DE_CLIENTES[[Código]:[Nome Fantasia]],2,FALSE),"")</f>
        <v/>
      </c>
      <c r="G1170" s="2" t="str">
        <f>IFERROR(VLOOKUP(TAB_OFICINAS[[#This Row],[Cliente]],LISTA_DE_CLIENTES[[Código]:[Nome Fantasia]],3,FALSE),"")</f>
        <v/>
      </c>
      <c r="H1170" s="51"/>
      <c r="I1170" s="28" t="str">
        <f>IFERROR(VLOOKUP(TAB_OFICINAS[[#This Row],[Codigo Produto ]],_000___PEDIDOS_DE_CLIENTES[[Data.Column2]:[Descrição Produto]],2,FALSE)," ")</f>
        <v xml:space="preserve"> </v>
      </c>
      <c r="J1170" s="91"/>
      <c r="K1170" s="88"/>
      <c r="N1170" s="6">
        <f t="shared" ca="1" si="5"/>
        <v>46283</v>
      </c>
      <c r="O1170" s="23">
        <f ca="1">TAB_OFICINAS[[#This Row],[Data Retorno Produção]]-TAB_OFICINAS[[#This Row],[Data Prometida  Entrega]]</f>
        <v>46283</v>
      </c>
      <c r="P1170" s="98" t="str">
        <f ca="1">IF(TAB_OFICINAS[[#This Row],[Dias Para Entrega]]&lt;=0,"Em dia","Dia de Atrasado")</f>
        <v>Dia de Atrasado</v>
      </c>
      <c r="Q1170" s="24">
        <f>IFERROR(TAB_OFICINAS[[#This Row],[Qtd pçs Enviadas]]-TAB_OFICINAS[[#This Row],[Qtd pçs Retornadas ]],"N/D ")</f>
        <v>0</v>
      </c>
      <c r="R1170" s="24"/>
      <c r="U1170" s="11"/>
      <c r="V1170" s="25">
        <f>IFERROR(TAB_OFICINAS[[#This Row],[Valor Unit]]*TAB_OFICINAS[[#This Row],[Qtd pçs Enviadas]]," ")</f>
        <v>0</v>
      </c>
      <c r="W1170" s="26"/>
      <c r="X1170" s="17" t="s">
        <v>6251</v>
      </c>
      <c r="Y1170" s="27"/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6:26" ht="14.25" customHeight="1">
      <c r="F1171" s="28" t="str">
        <f>IFERROR(VLOOKUP(TAB_OFICINAS[[#This Row],[Cliente]],LISTA_DE_CLIENTES[[Código]:[Nome Fantasia]],2,FALSE),"")</f>
        <v/>
      </c>
      <c r="G1171" s="2" t="str">
        <f>IFERROR(VLOOKUP(TAB_OFICINAS[[#This Row],[Cliente]],LISTA_DE_CLIENTES[[Código]:[Nome Fantasia]],3,FALSE),"")</f>
        <v/>
      </c>
      <c r="H1171" s="51"/>
      <c r="I1171" s="28" t="str">
        <f>IFERROR(VLOOKUP(TAB_OFICINAS[[#This Row],[Codigo Produto ]],_000___PEDIDOS_DE_CLIENTES[[Data.Column2]:[Descrição Produto]],2,FALSE)," ")</f>
        <v xml:space="preserve"> </v>
      </c>
      <c r="J1171" s="91"/>
      <c r="K1171" s="88"/>
      <c r="N1171" s="6">
        <f t="shared" ca="1" si="5"/>
        <v>46283</v>
      </c>
      <c r="O1171" s="23">
        <f ca="1">TAB_OFICINAS[[#This Row],[Data Retorno Produção]]-TAB_OFICINAS[[#This Row],[Data Prometida  Entrega]]</f>
        <v>46283</v>
      </c>
      <c r="P1171" s="98" t="str">
        <f ca="1">IF(TAB_OFICINAS[[#This Row],[Dias Para Entrega]]&lt;=0,"Em dia","Dia de Atrasado")</f>
        <v>Dia de Atrasado</v>
      </c>
      <c r="Q1171" s="24">
        <f>IFERROR(TAB_OFICINAS[[#This Row],[Qtd pçs Enviadas]]-TAB_OFICINAS[[#This Row],[Qtd pçs Retornadas ]],"N/D ")</f>
        <v>0</v>
      </c>
      <c r="R1171" s="24"/>
      <c r="U1171" s="11"/>
      <c r="V1171" s="25">
        <f>IFERROR(TAB_OFICINAS[[#This Row],[Valor Unit]]*TAB_OFICINAS[[#This Row],[Qtd pçs Enviadas]]," ")</f>
        <v>0</v>
      </c>
      <c r="W1171" s="26"/>
      <c r="X1171" s="17" t="s">
        <v>6251</v>
      </c>
      <c r="Y1171" s="27"/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6:26" ht="14.25" customHeight="1">
      <c r="F1172" s="28" t="str">
        <f>IFERROR(VLOOKUP(TAB_OFICINAS[[#This Row],[Cliente]],LISTA_DE_CLIENTES[[Código]:[Nome Fantasia]],2,FALSE),"")</f>
        <v/>
      </c>
      <c r="G1172" s="2" t="str">
        <f>IFERROR(VLOOKUP(TAB_OFICINAS[[#This Row],[Cliente]],LISTA_DE_CLIENTES[[Código]:[Nome Fantasia]],3,FALSE),"")</f>
        <v/>
      </c>
      <c r="H1172" s="51"/>
      <c r="I1172" s="28" t="str">
        <f>IFERROR(VLOOKUP(TAB_OFICINAS[[#This Row],[Codigo Produto ]],_000___PEDIDOS_DE_CLIENTES[[Data.Column2]:[Descrição Produto]],2,FALSE)," ")</f>
        <v xml:space="preserve"> </v>
      </c>
      <c r="J1172" s="91"/>
      <c r="K1172" s="88"/>
      <c r="N1172" s="6">
        <f t="shared" ca="1" si="5"/>
        <v>46283</v>
      </c>
      <c r="O1172" s="23">
        <f ca="1">TAB_OFICINAS[[#This Row],[Data Retorno Produção]]-TAB_OFICINAS[[#This Row],[Data Prometida  Entrega]]</f>
        <v>46283</v>
      </c>
      <c r="P1172" s="98" t="str">
        <f ca="1">IF(TAB_OFICINAS[[#This Row],[Dias Para Entrega]]&lt;=0,"Em dia","Dia de Atrasado")</f>
        <v>Dia de Atrasado</v>
      </c>
      <c r="Q1172" s="24">
        <f>IFERROR(TAB_OFICINAS[[#This Row],[Qtd pçs Enviadas]]-TAB_OFICINAS[[#This Row],[Qtd pçs Retornadas ]],"N/D ")</f>
        <v>0</v>
      </c>
      <c r="R1172" s="24"/>
      <c r="U1172" s="11"/>
      <c r="V1172" s="25">
        <f>IFERROR(TAB_OFICINAS[[#This Row],[Valor Unit]]*TAB_OFICINAS[[#This Row],[Qtd pçs Enviadas]]," ")</f>
        <v>0</v>
      </c>
      <c r="W1172" s="26"/>
      <c r="X1172" s="17" t="s">
        <v>6251</v>
      </c>
      <c r="Y1172" s="27"/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6:26" ht="14.25" customHeight="1">
      <c r="F1173" s="28" t="str">
        <f>IFERROR(VLOOKUP(TAB_OFICINAS[[#This Row],[Cliente]],LISTA_DE_CLIENTES[[Código]:[Nome Fantasia]],2,FALSE),"")</f>
        <v/>
      </c>
      <c r="G1173" s="2" t="str">
        <f>IFERROR(VLOOKUP(TAB_OFICINAS[[#This Row],[Cliente]],LISTA_DE_CLIENTES[[Código]:[Nome Fantasia]],3,FALSE),"")</f>
        <v/>
      </c>
      <c r="H1173" s="51"/>
      <c r="I1173" s="28" t="str">
        <f>IFERROR(VLOOKUP(TAB_OFICINAS[[#This Row],[Codigo Produto ]],_000___PEDIDOS_DE_CLIENTES[[Data.Column2]:[Descrição Produto]],2,FALSE)," ")</f>
        <v xml:space="preserve"> </v>
      </c>
      <c r="J1173" s="91"/>
      <c r="K1173" s="88"/>
      <c r="N1173" s="6">
        <f t="shared" ca="1" si="5"/>
        <v>46283</v>
      </c>
      <c r="O1173" s="23">
        <f ca="1">TAB_OFICINAS[[#This Row],[Data Retorno Produção]]-TAB_OFICINAS[[#This Row],[Data Prometida  Entrega]]</f>
        <v>46283</v>
      </c>
      <c r="P1173" s="98" t="str">
        <f ca="1">IF(TAB_OFICINAS[[#This Row],[Dias Para Entrega]]&lt;=0,"Em dia","Dia de Atrasado")</f>
        <v>Dia de Atrasado</v>
      </c>
      <c r="Q1173" s="24">
        <f>IFERROR(TAB_OFICINAS[[#This Row],[Qtd pçs Enviadas]]-TAB_OFICINAS[[#This Row],[Qtd pçs Retornadas ]],"N/D ")</f>
        <v>0</v>
      </c>
      <c r="R1173" s="24"/>
      <c r="U1173" s="11"/>
      <c r="V1173" s="25">
        <f>IFERROR(TAB_OFICINAS[[#This Row],[Valor Unit]]*TAB_OFICINAS[[#This Row],[Qtd pçs Enviadas]]," ")</f>
        <v>0</v>
      </c>
      <c r="W1173" s="26"/>
      <c r="X1173" s="17" t="s">
        <v>6251</v>
      </c>
      <c r="Y1173" s="27"/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6:26" ht="14.25" customHeight="1">
      <c r="F1174" s="28" t="str">
        <f>IFERROR(VLOOKUP(TAB_OFICINAS[[#This Row],[Cliente]],LISTA_DE_CLIENTES[[Código]:[Nome Fantasia]],2,FALSE),"")</f>
        <v/>
      </c>
      <c r="G1174" s="2" t="str">
        <f>IFERROR(VLOOKUP(TAB_OFICINAS[[#This Row],[Cliente]],LISTA_DE_CLIENTES[[Código]:[Nome Fantasia]],3,FALSE),"")</f>
        <v/>
      </c>
      <c r="H1174" s="51"/>
      <c r="I1174" s="28" t="str">
        <f>IFERROR(VLOOKUP(TAB_OFICINAS[[#This Row],[Codigo Produto ]],_000___PEDIDOS_DE_CLIENTES[[Data.Column2]:[Descrição Produto]],2,FALSE)," ")</f>
        <v xml:space="preserve"> </v>
      </c>
      <c r="J1174" s="91"/>
      <c r="K1174" s="88"/>
      <c r="N1174" s="6">
        <f t="shared" ca="1" si="5"/>
        <v>46283</v>
      </c>
      <c r="O1174" s="23">
        <f ca="1">TAB_OFICINAS[[#This Row],[Data Retorno Produção]]-TAB_OFICINAS[[#This Row],[Data Prometida  Entrega]]</f>
        <v>46283</v>
      </c>
      <c r="P1174" s="98" t="str">
        <f ca="1">IF(TAB_OFICINAS[[#This Row],[Dias Para Entrega]]&lt;=0,"Em dia","Dia de Atrasado")</f>
        <v>Dia de Atrasado</v>
      </c>
      <c r="Q1174" s="24">
        <f>IFERROR(TAB_OFICINAS[[#This Row],[Qtd pçs Enviadas]]-TAB_OFICINAS[[#This Row],[Qtd pçs Retornadas ]],"N/D ")</f>
        <v>0</v>
      </c>
      <c r="R1174" s="24"/>
      <c r="U1174" s="11"/>
      <c r="V1174" s="25">
        <f>IFERROR(TAB_OFICINAS[[#This Row],[Valor Unit]]*TAB_OFICINAS[[#This Row],[Qtd pçs Enviadas]]," ")</f>
        <v>0</v>
      </c>
      <c r="W1174" s="26"/>
      <c r="X1174" s="17" t="s">
        <v>6251</v>
      </c>
      <c r="Y1174" s="27"/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6:26" ht="14.25" customHeight="1">
      <c r="F1175" s="28" t="str">
        <f>IFERROR(VLOOKUP(TAB_OFICINAS[[#This Row],[Cliente]],LISTA_DE_CLIENTES[[Código]:[Nome Fantasia]],2,FALSE),"")</f>
        <v/>
      </c>
      <c r="G1175" s="2" t="str">
        <f>IFERROR(VLOOKUP(TAB_OFICINAS[[#This Row],[Cliente]],LISTA_DE_CLIENTES[[Código]:[Nome Fantasia]],3,FALSE),"")</f>
        <v/>
      </c>
      <c r="H1175" s="51"/>
      <c r="I1175" s="28" t="str">
        <f>IFERROR(VLOOKUP(TAB_OFICINAS[[#This Row],[Codigo Produto ]],_000___PEDIDOS_DE_CLIENTES[[Data.Column2]:[Descrição Produto]],2,FALSE)," ")</f>
        <v xml:space="preserve"> </v>
      </c>
      <c r="J1175" s="91"/>
      <c r="K1175" s="88"/>
      <c r="N1175" s="6">
        <f t="shared" ca="1" si="5"/>
        <v>46283</v>
      </c>
      <c r="O1175" s="23">
        <f ca="1">TAB_OFICINAS[[#This Row],[Data Retorno Produção]]-TAB_OFICINAS[[#This Row],[Data Prometida  Entrega]]</f>
        <v>46283</v>
      </c>
      <c r="P1175" s="98" t="str">
        <f ca="1">IF(TAB_OFICINAS[[#This Row],[Dias Para Entrega]]&lt;=0,"Em dia","Dia de Atrasado")</f>
        <v>Dia de Atrasado</v>
      </c>
      <c r="Q1175" s="24">
        <f>IFERROR(TAB_OFICINAS[[#This Row],[Qtd pçs Enviadas]]-TAB_OFICINAS[[#This Row],[Qtd pçs Retornadas ]],"N/D ")</f>
        <v>0</v>
      </c>
      <c r="R1175" s="24"/>
      <c r="U1175" s="11"/>
      <c r="V1175" s="25">
        <f>IFERROR(TAB_OFICINAS[[#This Row],[Valor Unit]]*TAB_OFICINAS[[#This Row],[Qtd pçs Enviadas]]," ")</f>
        <v>0</v>
      </c>
      <c r="W1175" s="26"/>
      <c r="X1175" s="17" t="s">
        <v>6251</v>
      </c>
      <c r="Y1175" s="27"/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6:26" ht="14.25" customHeight="1">
      <c r="F1176" s="28" t="str">
        <f>IFERROR(VLOOKUP(TAB_OFICINAS[[#This Row],[Cliente]],LISTA_DE_CLIENTES[[Código]:[Nome Fantasia]],2,FALSE),"")</f>
        <v/>
      </c>
      <c r="G1176" s="2" t="str">
        <f>IFERROR(VLOOKUP(TAB_OFICINAS[[#This Row],[Cliente]],LISTA_DE_CLIENTES[[Código]:[Nome Fantasia]],3,FALSE),"")</f>
        <v/>
      </c>
      <c r="H1176" s="51"/>
      <c r="I1176" s="28" t="str">
        <f>IFERROR(VLOOKUP(TAB_OFICINAS[[#This Row],[Codigo Produto ]],_000___PEDIDOS_DE_CLIENTES[[Data.Column2]:[Descrição Produto]],2,FALSE)," ")</f>
        <v xml:space="preserve"> </v>
      </c>
      <c r="J1176" s="91"/>
      <c r="K1176" s="88"/>
      <c r="N1176" s="6">
        <f t="shared" ca="1" si="5"/>
        <v>46283</v>
      </c>
      <c r="O1176" s="23">
        <f ca="1">TAB_OFICINAS[[#This Row],[Data Retorno Produção]]-TAB_OFICINAS[[#This Row],[Data Prometida  Entrega]]</f>
        <v>46283</v>
      </c>
      <c r="P1176" s="98" t="str">
        <f ca="1">IF(TAB_OFICINAS[[#This Row],[Dias Para Entrega]]&lt;=0,"Em dia","Dia de Atrasado")</f>
        <v>Dia de Atrasado</v>
      </c>
      <c r="Q1176" s="24">
        <f>IFERROR(TAB_OFICINAS[[#This Row],[Qtd pçs Enviadas]]-TAB_OFICINAS[[#This Row],[Qtd pçs Retornadas ]],"N/D ")</f>
        <v>0</v>
      </c>
      <c r="R1176" s="24"/>
      <c r="U1176" s="11"/>
      <c r="V1176" s="25">
        <f>IFERROR(TAB_OFICINAS[[#This Row],[Valor Unit]]*TAB_OFICINAS[[#This Row],[Qtd pçs Enviadas]]," ")</f>
        <v>0</v>
      </c>
      <c r="W1176" s="26"/>
      <c r="X1176" s="17" t="s">
        <v>6251</v>
      </c>
      <c r="Y1176" s="27"/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6:26" ht="14.25" customHeight="1">
      <c r="F1177" s="28" t="str">
        <f>IFERROR(VLOOKUP(TAB_OFICINAS[[#This Row],[Cliente]],LISTA_DE_CLIENTES[[Código]:[Nome Fantasia]],2,FALSE),"")</f>
        <v/>
      </c>
      <c r="G1177" s="2" t="str">
        <f>IFERROR(VLOOKUP(TAB_OFICINAS[[#This Row],[Cliente]],LISTA_DE_CLIENTES[[Código]:[Nome Fantasia]],3,FALSE),"")</f>
        <v/>
      </c>
      <c r="H1177" s="51"/>
      <c r="I1177" s="28" t="str">
        <f>IFERROR(VLOOKUP(TAB_OFICINAS[[#This Row],[Codigo Produto ]],_000___PEDIDOS_DE_CLIENTES[[Data.Column2]:[Descrição Produto]],2,FALSE)," ")</f>
        <v xml:space="preserve"> </v>
      </c>
      <c r="J1177" s="91"/>
      <c r="K1177" s="88"/>
      <c r="N1177" s="6">
        <f t="shared" ca="1" si="5"/>
        <v>46283</v>
      </c>
      <c r="O1177" s="23">
        <f ca="1">TAB_OFICINAS[[#This Row],[Data Retorno Produção]]-TAB_OFICINAS[[#This Row],[Data Prometida  Entrega]]</f>
        <v>46283</v>
      </c>
      <c r="P1177" s="98" t="str">
        <f ca="1">IF(TAB_OFICINAS[[#This Row],[Dias Para Entrega]]&lt;=0,"Em dia","Dia de Atrasado")</f>
        <v>Dia de Atrasado</v>
      </c>
      <c r="Q1177" s="24">
        <f>IFERROR(TAB_OFICINAS[[#This Row],[Qtd pçs Enviadas]]-TAB_OFICINAS[[#This Row],[Qtd pçs Retornadas ]],"N/D ")</f>
        <v>0</v>
      </c>
      <c r="R1177" s="24"/>
      <c r="U1177" s="11"/>
      <c r="V1177" s="25">
        <f>IFERROR(TAB_OFICINAS[[#This Row],[Valor Unit]]*TAB_OFICINAS[[#This Row],[Qtd pçs Enviadas]]," ")</f>
        <v>0</v>
      </c>
      <c r="W1177" s="26"/>
      <c r="X1177" s="17" t="s">
        <v>6251</v>
      </c>
      <c r="Y1177" s="27"/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6:26" ht="14.25" customHeight="1">
      <c r="F1178" s="28" t="str">
        <f>IFERROR(VLOOKUP(TAB_OFICINAS[[#This Row],[Cliente]],LISTA_DE_CLIENTES[[Código]:[Nome Fantasia]],2,FALSE),"")</f>
        <v/>
      </c>
      <c r="G1178" s="2" t="str">
        <f>IFERROR(VLOOKUP(TAB_OFICINAS[[#This Row],[Cliente]],LISTA_DE_CLIENTES[[Código]:[Nome Fantasia]],3,FALSE),"")</f>
        <v/>
      </c>
      <c r="H1178" s="51"/>
      <c r="I1178" s="28" t="str">
        <f>IFERROR(VLOOKUP(TAB_OFICINAS[[#This Row],[Codigo Produto ]],_000___PEDIDOS_DE_CLIENTES[[Data.Column2]:[Descrição Produto]],2,FALSE)," ")</f>
        <v xml:space="preserve"> </v>
      </c>
      <c r="J1178" s="91"/>
      <c r="K1178" s="88"/>
      <c r="N1178" s="6">
        <f t="shared" ca="1" si="5"/>
        <v>46283</v>
      </c>
      <c r="O1178" s="23">
        <f ca="1">TAB_OFICINAS[[#This Row],[Data Retorno Produção]]-TAB_OFICINAS[[#This Row],[Data Prometida  Entrega]]</f>
        <v>46283</v>
      </c>
      <c r="P1178" s="98" t="str">
        <f ca="1">IF(TAB_OFICINAS[[#This Row],[Dias Para Entrega]]&lt;=0,"Em dia","Dia de Atrasado")</f>
        <v>Dia de Atrasado</v>
      </c>
      <c r="Q1178" s="24">
        <f>IFERROR(TAB_OFICINAS[[#This Row],[Qtd pçs Enviadas]]-TAB_OFICINAS[[#This Row],[Qtd pçs Retornadas ]],"N/D ")</f>
        <v>0</v>
      </c>
      <c r="R1178" s="24"/>
      <c r="U1178" s="11"/>
      <c r="V1178" s="25">
        <f>IFERROR(TAB_OFICINAS[[#This Row],[Valor Unit]]*TAB_OFICINAS[[#This Row],[Qtd pçs Enviadas]]," ")</f>
        <v>0</v>
      </c>
      <c r="W1178" s="26"/>
      <c r="X1178" s="17" t="s">
        <v>6251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6:26" ht="14.25" customHeight="1">
      <c r="F1179" s="28" t="str">
        <f>IFERROR(VLOOKUP(TAB_OFICINAS[[#This Row],[Cliente]],LISTA_DE_CLIENTES[[Código]:[Nome Fantasia]],2,FALSE),"")</f>
        <v/>
      </c>
      <c r="G1179" s="2" t="str">
        <f>IFERROR(VLOOKUP(TAB_OFICINAS[[#This Row],[Cliente]],LISTA_DE_CLIENTES[[Código]:[Nome Fantasia]],3,FALSE),"")</f>
        <v/>
      </c>
      <c r="H1179" s="51"/>
      <c r="I1179" s="28" t="str">
        <f>IFERROR(VLOOKUP(TAB_OFICINAS[[#This Row],[Codigo Produto ]],_000___PEDIDOS_DE_CLIENTES[[Data.Column2]:[Descrição Produto]],2,FALSE)," ")</f>
        <v xml:space="preserve"> </v>
      </c>
      <c r="J1179" s="91"/>
      <c r="K1179" s="88"/>
      <c r="N1179" s="6">
        <f t="shared" ca="1" si="5"/>
        <v>46283</v>
      </c>
      <c r="O1179" s="23">
        <f ca="1">TAB_OFICINAS[[#This Row],[Data Retorno Produção]]-TAB_OFICINAS[[#This Row],[Data Prometida  Entrega]]</f>
        <v>46283</v>
      </c>
      <c r="P1179" s="98" t="str">
        <f ca="1">IF(TAB_OFICINAS[[#This Row],[Dias Para Entrega]]&lt;=0,"Em dia","Dia de Atrasado")</f>
        <v>Dia de Atrasado</v>
      </c>
      <c r="Q1179" s="24">
        <f>IFERROR(TAB_OFICINAS[[#This Row],[Qtd pçs Enviadas]]-TAB_OFICINAS[[#This Row],[Qtd pçs Retornadas ]],"N/D ")</f>
        <v>0</v>
      </c>
      <c r="R1179" s="24"/>
      <c r="U1179" s="11"/>
      <c r="V1179" s="25">
        <f>IFERROR(TAB_OFICINAS[[#This Row],[Valor Unit]]*TAB_OFICINAS[[#This Row],[Qtd pçs Enviadas]]," ")</f>
        <v>0</v>
      </c>
      <c r="W1179" s="26"/>
      <c r="X1179" s="17" t="s">
        <v>6251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6:26" ht="14.25" customHeight="1">
      <c r="F1180" s="28" t="str">
        <f>IFERROR(VLOOKUP(TAB_OFICINAS[[#This Row],[Cliente]],LISTA_DE_CLIENTES[[Código]:[Nome Fantasia]],2,FALSE),"")</f>
        <v/>
      </c>
      <c r="G1180" s="2" t="str">
        <f>IFERROR(VLOOKUP(TAB_OFICINAS[[#This Row],[Cliente]],LISTA_DE_CLIENTES[[Código]:[Nome Fantasia]],3,FALSE),"")</f>
        <v/>
      </c>
      <c r="H1180" s="51"/>
      <c r="I1180" s="28" t="str">
        <f>IFERROR(VLOOKUP(TAB_OFICINAS[[#This Row],[Codigo Produto ]],_000___PEDIDOS_DE_CLIENTES[[Data.Column2]:[Descrição Produto]],2,FALSE)," ")</f>
        <v xml:space="preserve"> </v>
      </c>
      <c r="J1180" s="91"/>
      <c r="K1180" s="88"/>
      <c r="N1180" s="6">
        <f t="shared" ca="1" si="5"/>
        <v>46283</v>
      </c>
      <c r="O1180" s="23">
        <f ca="1">TAB_OFICINAS[[#This Row],[Data Retorno Produção]]-TAB_OFICINAS[[#This Row],[Data Prometida  Entrega]]</f>
        <v>46283</v>
      </c>
      <c r="P1180" s="98" t="str">
        <f ca="1">IF(TAB_OFICINAS[[#This Row],[Dias Para Entrega]]&lt;=0,"Em dia","Dia de Atrasado")</f>
        <v>Dia de Atrasado</v>
      </c>
      <c r="Q1180" s="24">
        <f>IFERROR(TAB_OFICINAS[[#This Row],[Qtd pçs Enviadas]]-TAB_OFICINAS[[#This Row],[Qtd pçs Retornadas ]],"N/D ")</f>
        <v>0</v>
      </c>
      <c r="R1180" s="24"/>
      <c r="U1180" s="11"/>
      <c r="V1180" s="25">
        <f>IFERROR(TAB_OFICINAS[[#This Row],[Valor Unit]]*TAB_OFICINAS[[#This Row],[Qtd pçs Enviadas]]," ")</f>
        <v>0</v>
      </c>
      <c r="W1180" s="26"/>
      <c r="X1180" s="17" t="s">
        <v>6251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6:26" ht="14.25" customHeight="1">
      <c r="F1181" s="28" t="str">
        <f>IFERROR(VLOOKUP(TAB_OFICINAS[[#This Row],[Cliente]],LISTA_DE_CLIENTES[[Código]:[Nome Fantasia]],2,FALSE),"")</f>
        <v/>
      </c>
      <c r="G1181" s="2" t="str">
        <f>IFERROR(VLOOKUP(TAB_OFICINAS[[#This Row],[Cliente]],LISTA_DE_CLIENTES[[Código]:[Nome Fantasia]],3,FALSE),"")</f>
        <v/>
      </c>
      <c r="H1181" s="51"/>
      <c r="I1181" s="28" t="str">
        <f>IFERROR(VLOOKUP(TAB_OFICINAS[[#This Row],[Codigo Produto ]],_000___PEDIDOS_DE_CLIENTES[[Data.Column2]:[Descrição Produto]],2,FALSE)," ")</f>
        <v xml:space="preserve"> </v>
      </c>
      <c r="J1181" s="91"/>
      <c r="K1181" s="88"/>
      <c r="N1181" s="6">
        <f t="shared" ca="1" si="5"/>
        <v>46283</v>
      </c>
      <c r="O1181" s="23">
        <f ca="1">TAB_OFICINAS[[#This Row],[Data Retorno Produção]]-TAB_OFICINAS[[#This Row],[Data Prometida  Entrega]]</f>
        <v>46283</v>
      </c>
      <c r="P1181" s="98" t="str">
        <f ca="1">IF(TAB_OFICINAS[[#This Row],[Dias Para Entrega]]&lt;=0,"Em dia","Dia de Atrasado")</f>
        <v>Dia de Atrasado</v>
      </c>
      <c r="Q1181" s="24">
        <f>IFERROR(TAB_OFICINAS[[#This Row],[Qtd pçs Enviadas]]-TAB_OFICINAS[[#This Row],[Qtd pçs Retornadas ]],"N/D ")</f>
        <v>0</v>
      </c>
      <c r="R1181" s="24"/>
      <c r="U1181" s="11"/>
      <c r="V1181" s="25">
        <f>IFERROR(TAB_OFICINAS[[#This Row],[Valor Unit]]*TAB_OFICINAS[[#This Row],[Qtd pçs Enviadas]]," ")</f>
        <v>0</v>
      </c>
      <c r="W1181" s="26"/>
      <c r="X1181" s="17" t="s">
        <v>6251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2" spans="6:26" ht="14.25" customHeight="1">
      <c r="F1182" s="28" t="str">
        <f>IFERROR(VLOOKUP(TAB_OFICINAS[[#This Row],[Cliente]],LISTA_DE_CLIENTES[[Código]:[Nome Fantasia]],2,FALSE),"")</f>
        <v/>
      </c>
      <c r="G1182" s="2" t="str">
        <f>IFERROR(VLOOKUP(TAB_OFICINAS[[#This Row],[Cliente]],LISTA_DE_CLIENTES[[Código]:[Nome Fantasia]],3,FALSE),"")</f>
        <v/>
      </c>
      <c r="H1182" s="51"/>
      <c r="I1182" s="28" t="str">
        <f>IFERROR(VLOOKUP(TAB_OFICINAS[[#This Row],[Codigo Produto ]],_000___PEDIDOS_DE_CLIENTES[[Data.Column2]:[Descrição Produto]],2,FALSE)," ")</f>
        <v xml:space="preserve"> </v>
      </c>
      <c r="J1182" s="91"/>
      <c r="K1182" s="88"/>
      <c r="N1182" s="6">
        <f t="shared" ca="1" si="5"/>
        <v>46283</v>
      </c>
      <c r="O1182" s="23">
        <f ca="1">TAB_OFICINAS[[#This Row],[Data Retorno Produção]]-TAB_OFICINAS[[#This Row],[Data Prometida  Entrega]]</f>
        <v>46283</v>
      </c>
      <c r="P1182" s="98" t="str">
        <f ca="1">IF(TAB_OFICINAS[[#This Row],[Dias Para Entrega]]&lt;=0,"Em dia","Dia de Atrasado")</f>
        <v>Dia de Atrasado</v>
      </c>
      <c r="Q1182" s="24">
        <f>IFERROR(TAB_OFICINAS[[#This Row],[Qtd pçs Enviadas]]-TAB_OFICINAS[[#This Row],[Qtd pçs Retornadas ]],"N/D ")</f>
        <v>0</v>
      </c>
      <c r="R1182" s="24"/>
      <c r="U1182" s="11"/>
      <c r="V1182" s="25">
        <f>IFERROR(TAB_OFICINAS[[#This Row],[Valor Unit]]*TAB_OFICINAS[[#This Row],[Qtd pçs Enviadas]]," ")</f>
        <v>0</v>
      </c>
      <c r="W1182" s="26"/>
      <c r="X1182" s="17" t="s">
        <v>6251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6:26" ht="14.25" customHeight="1">
      <c r="F1183" s="28" t="str">
        <f>IFERROR(VLOOKUP(TAB_OFICINAS[[#This Row],[Cliente]],LISTA_DE_CLIENTES[[Código]:[Nome Fantasia]],2,FALSE),"")</f>
        <v/>
      </c>
      <c r="G1183" s="2" t="str">
        <f>IFERROR(VLOOKUP(TAB_OFICINAS[[#This Row],[Cliente]],LISTA_DE_CLIENTES[[Código]:[Nome Fantasia]],3,FALSE),"")</f>
        <v/>
      </c>
      <c r="H1183" s="51"/>
      <c r="I1183" s="28" t="str">
        <f>IFERROR(VLOOKUP(TAB_OFICINAS[[#This Row],[Codigo Produto ]],_000___PEDIDOS_DE_CLIENTES[[Data.Column2]:[Descrição Produto]],2,FALSE)," ")</f>
        <v xml:space="preserve"> </v>
      </c>
      <c r="J1183" s="91"/>
      <c r="K1183" s="88"/>
      <c r="N1183" s="6">
        <f t="shared" ca="1" si="5"/>
        <v>46283</v>
      </c>
      <c r="O1183" s="23">
        <f ca="1">TAB_OFICINAS[[#This Row],[Data Retorno Produção]]-TAB_OFICINAS[[#This Row],[Data Prometida  Entrega]]</f>
        <v>46283</v>
      </c>
      <c r="P1183" s="98" t="str">
        <f ca="1">IF(TAB_OFICINAS[[#This Row],[Dias Para Entrega]]&lt;=0,"Em dia","Dia de Atrasado")</f>
        <v>Dia de Atrasado</v>
      </c>
      <c r="Q1183" s="24">
        <f>IFERROR(TAB_OFICINAS[[#This Row],[Qtd pçs Enviadas]]-TAB_OFICINAS[[#This Row],[Qtd pçs Retornadas ]],"N/D ")</f>
        <v>0</v>
      </c>
      <c r="R1183" s="24"/>
      <c r="U1183" s="11"/>
      <c r="V1183" s="25">
        <f>IFERROR(TAB_OFICINAS[[#This Row],[Valor Unit]]*TAB_OFICINAS[[#This Row],[Qtd pçs Enviadas]]," ")</f>
        <v>0</v>
      </c>
      <c r="W1183" s="26"/>
      <c r="X1183" s="17" t="s">
        <v>6251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6:26" ht="14.25" customHeight="1">
      <c r="F1184" s="28" t="str">
        <f>IFERROR(VLOOKUP(TAB_OFICINAS[[#This Row],[Cliente]],LISTA_DE_CLIENTES[[Código]:[Nome Fantasia]],2,FALSE),"")</f>
        <v/>
      </c>
      <c r="G1184" s="2" t="str">
        <f>IFERROR(VLOOKUP(TAB_OFICINAS[[#This Row],[Cliente]],LISTA_DE_CLIENTES[[Código]:[Nome Fantasia]],3,FALSE),"")</f>
        <v/>
      </c>
      <c r="H1184" s="51"/>
      <c r="I1184" s="28" t="str">
        <f>IFERROR(VLOOKUP(TAB_OFICINAS[[#This Row],[Codigo Produto ]],_000___PEDIDOS_DE_CLIENTES[[Data.Column2]:[Descrição Produto]],2,FALSE)," ")</f>
        <v xml:space="preserve"> </v>
      </c>
      <c r="J1184" s="91"/>
      <c r="K1184" s="88"/>
      <c r="N1184" s="6">
        <f t="shared" ca="1" si="5"/>
        <v>46283</v>
      </c>
      <c r="O1184" s="23">
        <f ca="1">TAB_OFICINAS[[#This Row],[Data Retorno Produção]]-TAB_OFICINAS[[#This Row],[Data Prometida  Entrega]]</f>
        <v>46283</v>
      </c>
      <c r="P1184" s="98" t="str">
        <f ca="1">IF(TAB_OFICINAS[[#This Row],[Dias Para Entrega]]&lt;=0,"Em dia","Dia de Atrasado")</f>
        <v>Dia de Atrasado</v>
      </c>
      <c r="Q1184" s="24">
        <f>IFERROR(TAB_OFICINAS[[#This Row],[Qtd pçs Enviadas]]-TAB_OFICINAS[[#This Row],[Qtd pçs Retornadas ]],"N/D ")</f>
        <v>0</v>
      </c>
      <c r="R1184" s="24"/>
      <c r="U1184" s="11"/>
      <c r="V1184" s="25">
        <f>IFERROR(TAB_OFICINAS[[#This Row],[Valor Unit]]*TAB_OFICINAS[[#This Row],[Qtd pçs Enviadas]]," ")</f>
        <v>0</v>
      </c>
      <c r="W1184" s="26"/>
      <c r="X1184" s="17" t="s">
        <v>6251</v>
      </c>
      <c r="Y1184" s="27"/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6:26" ht="14.25" customHeight="1">
      <c r="F1185" s="28" t="str">
        <f>IFERROR(VLOOKUP(TAB_OFICINAS[[#This Row],[Cliente]],LISTA_DE_CLIENTES[[Código]:[Nome Fantasia]],2,FALSE),"")</f>
        <v/>
      </c>
      <c r="G1185" s="2" t="str">
        <f>IFERROR(VLOOKUP(TAB_OFICINAS[[#This Row],[Cliente]],LISTA_DE_CLIENTES[[Código]:[Nome Fantasia]],3,FALSE),"")</f>
        <v/>
      </c>
      <c r="H1185" s="51"/>
      <c r="I1185" s="28" t="str">
        <f>IFERROR(VLOOKUP(TAB_OFICINAS[[#This Row],[Codigo Produto ]],_000___PEDIDOS_DE_CLIENTES[[Data.Column2]:[Descrição Produto]],2,FALSE)," ")</f>
        <v xml:space="preserve"> </v>
      </c>
      <c r="J1185" s="91"/>
      <c r="K1185" s="88"/>
      <c r="N1185" s="6">
        <f t="shared" ca="1" si="5"/>
        <v>46283</v>
      </c>
      <c r="O1185" s="23">
        <f ca="1">TAB_OFICINAS[[#This Row],[Data Retorno Produção]]-TAB_OFICINAS[[#This Row],[Data Prometida  Entrega]]</f>
        <v>46283</v>
      </c>
      <c r="P1185" s="98" t="str">
        <f ca="1">IF(TAB_OFICINAS[[#This Row],[Dias Para Entrega]]&lt;=0,"Em dia","Dia de Atrasado")</f>
        <v>Dia de Atrasado</v>
      </c>
      <c r="Q1185" s="24">
        <f>IFERROR(TAB_OFICINAS[[#This Row],[Qtd pçs Enviadas]]-TAB_OFICINAS[[#This Row],[Qtd pçs Retornadas ]],"N/D ")</f>
        <v>0</v>
      </c>
      <c r="R1185" s="24"/>
      <c r="U1185" s="11"/>
      <c r="V1185" s="25">
        <f>IFERROR(TAB_OFICINAS[[#This Row],[Valor Unit]]*TAB_OFICINAS[[#This Row],[Qtd pçs Enviadas]]," ")</f>
        <v>0</v>
      </c>
      <c r="W1185" s="26"/>
      <c r="X1185" s="17" t="s">
        <v>6251</v>
      </c>
      <c r="Y1185" s="27"/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6:26" ht="14.25" customHeight="1">
      <c r="F1186" s="28" t="str">
        <f>IFERROR(VLOOKUP(TAB_OFICINAS[[#This Row],[Cliente]],LISTA_DE_CLIENTES[[Código]:[Nome Fantasia]],2,FALSE),"")</f>
        <v/>
      </c>
      <c r="G1186" s="2" t="str">
        <f>IFERROR(VLOOKUP(TAB_OFICINAS[[#This Row],[Cliente]],LISTA_DE_CLIENTES[[Código]:[Nome Fantasia]],3,FALSE),"")</f>
        <v/>
      </c>
      <c r="H1186" s="51"/>
      <c r="I1186" s="28" t="str">
        <f>IFERROR(VLOOKUP(TAB_OFICINAS[[#This Row],[Codigo Produto ]],_000___PEDIDOS_DE_CLIENTES[[Data.Column2]:[Descrição Produto]],2,FALSE)," ")</f>
        <v xml:space="preserve"> </v>
      </c>
      <c r="J1186" s="91"/>
      <c r="K1186" s="88"/>
      <c r="N1186" s="6">
        <f t="shared" ca="1" si="5"/>
        <v>46283</v>
      </c>
      <c r="O1186" s="23">
        <f ca="1">TAB_OFICINAS[[#This Row],[Data Retorno Produção]]-TAB_OFICINAS[[#This Row],[Data Prometida  Entrega]]</f>
        <v>46283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U1186" s="11"/>
      <c r="V1186" s="25">
        <f>IFERROR(TAB_OFICINAS[[#This Row],[Valor Unit]]*TAB_OFICINAS[[#This Row],[Qtd pçs Enviadas]]," ")</f>
        <v>0</v>
      </c>
      <c r="W1186" s="26"/>
      <c r="X1186" s="17" t="s">
        <v>6251</v>
      </c>
      <c r="Y1186" s="27"/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6:26" ht="14.25" customHeight="1">
      <c r="F1187" s="28" t="str">
        <f>IFERROR(VLOOKUP(TAB_OFICINAS[[#This Row],[Cliente]],LISTA_DE_CLIENTES[[Código]:[Nome Fantasia]],2,FALSE),"")</f>
        <v/>
      </c>
      <c r="G1187" s="2" t="str">
        <f>IFERROR(VLOOKUP(TAB_OFICINAS[[#This Row],[Cliente]],LISTA_DE_CLIENTES[[Código]:[Nome Fantasia]],3,FALSE),"")</f>
        <v/>
      </c>
      <c r="H1187" s="51"/>
      <c r="I1187" s="28" t="str">
        <f>IFERROR(VLOOKUP(TAB_OFICINAS[[#This Row],[Codigo Produto ]],_000___PEDIDOS_DE_CLIENTES[[Data.Column2]:[Descrição Produto]],2,FALSE)," ")</f>
        <v xml:space="preserve"> </v>
      </c>
      <c r="J1187" s="91"/>
      <c r="K1187" s="88"/>
      <c r="N1187" s="6">
        <f t="shared" ref="N1187:N1250" ca="1" si="6">TODAY()</f>
        <v>46283</v>
      </c>
      <c r="O1187" s="23">
        <f ca="1">TAB_OFICINAS[[#This Row],[Data Retorno Produção]]-TAB_OFICINAS[[#This Row],[Data Prometida  Entrega]]</f>
        <v>46283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U1187" s="11"/>
      <c r="V1187" s="25">
        <f>IFERROR(TAB_OFICINAS[[#This Row],[Valor Unit]]*TAB_OFICINAS[[#This Row],[Qtd pçs Enviadas]]," ")</f>
        <v>0</v>
      </c>
      <c r="W1187" s="26"/>
      <c r="X1187" s="17" t="s">
        <v>6251</v>
      </c>
      <c r="Y1187" s="27"/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6:26" ht="14.25" customHeight="1">
      <c r="F1188" s="28" t="str">
        <f>IFERROR(VLOOKUP(TAB_OFICINAS[[#This Row],[Cliente]],LISTA_DE_CLIENTES[[Código]:[Nome Fantasia]],2,FALSE),"")</f>
        <v/>
      </c>
      <c r="G1188" s="2" t="str">
        <f>IFERROR(VLOOKUP(TAB_OFICINAS[[#This Row],[Cliente]],LISTA_DE_CLIENTES[[Código]:[Nome Fantasia]],3,FALSE),"")</f>
        <v/>
      </c>
      <c r="H1188" s="51"/>
      <c r="I1188" s="28" t="str">
        <f>IFERROR(VLOOKUP(TAB_OFICINAS[[#This Row],[Codigo Produto ]],_000___PEDIDOS_DE_CLIENTES[[Data.Column2]:[Descrição Produto]],2,FALSE)," ")</f>
        <v xml:space="preserve"> </v>
      </c>
      <c r="J1188" s="91"/>
      <c r="K1188" s="88"/>
      <c r="N1188" s="6">
        <f t="shared" ca="1" si="6"/>
        <v>46283</v>
      </c>
      <c r="O1188" s="23">
        <f ca="1">TAB_OFICINAS[[#This Row],[Data Retorno Produção]]-TAB_OFICINAS[[#This Row],[Data Prometida  Entrega]]</f>
        <v>46283</v>
      </c>
      <c r="P1188" s="98" t="str">
        <f ca="1">IF(TAB_OFICINAS[[#This Row],[Dias Para Entrega]]&lt;=0,"Em dia","Dia de Atrasado")</f>
        <v>Dia de Atrasado</v>
      </c>
      <c r="Q1188" s="24">
        <f>IFERROR(TAB_OFICINAS[[#This Row],[Qtd pçs Enviadas]]-TAB_OFICINAS[[#This Row],[Qtd pçs Retornadas ]],"N/D ")</f>
        <v>0</v>
      </c>
      <c r="R1188" s="24"/>
      <c r="U1188" s="11"/>
      <c r="V1188" s="25">
        <f>IFERROR(TAB_OFICINAS[[#This Row],[Valor Unit]]*TAB_OFICINAS[[#This Row],[Qtd pçs Enviadas]]," ")</f>
        <v>0</v>
      </c>
      <c r="W1188" s="26"/>
      <c r="X1188" s="17" t="s">
        <v>6251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9" spans="6:26" ht="14.25" customHeight="1">
      <c r="F1189" s="28" t="str">
        <f>IFERROR(VLOOKUP(TAB_OFICINAS[[#This Row],[Cliente]],LISTA_DE_CLIENTES[[Código]:[Nome Fantasia]],2,FALSE),"")</f>
        <v/>
      </c>
      <c r="G1189" s="2" t="str">
        <f>IFERROR(VLOOKUP(TAB_OFICINAS[[#This Row],[Cliente]],LISTA_DE_CLIENTES[[Código]:[Nome Fantasia]],3,FALSE),"")</f>
        <v/>
      </c>
      <c r="H1189" s="51"/>
      <c r="I1189" s="28" t="str">
        <f>IFERROR(VLOOKUP(TAB_OFICINAS[[#This Row],[Codigo Produto ]],_000___PEDIDOS_DE_CLIENTES[[Data.Column2]:[Descrição Produto]],2,FALSE)," ")</f>
        <v xml:space="preserve"> </v>
      </c>
      <c r="J1189" s="91"/>
      <c r="K1189" s="88"/>
      <c r="N1189" s="6">
        <f t="shared" ca="1" si="6"/>
        <v>46283</v>
      </c>
      <c r="O1189" s="23">
        <f ca="1">TAB_OFICINAS[[#This Row],[Data Retorno Produção]]-TAB_OFICINAS[[#This Row],[Data Prometida  Entrega]]</f>
        <v>46283</v>
      </c>
      <c r="P1189" s="98" t="str">
        <f ca="1">IF(TAB_OFICINAS[[#This Row],[Dias Para Entrega]]&lt;=0,"Em dia","Dia de Atrasado")</f>
        <v>Dia de Atrasado</v>
      </c>
      <c r="Q1189" s="24">
        <f>IFERROR(TAB_OFICINAS[[#This Row],[Qtd pçs Enviadas]]-TAB_OFICINAS[[#This Row],[Qtd pçs Retornadas ]],"N/D ")</f>
        <v>0</v>
      </c>
      <c r="R1189" s="24"/>
      <c r="U1189" s="11"/>
      <c r="V1189" s="25">
        <f>IFERROR(TAB_OFICINAS[[#This Row],[Valor Unit]]*TAB_OFICINAS[[#This Row],[Qtd pçs Enviadas]]," ")</f>
        <v>0</v>
      </c>
      <c r="W1189" s="26"/>
      <c r="X1189" s="17" t="s">
        <v>6251</v>
      </c>
      <c r="Y1189" s="27"/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6:26" ht="14.25" customHeight="1">
      <c r="F1190" s="28" t="str">
        <f>IFERROR(VLOOKUP(TAB_OFICINAS[[#This Row],[Cliente]],LISTA_DE_CLIENTES[[Código]:[Nome Fantasia]],2,FALSE),"")</f>
        <v/>
      </c>
      <c r="G1190" s="2" t="str">
        <f>IFERROR(VLOOKUP(TAB_OFICINAS[[#This Row],[Cliente]],LISTA_DE_CLIENTES[[Código]:[Nome Fantasia]],3,FALSE),"")</f>
        <v/>
      </c>
      <c r="H1190" s="51"/>
      <c r="I1190" s="28" t="str">
        <f>IFERROR(VLOOKUP(TAB_OFICINAS[[#This Row],[Codigo Produto ]],_000___PEDIDOS_DE_CLIENTES[[Data.Column2]:[Descrição Produto]],2,FALSE)," ")</f>
        <v xml:space="preserve"> </v>
      </c>
      <c r="J1190" s="91"/>
      <c r="K1190" s="88"/>
      <c r="N1190" s="6">
        <f t="shared" ca="1" si="6"/>
        <v>46283</v>
      </c>
      <c r="O1190" s="23">
        <f ca="1">TAB_OFICINAS[[#This Row],[Data Retorno Produção]]-TAB_OFICINAS[[#This Row],[Data Prometida  Entrega]]</f>
        <v>46283</v>
      </c>
      <c r="P1190" s="98" t="str">
        <f ca="1">IF(TAB_OFICINAS[[#This Row],[Dias Para Entrega]]&lt;=0,"Em dia","Dia de Atrasado")</f>
        <v>Dia de Atrasado</v>
      </c>
      <c r="Q1190" s="24">
        <f>IFERROR(TAB_OFICINAS[[#This Row],[Qtd pçs Enviadas]]-TAB_OFICINAS[[#This Row],[Qtd pçs Retornadas ]],"N/D ")</f>
        <v>0</v>
      </c>
      <c r="R1190" s="24"/>
      <c r="U1190" s="11"/>
      <c r="V1190" s="25">
        <f>IFERROR(TAB_OFICINAS[[#This Row],[Valor Unit]]*TAB_OFICINAS[[#This Row],[Qtd pçs Enviadas]]," ")</f>
        <v>0</v>
      </c>
      <c r="W1190" s="26"/>
      <c r="X1190" s="17" t="s">
        <v>6251</v>
      </c>
      <c r="Y1190" s="27"/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6:26" ht="14.25" customHeight="1">
      <c r="F1191" s="28" t="str">
        <f>IFERROR(VLOOKUP(TAB_OFICINAS[[#This Row],[Cliente]],LISTA_DE_CLIENTES[[Código]:[Nome Fantasia]],2,FALSE),"")</f>
        <v/>
      </c>
      <c r="G1191" s="2" t="str">
        <f>IFERROR(VLOOKUP(TAB_OFICINAS[[#This Row],[Cliente]],LISTA_DE_CLIENTES[[Código]:[Nome Fantasia]],3,FALSE),"")</f>
        <v/>
      </c>
      <c r="H1191" s="51"/>
      <c r="I1191" s="28" t="str">
        <f>IFERROR(VLOOKUP(TAB_OFICINAS[[#This Row],[Codigo Produto ]],_000___PEDIDOS_DE_CLIENTES[[Data.Column2]:[Descrição Produto]],2,FALSE)," ")</f>
        <v xml:space="preserve"> </v>
      </c>
      <c r="J1191" s="91"/>
      <c r="K1191" s="88"/>
      <c r="N1191" s="6">
        <f t="shared" ca="1" si="6"/>
        <v>46283</v>
      </c>
      <c r="O1191" s="23">
        <f ca="1">TAB_OFICINAS[[#This Row],[Data Retorno Produção]]-TAB_OFICINAS[[#This Row],[Data Prometida  Entrega]]</f>
        <v>46283</v>
      </c>
      <c r="P1191" s="98" t="str">
        <f ca="1">IF(TAB_OFICINAS[[#This Row],[Dias Para Entrega]]&lt;=0,"Em dia","Dia de Atrasado")</f>
        <v>Dia de Atrasado</v>
      </c>
      <c r="Q1191" s="24">
        <f>IFERROR(TAB_OFICINAS[[#This Row],[Qtd pçs Enviadas]]-TAB_OFICINAS[[#This Row],[Qtd pçs Retornadas ]],"N/D ")</f>
        <v>0</v>
      </c>
      <c r="R1191" s="24"/>
      <c r="U1191" s="11"/>
      <c r="V1191" s="25">
        <f>IFERROR(TAB_OFICINAS[[#This Row],[Valor Unit]]*TAB_OFICINAS[[#This Row],[Qtd pçs Enviadas]]," ")</f>
        <v>0</v>
      </c>
      <c r="W1191" s="26"/>
      <c r="X1191" s="17" t="s">
        <v>6251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2" spans="6:26" ht="14.25" customHeight="1">
      <c r="F1192" s="28" t="str">
        <f>IFERROR(VLOOKUP(TAB_OFICINAS[[#This Row],[Cliente]],LISTA_DE_CLIENTES[[Código]:[Nome Fantasia]],2,FALSE),"")</f>
        <v/>
      </c>
      <c r="G1192" s="2" t="str">
        <f>IFERROR(VLOOKUP(TAB_OFICINAS[[#This Row],[Cliente]],LISTA_DE_CLIENTES[[Código]:[Nome Fantasia]],3,FALSE),"")</f>
        <v/>
      </c>
      <c r="H1192" s="51"/>
      <c r="I1192" s="28" t="str">
        <f>IFERROR(VLOOKUP(TAB_OFICINAS[[#This Row],[Codigo Produto ]],_000___PEDIDOS_DE_CLIENTES[[Data.Column2]:[Descrição Produto]],2,FALSE)," ")</f>
        <v xml:space="preserve"> </v>
      </c>
      <c r="J1192" s="91"/>
      <c r="K1192" s="88"/>
      <c r="N1192" s="6">
        <f t="shared" ca="1" si="6"/>
        <v>46283</v>
      </c>
      <c r="O1192" s="23">
        <f ca="1">TAB_OFICINAS[[#This Row],[Data Retorno Produção]]-TAB_OFICINAS[[#This Row],[Data Prometida  Entrega]]</f>
        <v>46283</v>
      </c>
      <c r="P1192" s="98" t="str">
        <f ca="1">IF(TAB_OFICINAS[[#This Row],[Dias Para Entrega]]&lt;=0,"Em dia","Dia de Atrasado")</f>
        <v>Dia de Atrasado</v>
      </c>
      <c r="Q1192" s="24">
        <f>IFERROR(TAB_OFICINAS[[#This Row],[Qtd pçs Enviadas]]-TAB_OFICINAS[[#This Row],[Qtd pçs Retornadas ]],"N/D ")</f>
        <v>0</v>
      </c>
      <c r="R1192" s="24"/>
      <c r="U1192" s="11"/>
      <c r="V1192" s="25">
        <f>IFERROR(TAB_OFICINAS[[#This Row],[Valor Unit]]*TAB_OFICINAS[[#This Row],[Qtd pçs Enviadas]]," ")</f>
        <v>0</v>
      </c>
      <c r="W1192" s="26"/>
      <c r="X1192" s="17" t="s">
        <v>6251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6:26" ht="14.25" customHeight="1">
      <c r="F1193" s="28" t="str">
        <f>IFERROR(VLOOKUP(TAB_OFICINAS[[#This Row],[Cliente]],LISTA_DE_CLIENTES[[Código]:[Nome Fantasia]],2,FALSE),"")</f>
        <v/>
      </c>
      <c r="G1193" s="2" t="str">
        <f>IFERROR(VLOOKUP(TAB_OFICINAS[[#This Row],[Cliente]],LISTA_DE_CLIENTES[[Código]:[Nome Fantasia]],3,FALSE),"")</f>
        <v/>
      </c>
      <c r="H1193" s="51"/>
      <c r="I1193" s="28" t="str">
        <f>IFERROR(VLOOKUP(TAB_OFICINAS[[#This Row],[Codigo Produto ]],_000___PEDIDOS_DE_CLIENTES[[Data.Column2]:[Descrição Produto]],2,FALSE)," ")</f>
        <v xml:space="preserve"> </v>
      </c>
      <c r="J1193" s="91"/>
      <c r="K1193" s="88"/>
      <c r="N1193" s="6">
        <f t="shared" ca="1" si="6"/>
        <v>46283</v>
      </c>
      <c r="O1193" s="23">
        <f ca="1">TAB_OFICINAS[[#This Row],[Data Retorno Produção]]-TAB_OFICINAS[[#This Row],[Data Prometida  Entrega]]</f>
        <v>46283</v>
      </c>
      <c r="P1193" s="98" t="str">
        <f ca="1">IF(TAB_OFICINAS[[#This Row],[Dias Para Entrega]]&lt;=0,"Em dia","Dia de Atrasado")</f>
        <v>Dia de Atrasado</v>
      </c>
      <c r="Q1193" s="24">
        <f>IFERROR(TAB_OFICINAS[[#This Row],[Qtd pçs Enviadas]]-TAB_OFICINAS[[#This Row],[Qtd pçs Retornadas ]],"N/D ")</f>
        <v>0</v>
      </c>
      <c r="R1193" s="24"/>
      <c r="U1193" s="11"/>
      <c r="V1193" s="25">
        <f>IFERROR(TAB_OFICINAS[[#This Row],[Valor Unit]]*TAB_OFICINAS[[#This Row],[Qtd pçs Enviadas]]," ")</f>
        <v>0</v>
      </c>
      <c r="W1193" s="26"/>
      <c r="X1193" s="17" t="s">
        <v>6251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6:26" ht="14.25" customHeight="1">
      <c r="F1194" s="28" t="str">
        <f>IFERROR(VLOOKUP(TAB_OFICINAS[[#This Row],[Cliente]],LISTA_DE_CLIENTES[[Código]:[Nome Fantasia]],2,FALSE),"")</f>
        <v/>
      </c>
      <c r="G1194" s="2" t="str">
        <f>IFERROR(VLOOKUP(TAB_OFICINAS[[#This Row],[Cliente]],LISTA_DE_CLIENTES[[Código]:[Nome Fantasia]],3,FALSE),"")</f>
        <v/>
      </c>
      <c r="H1194" s="51"/>
      <c r="I1194" s="28" t="str">
        <f>IFERROR(VLOOKUP(TAB_OFICINAS[[#This Row],[Codigo Produto ]],_000___PEDIDOS_DE_CLIENTES[[Data.Column2]:[Descrição Produto]],2,FALSE)," ")</f>
        <v xml:space="preserve"> </v>
      </c>
      <c r="J1194" s="91"/>
      <c r="K1194" s="88"/>
      <c r="N1194" s="6">
        <f t="shared" ca="1" si="6"/>
        <v>46283</v>
      </c>
      <c r="O1194" s="23">
        <f ca="1">TAB_OFICINAS[[#This Row],[Data Retorno Produção]]-TAB_OFICINAS[[#This Row],[Data Prometida  Entrega]]</f>
        <v>46283</v>
      </c>
      <c r="P1194" s="98" t="str">
        <f ca="1">IF(TAB_OFICINAS[[#This Row],[Dias Para Entrega]]&lt;=0,"Em dia","Dia de Atrasado")</f>
        <v>Dia de Atrasado</v>
      </c>
      <c r="Q1194" s="24">
        <f>IFERROR(TAB_OFICINAS[[#This Row],[Qtd pçs Enviadas]]-TAB_OFICINAS[[#This Row],[Qtd pçs Retornadas ]],"N/D ")</f>
        <v>0</v>
      </c>
      <c r="R1194" s="24"/>
      <c r="U1194" s="11"/>
      <c r="V1194" s="25">
        <f>IFERROR(TAB_OFICINAS[[#This Row],[Valor Unit]]*TAB_OFICINAS[[#This Row],[Qtd pçs Enviadas]]," ")</f>
        <v>0</v>
      </c>
      <c r="W1194" s="26"/>
      <c r="X1194" s="17" t="s">
        <v>6251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5" spans="6:26" ht="14.25" customHeight="1">
      <c r="F1195" s="28" t="str">
        <f>IFERROR(VLOOKUP(TAB_OFICINAS[[#This Row],[Cliente]],LISTA_DE_CLIENTES[[Código]:[Nome Fantasia]],2,FALSE),"")</f>
        <v/>
      </c>
      <c r="G1195" s="2" t="str">
        <f>IFERROR(VLOOKUP(TAB_OFICINAS[[#This Row],[Cliente]],LISTA_DE_CLIENTES[[Código]:[Nome Fantasia]],3,FALSE),"")</f>
        <v/>
      </c>
      <c r="H1195" s="51"/>
      <c r="I1195" s="28" t="str">
        <f>IFERROR(VLOOKUP(TAB_OFICINAS[[#This Row],[Codigo Produto ]],_000___PEDIDOS_DE_CLIENTES[[Data.Column2]:[Descrição Produto]],2,FALSE)," ")</f>
        <v xml:space="preserve"> </v>
      </c>
      <c r="J1195" s="91"/>
      <c r="K1195" s="88"/>
      <c r="N1195" s="6">
        <f t="shared" ca="1" si="6"/>
        <v>46283</v>
      </c>
      <c r="O1195" s="23">
        <f ca="1">TAB_OFICINAS[[#This Row],[Data Retorno Produção]]-TAB_OFICINAS[[#This Row],[Data Prometida  Entrega]]</f>
        <v>46283</v>
      </c>
      <c r="P1195" s="98" t="str">
        <f ca="1">IF(TAB_OFICINAS[[#This Row],[Dias Para Entrega]]&lt;=0,"Em dia","Dia de Atrasado")</f>
        <v>Dia de Atrasado</v>
      </c>
      <c r="Q1195" s="24">
        <f>IFERROR(TAB_OFICINAS[[#This Row],[Qtd pçs Enviadas]]-TAB_OFICINAS[[#This Row],[Qtd pçs Retornadas ]],"N/D ")</f>
        <v>0</v>
      </c>
      <c r="R1195" s="24"/>
      <c r="U1195" s="11"/>
      <c r="V1195" s="25">
        <f>IFERROR(TAB_OFICINAS[[#This Row],[Valor Unit]]*TAB_OFICINAS[[#This Row],[Qtd pçs Enviadas]]," ")</f>
        <v>0</v>
      </c>
      <c r="W1195" s="26"/>
      <c r="X1195" s="17" t="s">
        <v>6251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6" spans="6:26" ht="14.25" customHeight="1">
      <c r="F1196" s="28" t="str">
        <f>IFERROR(VLOOKUP(TAB_OFICINAS[[#This Row],[Cliente]],LISTA_DE_CLIENTES[[Código]:[Nome Fantasia]],2,FALSE),"")</f>
        <v/>
      </c>
      <c r="G1196" s="2" t="str">
        <f>IFERROR(VLOOKUP(TAB_OFICINAS[[#This Row],[Cliente]],LISTA_DE_CLIENTES[[Código]:[Nome Fantasia]],3,FALSE),"")</f>
        <v/>
      </c>
      <c r="H1196" s="51"/>
      <c r="I1196" s="28" t="str">
        <f>IFERROR(VLOOKUP(TAB_OFICINAS[[#This Row],[Codigo Produto ]],_000___PEDIDOS_DE_CLIENTES[[Data.Column2]:[Descrição Produto]],2,FALSE)," ")</f>
        <v xml:space="preserve"> </v>
      </c>
      <c r="J1196" s="91"/>
      <c r="K1196" s="88"/>
      <c r="N1196" s="6">
        <f t="shared" ca="1" si="6"/>
        <v>46283</v>
      </c>
      <c r="O1196" s="23">
        <f ca="1">TAB_OFICINAS[[#This Row],[Data Retorno Produção]]-TAB_OFICINAS[[#This Row],[Data Prometida  Entrega]]</f>
        <v>46283</v>
      </c>
      <c r="P1196" s="98" t="str">
        <f ca="1">IF(TAB_OFICINAS[[#This Row],[Dias Para Entrega]]&lt;=0,"Em dia","Dia de Atrasado")</f>
        <v>Dia de Atrasado</v>
      </c>
      <c r="Q1196" s="24">
        <f>IFERROR(TAB_OFICINAS[[#This Row],[Qtd pçs Enviadas]]-TAB_OFICINAS[[#This Row],[Qtd pçs Retornadas ]],"N/D ")</f>
        <v>0</v>
      </c>
      <c r="R1196" s="24"/>
      <c r="U1196" s="11"/>
      <c r="V1196" s="25">
        <f>IFERROR(TAB_OFICINAS[[#This Row],[Valor Unit]]*TAB_OFICINAS[[#This Row],[Qtd pçs Enviadas]]," ")</f>
        <v>0</v>
      </c>
      <c r="W1196" s="26"/>
      <c r="X1196" s="17" t="s">
        <v>6251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7" spans="6:26" ht="14.25" customHeight="1">
      <c r="F1197" s="28" t="str">
        <f>IFERROR(VLOOKUP(TAB_OFICINAS[[#This Row],[Cliente]],LISTA_DE_CLIENTES[[Código]:[Nome Fantasia]],2,FALSE),"")</f>
        <v/>
      </c>
      <c r="G1197" s="2" t="str">
        <f>IFERROR(VLOOKUP(TAB_OFICINAS[[#This Row],[Cliente]],LISTA_DE_CLIENTES[[Código]:[Nome Fantasia]],3,FALSE),"")</f>
        <v/>
      </c>
      <c r="H1197" s="51"/>
      <c r="I1197" s="28" t="str">
        <f>IFERROR(VLOOKUP(TAB_OFICINAS[[#This Row],[Codigo Produto ]],_000___PEDIDOS_DE_CLIENTES[[Data.Column2]:[Descrição Produto]],2,FALSE)," ")</f>
        <v xml:space="preserve"> </v>
      </c>
      <c r="J1197" s="91"/>
      <c r="K1197" s="88"/>
      <c r="N1197" s="6">
        <f t="shared" ca="1" si="6"/>
        <v>46283</v>
      </c>
      <c r="O1197" s="23">
        <f ca="1">TAB_OFICINAS[[#This Row],[Data Retorno Produção]]-TAB_OFICINAS[[#This Row],[Data Prometida  Entrega]]</f>
        <v>46283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X1197" s="17" t="s">
        <v>6251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6:26" ht="14.25" customHeight="1">
      <c r="F1198" s="28" t="str">
        <f>IFERROR(VLOOKUP(TAB_OFICINAS[[#This Row],[Cliente]],LISTA_DE_CLIENTES[[Código]:[Nome Fantasia]],2,FALSE),"")</f>
        <v/>
      </c>
      <c r="G1198" s="2" t="str">
        <f>IFERROR(VLOOKUP(TAB_OFICINAS[[#This Row],[Cliente]],LISTA_DE_CLIENTES[[Código]:[Nome Fantasia]],3,FALSE),"")</f>
        <v/>
      </c>
      <c r="H1198" s="51"/>
      <c r="I1198" s="28" t="str">
        <f>IFERROR(VLOOKUP(TAB_OFICINAS[[#This Row],[Codigo Produto ]],_000___PEDIDOS_DE_CLIENTES[[Data.Column2]:[Descrição Produto]],2,FALSE)," ")</f>
        <v xml:space="preserve"> </v>
      </c>
      <c r="J1198" s="91"/>
      <c r="K1198" s="88"/>
      <c r="N1198" s="6">
        <f t="shared" ca="1" si="6"/>
        <v>46283</v>
      </c>
      <c r="O1198" s="23">
        <f ca="1">TAB_OFICINAS[[#This Row],[Data Retorno Produção]]-TAB_OFICINAS[[#This Row],[Data Prometida  Entrega]]</f>
        <v>46283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X1198" s="17" t="s">
        <v>6251</v>
      </c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6:26" ht="14.25" customHeight="1">
      <c r="F1199" s="28" t="str">
        <f>IFERROR(VLOOKUP(TAB_OFICINAS[[#This Row],[Cliente]],LISTA_DE_CLIENTES[[Código]:[Nome Fantasia]],2,FALSE),"")</f>
        <v/>
      </c>
      <c r="G1199" s="2" t="str">
        <f>IFERROR(VLOOKUP(TAB_OFICINAS[[#This Row],[Cliente]],LISTA_DE_CLIENTES[[Código]:[Nome Fantasia]],3,FALSE),"")</f>
        <v/>
      </c>
      <c r="H1199" s="51"/>
      <c r="I1199" s="28" t="str">
        <f>IFERROR(VLOOKUP(TAB_OFICINAS[[#This Row],[Codigo Produto ]],_000___PEDIDOS_DE_CLIENTES[[Data.Column2]:[Descrição Produto]],2,FALSE)," ")</f>
        <v xml:space="preserve"> </v>
      </c>
      <c r="J1199" s="91"/>
      <c r="K1199" s="88"/>
      <c r="N1199" s="6">
        <f t="shared" ca="1" si="6"/>
        <v>46283</v>
      </c>
      <c r="O1199" s="23">
        <f ca="1">TAB_OFICINAS[[#This Row],[Data Retorno Produção]]-TAB_OFICINAS[[#This Row],[Data Prometida  Entrega]]</f>
        <v>46283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X1199" s="17" t="s">
        <v>6251</v>
      </c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6:26" ht="14.25" customHeight="1">
      <c r="F1200" s="28" t="str">
        <f>IFERROR(VLOOKUP(TAB_OFICINAS[[#This Row],[Cliente]],LISTA_DE_CLIENTES[[Código]:[Nome Fantasia]],2,FALSE),"")</f>
        <v/>
      </c>
      <c r="G1200" s="2" t="str">
        <f>IFERROR(VLOOKUP(TAB_OFICINAS[[#This Row],[Cliente]],LISTA_DE_CLIENTES[[Código]:[Nome Fantasia]],3,FALSE),"")</f>
        <v/>
      </c>
      <c r="H1200" s="51"/>
      <c r="I1200" s="28" t="str">
        <f>IFERROR(VLOOKUP(TAB_OFICINAS[[#This Row],[Codigo Produto ]],_000___PEDIDOS_DE_CLIENTES[[Data.Column2]:[Descrição Produto]],2,FALSE)," ")</f>
        <v xml:space="preserve"> </v>
      </c>
      <c r="J1200" s="91"/>
      <c r="K1200" s="88"/>
      <c r="N1200" s="6">
        <f t="shared" ca="1" si="6"/>
        <v>46283</v>
      </c>
      <c r="O1200" s="23">
        <f ca="1">TAB_OFICINAS[[#This Row],[Data Retorno Produção]]-TAB_OFICINAS[[#This Row],[Data Prometida  Entrega]]</f>
        <v>46283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X1200" s="17" t="s">
        <v>6251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 ht="14.25" customHeight="1">
      <c r="F1201" s="28" t="str">
        <f>IFERROR(VLOOKUP(TAB_OFICINAS[[#This Row],[Cliente]],LISTA_DE_CLIENTES[[Código]:[Nome Fantasia]],2,FALSE),"")</f>
        <v/>
      </c>
      <c r="G1201" s="2" t="str">
        <f>IFERROR(VLOOKUP(TAB_OFICINAS[[#This Row],[Cliente]],LISTA_DE_CLIENTES[[Código]:[Nome Fantasia]],3,FALSE),"")</f>
        <v/>
      </c>
      <c r="H1201" s="51"/>
      <c r="I1201" s="28" t="str">
        <f>IFERROR(VLOOKUP(TAB_OFICINAS[[#This Row],[Codigo Produto ]],_000___PEDIDOS_DE_CLIENTES[[Data.Column2]:[Descrição Produto]],2,FALSE)," ")</f>
        <v xml:space="preserve"> </v>
      </c>
      <c r="J1201" s="91"/>
      <c r="K1201" s="88"/>
      <c r="N1201" s="6">
        <f t="shared" ca="1" si="6"/>
        <v>46283</v>
      </c>
      <c r="O1201" s="23">
        <f ca="1">TAB_OFICINAS[[#This Row],[Data Retorno Produção]]-TAB_OFICINAS[[#This Row],[Data Prometida  Entrega]]</f>
        <v>46283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X1201" s="17" t="s">
        <v>6251</v>
      </c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 ht="14.25" customHeight="1">
      <c r="F1202" s="28" t="str">
        <f>IFERROR(VLOOKUP(TAB_OFICINAS[[#This Row],[Cliente]],LISTA_DE_CLIENTES[[Código]:[Nome Fantasia]],2,FALSE),"")</f>
        <v/>
      </c>
      <c r="G1202" s="2" t="str">
        <f>IFERROR(VLOOKUP(TAB_OFICINAS[[#This Row],[Cliente]],LISTA_DE_CLIENTES[[Código]:[Nome Fantasia]],3,FALSE),"")</f>
        <v/>
      </c>
      <c r="H1202" s="51"/>
      <c r="I1202" s="28" t="str">
        <f>IFERROR(VLOOKUP(TAB_OFICINAS[[#This Row],[Codigo Produto ]],_000___PEDIDOS_DE_CLIENTES[[Data.Column2]:[Descrição Produto]],2,FALSE)," ")</f>
        <v xml:space="preserve"> </v>
      </c>
      <c r="J1202" s="91"/>
      <c r="K1202" s="88"/>
      <c r="N1202" s="6">
        <f t="shared" ca="1" si="6"/>
        <v>46283</v>
      </c>
      <c r="O1202" s="23">
        <f ca="1">TAB_OFICINAS[[#This Row],[Data Retorno Produção]]-TAB_OFICINAS[[#This Row],[Data Prometida  Entrega]]</f>
        <v>46283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X1202" s="17" t="s">
        <v>6251</v>
      </c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 ht="14.25" customHeight="1">
      <c r="F1203" s="28" t="str">
        <f>IFERROR(VLOOKUP(TAB_OFICINAS[[#This Row],[Cliente]],LISTA_DE_CLIENTES[[Código]:[Nome Fantasia]],2,FALSE),"")</f>
        <v/>
      </c>
      <c r="G1203" s="2" t="str">
        <f>IFERROR(VLOOKUP(TAB_OFICINAS[[#This Row],[Cliente]],LISTA_DE_CLIENTES[[Código]:[Nome Fantasia]],3,FALSE),"")</f>
        <v/>
      </c>
      <c r="H1203" s="51"/>
      <c r="I1203" s="28" t="str">
        <f>IFERROR(VLOOKUP(TAB_OFICINAS[[#This Row],[Codigo Produto ]],_000___PEDIDOS_DE_CLIENTES[[Data.Column2]:[Descrição Produto]],2,FALSE)," ")</f>
        <v xml:space="preserve"> </v>
      </c>
      <c r="J1203" s="91"/>
      <c r="K1203" s="88"/>
      <c r="N1203" s="6">
        <f t="shared" ca="1" si="6"/>
        <v>46283</v>
      </c>
      <c r="O1203" s="23">
        <f ca="1">TAB_OFICINAS[[#This Row],[Data Retorno Produção]]-TAB_OFICINAS[[#This Row],[Data Prometida  Entrega]]</f>
        <v>46283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X1203" s="17" t="s">
        <v>6251</v>
      </c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 ht="14.25" customHeight="1">
      <c r="F1204" s="28" t="str">
        <f>IFERROR(VLOOKUP(TAB_OFICINAS[[#This Row],[Cliente]],LISTA_DE_CLIENTES[[Código]:[Nome Fantasia]],2,FALSE),"")</f>
        <v/>
      </c>
      <c r="G1204" s="2" t="str">
        <f>IFERROR(VLOOKUP(TAB_OFICINAS[[#This Row],[Cliente]],LISTA_DE_CLIENTES[[Código]:[Nome Fantasia]],3,FALSE),"")</f>
        <v/>
      </c>
      <c r="H1204" s="51"/>
      <c r="I1204" s="28" t="str">
        <f>IFERROR(VLOOKUP(TAB_OFICINAS[[#This Row],[Codigo Produto ]],_000___PEDIDOS_DE_CLIENTES[[Data.Column2]:[Descrição Produto]],2,FALSE)," ")</f>
        <v xml:space="preserve"> </v>
      </c>
      <c r="J1204" s="91"/>
      <c r="K1204" s="88"/>
      <c r="N1204" s="6">
        <f t="shared" ca="1" si="6"/>
        <v>46283</v>
      </c>
      <c r="O1204" s="23">
        <f ca="1">TAB_OFICINAS[[#This Row],[Data Retorno Produção]]-TAB_OFICINAS[[#This Row],[Data Prometida  Entrega]]</f>
        <v>46283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X1204" s="17" t="s">
        <v>6251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 ht="14.25" customHeight="1">
      <c r="F1205" s="28" t="str">
        <f>IFERROR(VLOOKUP(TAB_OFICINAS[[#This Row],[Cliente]],LISTA_DE_CLIENTES[[Código]:[Nome Fantasia]],2,FALSE),"")</f>
        <v/>
      </c>
      <c r="G1205" s="2" t="str">
        <f>IFERROR(VLOOKUP(TAB_OFICINAS[[#This Row],[Cliente]],LISTA_DE_CLIENTES[[Código]:[Nome Fantasia]],3,FALSE),"")</f>
        <v/>
      </c>
      <c r="H1205" s="51"/>
      <c r="I1205" s="28" t="str">
        <f>IFERROR(VLOOKUP(TAB_OFICINAS[[#This Row],[Codigo Produto ]],_000___PEDIDOS_DE_CLIENTES[[Data.Column2]:[Descrição Produto]],2,FALSE)," ")</f>
        <v xml:space="preserve"> </v>
      </c>
      <c r="J1205" s="91"/>
      <c r="K1205" s="88"/>
      <c r="N1205" s="6">
        <f t="shared" ca="1" si="6"/>
        <v>46283</v>
      </c>
      <c r="O1205" s="23">
        <f ca="1">TAB_OFICINAS[[#This Row],[Data Retorno Produção]]-TAB_OFICINAS[[#This Row],[Data Prometida  Entrega]]</f>
        <v>46283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X1205" s="17" t="s">
        <v>6251</v>
      </c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 ht="14.25" customHeight="1">
      <c r="F1206" s="28" t="str">
        <f>IFERROR(VLOOKUP(TAB_OFICINAS[[#This Row],[Cliente]],LISTA_DE_CLIENTES[[Código]:[Nome Fantasia]],2,FALSE),"")</f>
        <v/>
      </c>
      <c r="G1206" s="2" t="str">
        <f>IFERROR(VLOOKUP(TAB_OFICINAS[[#This Row],[Cliente]],LISTA_DE_CLIENTES[[Código]:[Nome Fantasia]],3,FALSE),"")</f>
        <v/>
      </c>
      <c r="H1206" s="51"/>
      <c r="I1206" s="28" t="str">
        <f>IFERROR(VLOOKUP(TAB_OFICINAS[[#This Row],[Codigo Produto ]],_000___PEDIDOS_DE_CLIENTES[[Data.Column2]:[Descrição Produto]],2,FALSE)," ")</f>
        <v xml:space="preserve"> </v>
      </c>
      <c r="J1206" s="91"/>
      <c r="K1206" s="88"/>
      <c r="N1206" s="6">
        <f t="shared" ca="1" si="6"/>
        <v>46283</v>
      </c>
      <c r="O1206" s="23">
        <f ca="1">TAB_OFICINAS[[#This Row],[Data Retorno Produção]]-TAB_OFICINAS[[#This Row],[Data Prometida  Entrega]]</f>
        <v>46283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X1206" s="17" t="s">
        <v>6251</v>
      </c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 ht="14.25" customHeight="1">
      <c r="F1207" s="28" t="str">
        <f>IFERROR(VLOOKUP(TAB_OFICINAS[[#This Row],[Cliente]],LISTA_DE_CLIENTES[[Código]:[Nome Fantasia]],2,FALSE),"")</f>
        <v/>
      </c>
      <c r="G1207" s="2" t="str">
        <f>IFERROR(VLOOKUP(TAB_OFICINAS[[#This Row],[Cliente]],LISTA_DE_CLIENTES[[Código]:[Nome Fantasia]],3,FALSE),"")</f>
        <v/>
      </c>
      <c r="H1207" s="51"/>
      <c r="I1207" s="28" t="str">
        <f>IFERROR(VLOOKUP(TAB_OFICINAS[[#This Row],[Codigo Produto ]],_000___PEDIDOS_DE_CLIENTES[[Data.Column2]:[Descrição Produto]],2,FALSE)," ")</f>
        <v xml:space="preserve"> </v>
      </c>
      <c r="J1207" s="91"/>
      <c r="K1207" s="88"/>
      <c r="N1207" s="6">
        <f t="shared" ca="1" si="6"/>
        <v>46283</v>
      </c>
      <c r="O1207" s="23">
        <f ca="1">TAB_OFICINAS[[#This Row],[Data Retorno Produção]]-TAB_OFICINAS[[#This Row],[Data Prometida  Entrega]]</f>
        <v>46283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X1207" s="17" t="s">
        <v>6251</v>
      </c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 ht="14.25" customHeight="1">
      <c r="F1208" s="28" t="str">
        <f>IFERROR(VLOOKUP(TAB_OFICINAS[[#This Row],[Cliente]],LISTA_DE_CLIENTES[[Código]:[Nome Fantasia]],2,FALSE),"")</f>
        <v/>
      </c>
      <c r="G1208" s="2" t="str">
        <f>IFERROR(VLOOKUP(TAB_OFICINAS[[#This Row],[Cliente]],LISTA_DE_CLIENTES[[Código]:[Nome Fantasia]],3,FALSE),"")</f>
        <v/>
      </c>
      <c r="H1208" s="51"/>
      <c r="I1208" s="28" t="str">
        <f>IFERROR(VLOOKUP(TAB_OFICINAS[[#This Row],[Codigo Produto ]],_000___PEDIDOS_DE_CLIENTES[[Data.Column2]:[Descrição Produto]],2,FALSE)," ")</f>
        <v xml:space="preserve"> </v>
      </c>
      <c r="J1208" s="91"/>
      <c r="K1208" s="88"/>
      <c r="N1208" s="6">
        <f t="shared" ca="1" si="6"/>
        <v>46283</v>
      </c>
      <c r="O1208" s="23">
        <f ca="1">TAB_OFICINAS[[#This Row],[Data Retorno Produção]]-TAB_OFICINAS[[#This Row],[Data Prometida  Entrega]]</f>
        <v>46283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X1208" s="17" t="s">
        <v>6251</v>
      </c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 ht="14.25" customHeight="1">
      <c r="F1209" s="28" t="str">
        <f>IFERROR(VLOOKUP(TAB_OFICINAS[[#This Row],[Cliente]],LISTA_DE_CLIENTES[[Código]:[Nome Fantasia]],2,FALSE),"")</f>
        <v/>
      </c>
      <c r="G1209" s="2" t="str">
        <f>IFERROR(VLOOKUP(TAB_OFICINAS[[#This Row],[Cliente]],LISTA_DE_CLIENTES[[Código]:[Nome Fantasia]],3,FALSE),"")</f>
        <v/>
      </c>
      <c r="H1209" s="51"/>
      <c r="I1209" s="28" t="str">
        <f>IFERROR(VLOOKUP(TAB_OFICINAS[[#This Row],[Codigo Produto ]],_000___PEDIDOS_DE_CLIENTES[[Data.Column2]:[Descrição Produto]],2,FALSE)," ")</f>
        <v xml:space="preserve"> </v>
      </c>
      <c r="J1209" s="91"/>
      <c r="K1209" s="88"/>
      <c r="N1209" s="6">
        <f t="shared" ca="1" si="6"/>
        <v>46283</v>
      </c>
      <c r="O1209" s="23">
        <f ca="1">TAB_OFICINAS[[#This Row],[Data Retorno Produção]]-TAB_OFICINAS[[#This Row],[Data Prometida  Entrega]]</f>
        <v>46283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6251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 ht="14.25" customHeight="1">
      <c r="F1210" s="28" t="str">
        <f>IFERROR(VLOOKUP(TAB_OFICINAS[[#This Row],[Cliente]],LISTA_DE_CLIENTES[[Código]:[Nome Fantasia]],2,FALSE),"")</f>
        <v/>
      </c>
      <c r="G1210" s="2" t="str">
        <f>IFERROR(VLOOKUP(TAB_OFICINAS[[#This Row],[Cliente]],LISTA_DE_CLIENTES[[Código]:[Nome Fantasia]],3,FALSE),"")</f>
        <v/>
      </c>
      <c r="H1210" s="51"/>
      <c r="I1210" s="28" t="str">
        <f>IFERROR(VLOOKUP(TAB_OFICINAS[[#This Row],[Codigo Produto ]],_000___PEDIDOS_DE_CLIENTES[[Data.Column2]:[Descrição Produto]],2,FALSE)," ")</f>
        <v xml:space="preserve"> </v>
      </c>
      <c r="J1210" s="91"/>
      <c r="K1210" s="88"/>
      <c r="N1210" s="6">
        <f t="shared" ca="1" si="6"/>
        <v>46283</v>
      </c>
      <c r="O1210" s="23">
        <f ca="1">TAB_OFICINAS[[#This Row],[Data Retorno Produção]]-TAB_OFICINAS[[#This Row],[Data Prometida  Entrega]]</f>
        <v>46283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X1210" s="17" t="s">
        <v>6251</v>
      </c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 ht="14.25" customHeight="1">
      <c r="F1211" s="28" t="str">
        <f>IFERROR(VLOOKUP(TAB_OFICINAS[[#This Row],[Cliente]],LISTA_DE_CLIENTES[[Código]:[Nome Fantasia]],2,FALSE),"")</f>
        <v/>
      </c>
      <c r="G1211" s="2" t="str">
        <f>IFERROR(VLOOKUP(TAB_OFICINAS[[#This Row],[Cliente]],LISTA_DE_CLIENTES[[Código]:[Nome Fantasia]],3,FALSE),"")</f>
        <v/>
      </c>
      <c r="H1211" s="51"/>
      <c r="I1211" s="28" t="str">
        <f>IFERROR(VLOOKUP(TAB_OFICINAS[[#This Row],[Codigo Produto ]],_000___PEDIDOS_DE_CLIENTES[[Data.Column2]:[Descrição Produto]],2,FALSE)," ")</f>
        <v xml:space="preserve"> </v>
      </c>
      <c r="J1211" s="91"/>
      <c r="K1211" s="88"/>
      <c r="N1211" s="6">
        <f t="shared" ca="1" si="6"/>
        <v>46283</v>
      </c>
      <c r="O1211" s="23">
        <f ca="1">TAB_OFICINAS[[#This Row],[Data Retorno Produção]]-TAB_OFICINAS[[#This Row],[Data Prometida  Entrega]]</f>
        <v>46283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X1211" s="17" t="s">
        <v>6251</v>
      </c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 ht="14.25" customHeight="1">
      <c r="F1212" s="28" t="str">
        <f>IFERROR(VLOOKUP(TAB_OFICINAS[[#This Row],[Cliente]],LISTA_DE_CLIENTES[[Código]:[Nome Fantasia]],2,FALSE),"")</f>
        <v/>
      </c>
      <c r="G1212" s="2" t="str">
        <f>IFERROR(VLOOKUP(TAB_OFICINAS[[#This Row],[Cliente]],LISTA_DE_CLIENTES[[Código]:[Nome Fantasia]],3,FALSE),"")</f>
        <v/>
      </c>
      <c r="H1212" s="51"/>
      <c r="I1212" s="28" t="str">
        <f>IFERROR(VLOOKUP(TAB_OFICINAS[[#This Row],[Codigo Produto ]],_000___PEDIDOS_DE_CLIENTES[[Data.Column2]:[Descrição Produto]],2,FALSE)," ")</f>
        <v xml:space="preserve"> </v>
      </c>
      <c r="J1212" s="91"/>
      <c r="K1212" s="88"/>
      <c r="N1212" s="6">
        <f t="shared" ca="1" si="6"/>
        <v>46283</v>
      </c>
      <c r="O1212" s="23">
        <f ca="1">TAB_OFICINAS[[#This Row],[Data Retorno Produção]]-TAB_OFICINAS[[#This Row],[Data Prometida  Entrega]]</f>
        <v>46283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 ht="14.25" customHeight="1">
      <c r="F1213" s="28" t="str">
        <f>IFERROR(VLOOKUP(TAB_OFICINAS[[#This Row],[Cliente]],LISTA_DE_CLIENTES[[Código]:[Nome Fantasia]],2,FALSE),"")</f>
        <v/>
      </c>
      <c r="G1213" s="2" t="str">
        <f>IFERROR(VLOOKUP(TAB_OFICINAS[[#This Row],[Cliente]],LISTA_DE_CLIENTES[[Código]:[Nome Fantasia]],3,FALSE),"")</f>
        <v/>
      </c>
      <c r="H1213" s="51"/>
      <c r="I1213" s="28" t="str">
        <f>IFERROR(VLOOKUP(TAB_OFICINAS[[#This Row],[Codigo Produto ]],_000___PEDIDOS_DE_CLIENTES[[Data.Column2]:[Descrição Produto]],2,FALSE)," ")</f>
        <v xml:space="preserve"> </v>
      </c>
      <c r="J1213" s="91"/>
      <c r="K1213" s="88"/>
      <c r="N1213" s="6">
        <f t="shared" ca="1" si="6"/>
        <v>46283</v>
      </c>
      <c r="O1213" s="23">
        <f ca="1">TAB_OFICINAS[[#This Row],[Data Retorno Produção]]-TAB_OFICINAS[[#This Row],[Data Prometida  Entrega]]</f>
        <v>46283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 ht="14.25" customHeight="1">
      <c r="F1214" s="28" t="str">
        <f>IFERROR(VLOOKUP(TAB_OFICINAS[[#This Row],[Cliente]],LISTA_DE_CLIENTES[[Código]:[Nome Fantasia]],2,FALSE),"")</f>
        <v/>
      </c>
      <c r="G1214" s="2" t="str">
        <f>IFERROR(VLOOKUP(TAB_OFICINAS[[#This Row],[Cliente]],LISTA_DE_CLIENTES[[Código]:[Nome Fantasia]],3,FALSE),"")</f>
        <v/>
      </c>
      <c r="H1214" s="51"/>
      <c r="I1214" s="28" t="str">
        <f>IFERROR(VLOOKUP(TAB_OFICINAS[[#This Row],[Codigo Produto ]],_000___PEDIDOS_DE_CLIENTES[[Data.Column2]:[Descrição Produto]],2,FALSE)," ")</f>
        <v xml:space="preserve"> </v>
      </c>
      <c r="J1214" s="91"/>
      <c r="K1214" s="88"/>
      <c r="N1214" s="6">
        <f t="shared" ca="1" si="6"/>
        <v>46283</v>
      </c>
      <c r="O1214" s="23">
        <f ca="1">TAB_OFICINAS[[#This Row],[Data Retorno Produção]]-TAB_OFICINAS[[#This Row],[Data Prometida  Entrega]]</f>
        <v>46283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 ht="14.25" customHeight="1">
      <c r="F1215" s="28" t="str">
        <f>IFERROR(VLOOKUP(TAB_OFICINAS[[#This Row],[Cliente]],LISTA_DE_CLIENTES[[Código]:[Nome Fantasia]],2,FALSE),"")</f>
        <v/>
      </c>
      <c r="G1215" s="2" t="str">
        <f>IFERROR(VLOOKUP(TAB_OFICINAS[[#This Row],[Cliente]],LISTA_DE_CLIENTES[[Código]:[Nome Fantasia]],3,FALSE),"")</f>
        <v/>
      </c>
      <c r="H1215" s="51"/>
      <c r="I1215" s="28" t="str">
        <f>IFERROR(VLOOKUP(TAB_OFICINAS[[#This Row],[Codigo Produto ]],_000___PEDIDOS_DE_CLIENTES[[Data.Column2]:[Descrição Produto]],2,FALSE)," ")</f>
        <v xml:space="preserve"> </v>
      </c>
      <c r="J1215" s="91"/>
      <c r="K1215" s="88"/>
      <c r="N1215" s="6">
        <f t="shared" ca="1" si="6"/>
        <v>46283</v>
      </c>
      <c r="O1215" s="23">
        <f ca="1">TAB_OFICINAS[[#This Row],[Data Retorno Produção]]-TAB_OFICINAS[[#This Row],[Data Prometida  Entrega]]</f>
        <v>46283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 ht="14.25" customHeight="1">
      <c r="F1216" s="28" t="str">
        <f>IFERROR(VLOOKUP(TAB_OFICINAS[[#This Row],[Cliente]],LISTA_DE_CLIENTES[[Código]:[Nome Fantasia]],2,FALSE),"")</f>
        <v/>
      </c>
      <c r="G1216" s="2" t="str">
        <f>IFERROR(VLOOKUP(TAB_OFICINAS[[#This Row],[Cliente]],LISTA_DE_CLIENTES[[Código]:[Nome Fantasia]],3,FALSE),"")</f>
        <v/>
      </c>
      <c r="H1216" s="51"/>
      <c r="I1216" s="28" t="str">
        <f>IFERROR(VLOOKUP(TAB_OFICINAS[[#This Row],[Codigo Produto ]],_000___PEDIDOS_DE_CLIENTES[[Data.Column2]:[Descrição Produto]],2,FALSE)," ")</f>
        <v xml:space="preserve"> </v>
      </c>
      <c r="J1216" s="91"/>
      <c r="K1216" s="88"/>
      <c r="N1216" s="6">
        <f t="shared" ca="1" si="6"/>
        <v>46283</v>
      </c>
      <c r="O1216" s="23">
        <f ca="1">TAB_OFICINAS[[#This Row],[Data Retorno Produção]]-TAB_OFICINAS[[#This Row],[Data Prometida  Entrega]]</f>
        <v>46283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customHeight="1">
      <c r="F1217" s="28" t="str">
        <f>IFERROR(VLOOKUP(TAB_OFICINAS[[#This Row],[Cliente]],LISTA_DE_CLIENTES[[Código]:[Nome Fantasia]],2,FALSE),"")</f>
        <v/>
      </c>
      <c r="G1217" s="2" t="str">
        <f>IFERROR(VLOOKUP(TAB_OFICINAS[[#This Row],[Cliente]],LISTA_DE_CLIENTES[[Código]:[Nome Fantasia]],3,FALSE),"")</f>
        <v/>
      </c>
      <c r="H1217" s="51"/>
      <c r="I1217" s="28" t="str">
        <f>IFERROR(VLOOKUP(TAB_OFICINAS[[#This Row],[Codigo Produto ]],_000___PEDIDOS_DE_CLIENTES[[Data.Column2]:[Descrição Produto]],2,FALSE)," ")</f>
        <v xml:space="preserve"> </v>
      </c>
      <c r="J1217" s="91"/>
      <c r="K1217" s="88"/>
      <c r="N1217" s="6">
        <f t="shared" ca="1" si="6"/>
        <v>46283</v>
      </c>
      <c r="O1217" s="23">
        <f ca="1">TAB_OFICINAS[[#This Row],[Data Retorno Produção]]-TAB_OFICINAS[[#This Row],[Data Prometida  Entrega]]</f>
        <v>46283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customHeight="1">
      <c r="F1218" s="28" t="str">
        <f>IFERROR(VLOOKUP(TAB_OFICINAS[[#This Row],[Cliente]],LISTA_DE_CLIENTES[[Código]:[Nome Fantasia]],2,FALSE),"")</f>
        <v/>
      </c>
      <c r="G1218" s="2" t="str">
        <f>IFERROR(VLOOKUP(TAB_OFICINAS[[#This Row],[Cliente]],LISTA_DE_CLIENTES[[Código]:[Nome Fantasia]],3,FALSE),"")</f>
        <v/>
      </c>
      <c r="H1218" s="51"/>
      <c r="I1218" s="28" t="str">
        <f>IFERROR(VLOOKUP(TAB_OFICINAS[[#This Row],[Codigo Produto ]],_000___PEDIDOS_DE_CLIENTES[[Data.Column2]:[Descrição Produto]],2,FALSE)," ")</f>
        <v xml:space="preserve"> </v>
      </c>
      <c r="J1218" s="91"/>
      <c r="K1218" s="88"/>
      <c r="N1218" s="6">
        <f t="shared" ca="1" si="6"/>
        <v>46283</v>
      </c>
      <c r="O1218" s="23">
        <f ca="1">TAB_OFICINAS[[#This Row],[Data Retorno Produção]]-TAB_OFICINAS[[#This Row],[Data Prometida  Entrega]]</f>
        <v>46283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customHeight="1">
      <c r="F1219" s="28" t="str">
        <f>IFERROR(VLOOKUP(TAB_OFICINAS[[#This Row],[Cliente]],LISTA_DE_CLIENTES[[Código]:[Nome Fantasia]],2,FALSE),"")</f>
        <v/>
      </c>
      <c r="G1219" s="2" t="str">
        <f>IFERROR(VLOOKUP(TAB_OFICINAS[[#This Row],[Cliente]],LISTA_DE_CLIENTES[[Código]:[Nome Fantasia]],3,FALSE),"")</f>
        <v/>
      </c>
      <c r="H1219" s="51"/>
      <c r="I1219" s="28" t="str">
        <f>IFERROR(VLOOKUP(TAB_OFICINAS[[#This Row],[Codigo Produto ]],_000___PEDIDOS_DE_CLIENTES[[Data.Column2]:[Descrição Produto]],2,FALSE)," ")</f>
        <v xml:space="preserve"> </v>
      </c>
      <c r="J1219" s="91"/>
      <c r="K1219" s="88"/>
      <c r="N1219" s="6">
        <f t="shared" ca="1" si="6"/>
        <v>46283</v>
      </c>
      <c r="O1219" s="23">
        <f ca="1">TAB_OFICINAS[[#This Row],[Data Retorno Produção]]-TAB_OFICINAS[[#This Row],[Data Prometida  Entrega]]</f>
        <v>46283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customHeight="1">
      <c r="F1220" s="28" t="str">
        <f>IFERROR(VLOOKUP(TAB_OFICINAS[[#This Row],[Cliente]],LISTA_DE_CLIENTES[[Código]:[Nome Fantasia]],2,FALSE),"")</f>
        <v/>
      </c>
      <c r="G1220" s="2" t="str">
        <f>IFERROR(VLOOKUP(TAB_OFICINAS[[#This Row],[Cliente]],LISTA_DE_CLIENTES[[Código]:[Nome Fantasia]],3,FALSE),"")</f>
        <v/>
      </c>
      <c r="H1220" s="51"/>
      <c r="I1220" s="28" t="str">
        <f>IFERROR(VLOOKUP(TAB_OFICINAS[[#This Row],[Codigo Produto ]],_000___PEDIDOS_DE_CLIENTES[[Data.Column2]:[Descrição Produto]],2,FALSE)," ")</f>
        <v xml:space="preserve"> </v>
      </c>
      <c r="J1220" s="91"/>
      <c r="K1220" s="88"/>
      <c r="N1220" s="6">
        <f t="shared" ca="1" si="6"/>
        <v>46283</v>
      </c>
      <c r="O1220" s="23">
        <f ca="1">TAB_OFICINAS[[#This Row],[Data Retorno Produção]]-TAB_OFICINAS[[#This Row],[Data Prometida  Entrega]]</f>
        <v>46283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customHeight="1">
      <c r="F1221" s="28" t="str">
        <f>IFERROR(VLOOKUP(TAB_OFICINAS[[#This Row],[Cliente]],LISTA_DE_CLIENTES[[Código]:[Nome Fantasia]],2,FALSE),"")</f>
        <v/>
      </c>
      <c r="G1221" s="2" t="str">
        <f>IFERROR(VLOOKUP(TAB_OFICINAS[[#This Row],[Cliente]],LISTA_DE_CLIENTES[[Código]:[Nome Fantasia]],3,FALSE),"")</f>
        <v/>
      </c>
      <c r="H1221" s="51"/>
      <c r="I1221" s="28" t="str">
        <f>IFERROR(VLOOKUP(TAB_OFICINAS[[#This Row],[Codigo Produto ]],_000___PEDIDOS_DE_CLIENTES[[Data.Column2]:[Descrição Produto]],2,FALSE)," ")</f>
        <v xml:space="preserve"> </v>
      </c>
      <c r="J1221" s="91"/>
      <c r="K1221" s="88"/>
      <c r="N1221" s="6">
        <f t="shared" ca="1" si="6"/>
        <v>46283</v>
      </c>
      <c r="O1221" s="23">
        <f ca="1">TAB_OFICINAS[[#This Row],[Data Retorno Produção]]-TAB_OFICINAS[[#This Row],[Data Prometida  Entrega]]</f>
        <v>46283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customHeight="1">
      <c r="F1222" s="28" t="str">
        <f>IFERROR(VLOOKUP(TAB_OFICINAS[[#This Row],[Cliente]],LISTA_DE_CLIENTES[[Código]:[Nome Fantasia]],2,FALSE),"")</f>
        <v/>
      </c>
      <c r="G1222" s="2" t="str">
        <f>IFERROR(VLOOKUP(TAB_OFICINAS[[#This Row],[Cliente]],LISTA_DE_CLIENTES[[Código]:[Nome Fantasia]],3,FALSE),"")</f>
        <v/>
      </c>
      <c r="H1222" s="51"/>
      <c r="I1222" s="28" t="str">
        <f>IFERROR(VLOOKUP(TAB_OFICINAS[[#This Row],[Codigo Produto ]],_000___PEDIDOS_DE_CLIENTES[[Data.Column2]:[Descrição Produto]],2,FALSE)," ")</f>
        <v xml:space="preserve"> </v>
      </c>
      <c r="J1222" s="91"/>
      <c r="K1222" s="88"/>
      <c r="N1222" s="6">
        <f t="shared" ca="1" si="6"/>
        <v>46283</v>
      </c>
      <c r="O1222" s="23">
        <f ca="1">TAB_OFICINAS[[#This Row],[Data Retorno Produção]]-TAB_OFICINAS[[#This Row],[Data Prometida  Entrega]]</f>
        <v>46283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customHeight="1">
      <c r="F1223" s="28" t="str">
        <f>IFERROR(VLOOKUP(TAB_OFICINAS[[#This Row],[Cliente]],LISTA_DE_CLIENTES[[Código]:[Nome Fantasia]],2,FALSE),"")</f>
        <v/>
      </c>
      <c r="G1223" s="2" t="str">
        <f>IFERROR(VLOOKUP(TAB_OFICINAS[[#This Row],[Cliente]],LISTA_DE_CLIENTES[[Código]:[Nome Fantasia]],3,FALSE),"")</f>
        <v/>
      </c>
      <c r="H1223" s="51"/>
      <c r="I1223" s="28" t="str">
        <f>IFERROR(VLOOKUP(TAB_OFICINAS[[#This Row],[Codigo Produto ]],_000___PEDIDOS_DE_CLIENTES[[Data.Column2]:[Descrição Produto]],2,FALSE)," ")</f>
        <v xml:space="preserve"> </v>
      </c>
      <c r="J1223" s="91"/>
      <c r="K1223" s="88"/>
      <c r="N1223" s="6">
        <f t="shared" ca="1" si="6"/>
        <v>46283</v>
      </c>
      <c r="O1223" s="23">
        <f ca="1">TAB_OFICINAS[[#This Row],[Data Retorno Produção]]-TAB_OFICINAS[[#This Row],[Data Prometida  Entrega]]</f>
        <v>46283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customHeight="1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6"/>
        <v>46283</v>
      </c>
      <c r="O1224" s="23">
        <f ca="1">TAB_OFICINAS[[#This Row],[Data Retorno Produção]]-TAB_OFICINAS[[#This Row],[Data Prometida  Entrega]]</f>
        <v>46283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customHeight="1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6"/>
        <v>46283</v>
      </c>
      <c r="O1225" s="23">
        <f ca="1">TAB_OFICINAS[[#This Row],[Data Retorno Produção]]-TAB_OFICINAS[[#This Row],[Data Prometida  Entrega]]</f>
        <v>46283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customHeight="1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6"/>
        <v>46283</v>
      </c>
      <c r="O1226" s="23">
        <f ca="1">TAB_OFICINAS[[#This Row],[Data Retorno Produção]]-TAB_OFICINAS[[#This Row],[Data Prometida  Entrega]]</f>
        <v>46283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customHeight="1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6"/>
        <v>46283</v>
      </c>
      <c r="O1227" s="23">
        <f ca="1">TAB_OFICINAS[[#This Row],[Data Retorno Produção]]-TAB_OFICINAS[[#This Row],[Data Prometida  Entrega]]</f>
        <v>46283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customHeight="1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46283</v>
      </c>
      <c r="O1228" s="23">
        <f ca="1">TAB_OFICINAS[[#This Row],[Data Retorno Produção]]-TAB_OFICINAS[[#This Row],[Data Prometida  Entrega]]</f>
        <v>46283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customHeight="1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46283</v>
      </c>
      <c r="O1229" s="23">
        <f ca="1">TAB_OFICINAS[[#This Row],[Data Retorno Produção]]-TAB_OFICINAS[[#This Row],[Data Prometida  Entrega]]</f>
        <v>46283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customHeight="1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46283</v>
      </c>
      <c r="O1230" s="23">
        <f ca="1">TAB_OFICINAS[[#This Row],[Data Retorno Produção]]-TAB_OFICINAS[[#This Row],[Data Prometida  Entrega]]</f>
        <v>46283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customHeight="1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46283</v>
      </c>
      <c r="O1231" s="23">
        <f ca="1">TAB_OFICINAS[[#This Row],[Data Retorno Produção]]-TAB_OFICINAS[[#This Row],[Data Prometida  Entrega]]</f>
        <v>46283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customHeight="1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46283</v>
      </c>
      <c r="O1232" s="23">
        <f ca="1">TAB_OFICINAS[[#This Row],[Data Retorno Produção]]-TAB_OFICINAS[[#This Row],[Data Prometida  Entrega]]</f>
        <v>46283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customHeight="1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46283</v>
      </c>
      <c r="O1233" s="23">
        <f ca="1">TAB_OFICINAS[[#This Row],[Data Retorno Produção]]-TAB_OFICINAS[[#This Row],[Data Prometida  Entrega]]</f>
        <v>46283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customHeight="1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46283</v>
      </c>
      <c r="O1234" s="23">
        <f ca="1">TAB_OFICINAS[[#This Row],[Data Retorno Produção]]-TAB_OFICINAS[[#This Row],[Data Prometida  Entrega]]</f>
        <v>46283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customHeight="1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46283</v>
      </c>
      <c r="O1235" s="23">
        <f ca="1">TAB_OFICINAS[[#This Row],[Data Retorno Produção]]-TAB_OFICINAS[[#This Row],[Data Prometida  Entrega]]</f>
        <v>46283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customHeight="1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46283</v>
      </c>
      <c r="O1236" s="23">
        <f ca="1">TAB_OFICINAS[[#This Row],[Data Retorno Produção]]-TAB_OFICINAS[[#This Row],[Data Prometida  Entrega]]</f>
        <v>46283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customHeight="1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46283</v>
      </c>
      <c r="O1237" s="23">
        <f ca="1">TAB_OFICINAS[[#This Row],[Data Retorno Produção]]-TAB_OFICINAS[[#This Row],[Data Prometida  Entrega]]</f>
        <v>46283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customHeight="1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46283</v>
      </c>
      <c r="O1238" s="23">
        <f ca="1">TAB_OFICINAS[[#This Row],[Data Retorno Produção]]-TAB_OFICINAS[[#This Row],[Data Prometida  Entrega]]</f>
        <v>46283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customHeight="1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46283</v>
      </c>
      <c r="O1239" s="23">
        <f ca="1">TAB_OFICINAS[[#This Row],[Data Retorno Produção]]-TAB_OFICINAS[[#This Row],[Data Prometida  Entrega]]</f>
        <v>46283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customHeight="1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46283</v>
      </c>
      <c r="O1240" s="23">
        <f ca="1">TAB_OFICINAS[[#This Row],[Data Retorno Produção]]-TAB_OFICINAS[[#This Row],[Data Prometida  Entrega]]</f>
        <v>46283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customHeight="1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46283</v>
      </c>
      <c r="O1241" s="23">
        <f ca="1">TAB_OFICINAS[[#This Row],[Data Retorno Produção]]-TAB_OFICINAS[[#This Row],[Data Prometida  Entrega]]</f>
        <v>46283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customHeight="1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46283</v>
      </c>
      <c r="O1242" s="23">
        <f ca="1">TAB_OFICINAS[[#This Row],[Data Retorno Produção]]-TAB_OFICINAS[[#This Row],[Data Prometida  Entrega]]</f>
        <v>46283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customHeight="1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46283</v>
      </c>
      <c r="O1243" s="23">
        <f ca="1">TAB_OFICINAS[[#This Row],[Data Retorno Produção]]-TAB_OFICINAS[[#This Row],[Data Prometida  Entrega]]</f>
        <v>46283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customHeight="1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46283</v>
      </c>
      <c r="O1244" s="23">
        <f ca="1">TAB_OFICINAS[[#This Row],[Data Retorno Produção]]-TAB_OFICINAS[[#This Row],[Data Prometida  Entrega]]</f>
        <v>46283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customHeight="1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46283</v>
      </c>
      <c r="O1245" s="23">
        <f ca="1">TAB_OFICINAS[[#This Row],[Data Retorno Produção]]-TAB_OFICINAS[[#This Row],[Data Prometida  Entrega]]</f>
        <v>46283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customHeight="1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46283</v>
      </c>
      <c r="O1246" s="23">
        <f ca="1">TAB_OFICINAS[[#This Row],[Data Retorno Produção]]-TAB_OFICINAS[[#This Row],[Data Prometida  Entrega]]</f>
        <v>46283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customHeight="1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46283</v>
      </c>
      <c r="O1247" s="23">
        <f ca="1">TAB_OFICINAS[[#This Row],[Data Retorno Produção]]-TAB_OFICINAS[[#This Row],[Data Prometida  Entrega]]</f>
        <v>46283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customHeight="1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46283</v>
      </c>
      <c r="O1248" s="23">
        <f ca="1">TAB_OFICINAS[[#This Row],[Data Retorno Produção]]-TAB_OFICINAS[[#This Row],[Data Prometida  Entrega]]</f>
        <v>46283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customHeight="1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46283</v>
      </c>
      <c r="O1249" s="23">
        <f ca="1">TAB_OFICINAS[[#This Row],[Data Retorno Produção]]-TAB_OFICINAS[[#This Row],[Data Prometida  Entrega]]</f>
        <v>46283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customHeight="1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46283</v>
      </c>
      <c r="O1250" s="23">
        <f ca="1">TAB_OFICINAS[[#This Row],[Data Retorno Produção]]-TAB_OFICINAS[[#This Row],[Data Prometida  Entrega]]</f>
        <v>46283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customHeight="1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46283</v>
      </c>
      <c r="O1251" s="23">
        <f ca="1">TAB_OFICINAS[[#This Row],[Data Retorno Produção]]-TAB_OFICINAS[[#This Row],[Data Prometida  Entrega]]</f>
        <v>46283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customHeight="1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46283</v>
      </c>
      <c r="O1252" s="23">
        <f ca="1">TAB_OFICINAS[[#This Row],[Data Retorno Produção]]-TAB_OFICINAS[[#This Row],[Data Prometida  Entrega]]</f>
        <v>46283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customHeight="1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46283</v>
      </c>
      <c r="O1253" s="23">
        <f ca="1">TAB_OFICINAS[[#This Row],[Data Retorno Produção]]-TAB_OFICINAS[[#This Row],[Data Prometida  Entrega]]</f>
        <v>46283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customHeight="1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46283</v>
      </c>
      <c r="O1254" s="23">
        <f ca="1">TAB_OFICINAS[[#This Row],[Data Retorno Produção]]-TAB_OFICINAS[[#This Row],[Data Prometida  Entrega]]</f>
        <v>46283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customHeight="1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46283</v>
      </c>
      <c r="O1255" s="23">
        <f ca="1">TAB_OFICINAS[[#This Row],[Data Retorno Produção]]-TAB_OFICINAS[[#This Row],[Data Prometida  Entrega]]</f>
        <v>46283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customHeight="1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46283</v>
      </c>
      <c r="O1256" s="23">
        <f ca="1">TAB_OFICINAS[[#This Row],[Data Retorno Produção]]-TAB_OFICINAS[[#This Row],[Data Prometida  Entrega]]</f>
        <v>46283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customHeight="1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46283</v>
      </c>
      <c r="O1257" s="23">
        <f ca="1">TAB_OFICINAS[[#This Row],[Data Retorno Produção]]-TAB_OFICINAS[[#This Row],[Data Prometida  Entrega]]</f>
        <v>46283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customHeight="1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46283</v>
      </c>
      <c r="O1258" s="23">
        <f ca="1">TAB_OFICINAS[[#This Row],[Data Retorno Produção]]-TAB_OFICINAS[[#This Row],[Data Prometida  Entrega]]</f>
        <v>46283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customHeight="1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46283</v>
      </c>
      <c r="O1259" s="23">
        <f ca="1">TAB_OFICINAS[[#This Row],[Data Retorno Produção]]-TAB_OFICINAS[[#This Row],[Data Prometida  Entrega]]</f>
        <v>46283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customHeight="1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46283</v>
      </c>
      <c r="O1260" s="23">
        <f ca="1">TAB_OFICINAS[[#This Row],[Data Retorno Produção]]-TAB_OFICINAS[[#This Row],[Data Prometida  Entrega]]</f>
        <v>46283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customHeight="1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46283</v>
      </c>
      <c r="O1261" s="23">
        <f ca="1">TAB_OFICINAS[[#This Row],[Data Retorno Produção]]-TAB_OFICINAS[[#This Row],[Data Prometida  Entrega]]</f>
        <v>46283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customHeight="1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46283</v>
      </c>
      <c r="O1262" s="23">
        <f ca="1">TAB_OFICINAS[[#This Row],[Data Retorno Produção]]-TAB_OFICINAS[[#This Row],[Data Prometida  Entrega]]</f>
        <v>46283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customHeight="1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46283</v>
      </c>
      <c r="O1263" s="23">
        <f ca="1">TAB_OFICINAS[[#This Row],[Data Retorno Produção]]-TAB_OFICINAS[[#This Row],[Data Prometida  Entrega]]</f>
        <v>46283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customHeight="1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46283</v>
      </c>
      <c r="O1264" s="23">
        <f ca="1">TAB_OFICINAS[[#This Row],[Data Retorno Produção]]-TAB_OFICINAS[[#This Row],[Data Prometida  Entrega]]</f>
        <v>46283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46283</v>
      </c>
      <c r="O1265" s="23">
        <f ca="1">TAB_OFICINAS[[#This Row],[Data Retorno Produção]]-TAB_OFICINAS[[#This Row],[Data Prometida  Entrega]]</f>
        <v>46283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46283</v>
      </c>
      <c r="O1266" s="23">
        <f ca="1">TAB_OFICINAS[[#This Row],[Data Retorno Produção]]-TAB_OFICINAS[[#This Row],[Data Prometida  Entrega]]</f>
        <v>46283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46283</v>
      </c>
      <c r="O1267" s="23">
        <f ca="1">TAB_OFICINAS[[#This Row],[Data Retorno Produção]]-TAB_OFICINAS[[#This Row],[Data Prometida  Entrega]]</f>
        <v>46283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46283</v>
      </c>
      <c r="O1268" s="23">
        <f ca="1">TAB_OFICINAS[[#This Row],[Data Retorno Produção]]-TAB_OFICINAS[[#This Row],[Data Prometida  Entrega]]</f>
        <v>46283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46283</v>
      </c>
      <c r="O1269" s="23">
        <f ca="1">TAB_OFICINAS[[#This Row],[Data Retorno Produção]]-TAB_OFICINAS[[#This Row],[Data Prometida  Entrega]]</f>
        <v>46283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46283</v>
      </c>
      <c r="O1270" s="23">
        <f ca="1">TAB_OFICINAS[[#This Row],[Data Retorno Produção]]-TAB_OFICINAS[[#This Row],[Data Prometida  Entrega]]</f>
        <v>46283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46283</v>
      </c>
      <c r="O1271" s="23">
        <f ca="1">TAB_OFICINAS[[#This Row],[Data Retorno Produção]]-TAB_OFICINAS[[#This Row],[Data Prometida  Entrega]]</f>
        <v>46283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46283</v>
      </c>
      <c r="O1272" s="23">
        <f ca="1">TAB_OFICINAS[[#This Row],[Data Retorno Produção]]-TAB_OFICINAS[[#This Row],[Data Prometida  Entrega]]</f>
        <v>46283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46283</v>
      </c>
      <c r="O1273" s="23">
        <f ca="1">TAB_OFICINAS[[#This Row],[Data Retorno Produção]]-TAB_OFICINAS[[#This Row],[Data Prometida  Entrega]]</f>
        <v>46283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46283</v>
      </c>
      <c r="O1274" s="23">
        <f ca="1">TAB_OFICINAS[[#This Row],[Data Retorno Produção]]-TAB_OFICINAS[[#This Row],[Data Prometida  Entrega]]</f>
        <v>46283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46283</v>
      </c>
      <c r="O1275" s="23">
        <f ca="1">TAB_OFICINAS[[#This Row],[Data Retorno Produção]]-TAB_OFICINAS[[#This Row],[Data Prometida  Entrega]]</f>
        <v>46283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46283</v>
      </c>
      <c r="O1276" s="23">
        <f ca="1">TAB_OFICINAS[[#This Row],[Data Retorno Produção]]-TAB_OFICINAS[[#This Row],[Data Prometida  Entrega]]</f>
        <v>46283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46283</v>
      </c>
      <c r="O1277" s="23">
        <f ca="1">TAB_OFICINAS[[#This Row],[Data Retorno Produção]]-TAB_OFICINAS[[#This Row],[Data Prometida  Entrega]]</f>
        <v>46283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46283</v>
      </c>
      <c r="O1278" s="23">
        <f ca="1">TAB_OFICINAS[[#This Row],[Data Retorno Produção]]-TAB_OFICINAS[[#This Row],[Data Prometida  Entrega]]</f>
        <v>46283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46283</v>
      </c>
      <c r="O1279" s="23">
        <f ca="1">TAB_OFICINAS[[#This Row],[Data Retorno Produção]]-TAB_OFICINAS[[#This Row],[Data Prometida  Entrega]]</f>
        <v>46283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46283</v>
      </c>
      <c r="O1280" s="23">
        <f ca="1">TAB_OFICINAS[[#This Row],[Data Retorno Produção]]-TAB_OFICINAS[[#This Row],[Data Prometida  Entrega]]</f>
        <v>46283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46283</v>
      </c>
      <c r="O1281" s="23">
        <f ca="1">TAB_OFICINAS[[#This Row],[Data Retorno Produção]]-TAB_OFICINAS[[#This Row],[Data Prometida  Entrega]]</f>
        <v>46283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46283</v>
      </c>
      <c r="O1282" s="23">
        <f ca="1">TAB_OFICINAS[[#This Row],[Data Retorno Produção]]-TAB_OFICINAS[[#This Row],[Data Prometida  Entrega]]</f>
        <v>46283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46283</v>
      </c>
      <c r="O1283" s="23">
        <f ca="1">TAB_OFICINAS[[#This Row],[Data Retorno Produção]]-TAB_OFICINAS[[#This Row],[Data Prometida  Entrega]]</f>
        <v>46283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46283</v>
      </c>
      <c r="O1284" s="23">
        <f ca="1">TAB_OFICINAS[[#This Row],[Data Retorno Produção]]-TAB_OFICINAS[[#This Row],[Data Prometida  Entrega]]</f>
        <v>46283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46283</v>
      </c>
      <c r="O1285" s="23">
        <f ca="1">TAB_OFICINAS[[#This Row],[Data Retorno Produção]]-TAB_OFICINAS[[#This Row],[Data Prometida  Entrega]]</f>
        <v>46283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46283</v>
      </c>
      <c r="O1286" s="23">
        <f ca="1">TAB_OFICINAS[[#This Row],[Data Retorno Produção]]-TAB_OFICINAS[[#This Row],[Data Prometida  Entrega]]</f>
        <v>46283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46283</v>
      </c>
      <c r="O1287" s="23">
        <f ca="1">TAB_OFICINAS[[#This Row],[Data Retorno Produção]]-TAB_OFICINAS[[#This Row],[Data Prometida  Entrega]]</f>
        <v>46283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46283</v>
      </c>
      <c r="O1288" s="23">
        <f ca="1">TAB_OFICINAS[[#This Row],[Data Retorno Produção]]-TAB_OFICINAS[[#This Row],[Data Prometida  Entrega]]</f>
        <v>46283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46283</v>
      </c>
      <c r="O1289" s="23">
        <f ca="1">TAB_OFICINAS[[#This Row],[Data Retorno Produção]]-TAB_OFICINAS[[#This Row],[Data Prometida  Entrega]]</f>
        <v>46283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46283</v>
      </c>
      <c r="O1290" s="23">
        <f ca="1">TAB_OFICINAS[[#This Row],[Data Retorno Produção]]-TAB_OFICINAS[[#This Row],[Data Prometida  Entrega]]</f>
        <v>46283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46283</v>
      </c>
      <c r="O1291" s="23">
        <f ca="1">TAB_OFICINAS[[#This Row],[Data Retorno Produção]]-TAB_OFICINAS[[#This Row],[Data Prometida  Entrega]]</f>
        <v>46283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46283</v>
      </c>
      <c r="O1292" s="23">
        <f ca="1">TAB_OFICINAS[[#This Row],[Data Retorno Produção]]-TAB_OFICINAS[[#This Row],[Data Prometida  Entrega]]</f>
        <v>46283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46283</v>
      </c>
      <c r="O1293" s="23">
        <f ca="1">TAB_OFICINAS[[#This Row],[Data Retorno Produção]]-TAB_OFICINAS[[#This Row],[Data Prometida  Entrega]]</f>
        <v>46283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46283</v>
      </c>
      <c r="O1294" s="23">
        <f ca="1">TAB_OFICINAS[[#This Row],[Data Retorno Produção]]-TAB_OFICINAS[[#This Row],[Data Prometida  Entrega]]</f>
        <v>46283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46283</v>
      </c>
      <c r="O1295" s="23">
        <f ca="1">TAB_OFICINAS[[#This Row],[Data Retorno Produção]]-TAB_OFICINAS[[#This Row],[Data Prometida  Entrega]]</f>
        <v>46283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46283</v>
      </c>
      <c r="O1296" s="23">
        <f ca="1">TAB_OFICINAS[[#This Row],[Data Retorno Produção]]-TAB_OFICINAS[[#This Row],[Data Prometida  Entrega]]</f>
        <v>46283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46283</v>
      </c>
      <c r="O1297" s="23">
        <f ca="1">TAB_OFICINAS[[#This Row],[Data Retorno Produção]]-TAB_OFICINAS[[#This Row],[Data Prometida  Entrega]]</f>
        <v>46283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46283</v>
      </c>
      <c r="O1298" s="23">
        <f ca="1">TAB_OFICINAS[[#This Row],[Data Retorno Produção]]-TAB_OFICINAS[[#This Row],[Data Prometida  Entrega]]</f>
        <v>46283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46283</v>
      </c>
      <c r="O1299" s="23">
        <f ca="1">TAB_OFICINAS[[#This Row],[Data Retorno Produção]]-TAB_OFICINAS[[#This Row],[Data Prometida  Entrega]]</f>
        <v>46283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46283</v>
      </c>
      <c r="O1300" s="23">
        <f ca="1">TAB_OFICINAS[[#This Row],[Data Retorno Produção]]-TAB_OFICINAS[[#This Row],[Data Prometida  Entrega]]</f>
        <v>46283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46283</v>
      </c>
      <c r="O1301" s="23">
        <f ca="1">TAB_OFICINAS[[#This Row],[Data Retorno Produção]]-TAB_OFICINAS[[#This Row],[Data Prometida  Entrega]]</f>
        <v>46283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46283</v>
      </c>
      <c r="O1302" s="23">
        <f ca="1">TAB_OFICINAS[[#This Row],[Data Retorno Produção]]-TAB_OFICINAS[[#This Row],[Data Prometida  Entrega]]</f>
        <v>46283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46283</v>
      </c>
      <c r="O1303" s="23">
        <f ca="1">TAB_OFICINAS[[#This Row],[Data Retorno Produção]]-TAB_OFICINAS[[#This Row],[Data Prometida  Entrega]]</f>
        <v>46283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46283</v>
      </c>
      <c r="O1304" s="23">
        <f ca="1">TAB_OFICINAS[[#This Row],[Data Retorno Produção]]-TAB_OFICINAS[[#This Row],[Data Prometida  Entrega]]</f>
        <v>46283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46283</v>
      </c>
      <c r="O1305" s="23">
        <f ca="1">TAB_OFICINAS[[#This Row],[Data Retorno Produção]]-TAB_OFICINAS[[#This Row],[Data Prometida  Entrega]]</f>
        <v>46283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46283</v>
      </c>
      <c r="O1306" s="23">
        <f ca="1">TAB_OFICINAS[[#This Row],[Data Retorno Produção]]-TAB_OFICINAS[[#This Row],[Data Prometida  Entrega]]</f>
        <v>46283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46283</v>
      </c>
      <c r="O1307" s="23">
        <f ca="1">TAB_OFICINAS[[#This Row],[Data Retorno Produção]]-TAB_OFICINAS[[#This Row],[Data Prometida  Entrega]]</f>
        <v>46283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46283</v>
      </c>
      <c r="O1308" s="23">
        <f ca="1">TAB_OFICINAS[[#This Row],[Data Retorno Produção]]-TAB_OFICINAS[[#This Row],[Data Prometida  Entrega]]</f>
        <v>46283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46283</v>
      </c>
      <c r="O1309" s="23">
        <f ca="1">TAB_OFICINAS[[#This Row],[Data Retorno Produção]]-TAB_OFICINAS[[#This Row],[Data Prometida  Entrega]]</f>
        <v>46283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46283</v>
      </c>
      <c r="O1310" s="23">
        <f ca="1">TAB_OFICINAS[[#This Row],[Data Retorno Produção]]-TAB_OFICINAS[[#This Row],[Data Prometida  Entrega]]</f>
        <v>46283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46283</v>
      </c>
      <c r="O1311" s="23">
        <f ca="1">TAB_OFICINAS[[#This Row],[Data Retorno Produção]]-TAB_OFICINAS[[#This Row],[Data Prometida  Entrega]]</f>
        <v>46283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46283</v>
      </c>
      <c r="O1312" s="23">
        <f ca="1">TAB_OFICINAS[[#This Row],[Data Retorno Produção]]-TAB_OFICINAS[[#This Row],[Data Prometida  Entrega]]</f>
        <v>46283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46283</v>
      </c>
      <c r="O1313" s="23">
        <f ca="1">TAB_OFICINAS[[#This Row],[Data Retorno Produção]]-TAB_OFICINAS[[#This Row],[Data Prometida  Entrega]]</f>
        <v>46283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46283</v>
      </c>
      <c r="O1314" s="23">
        <f ca="1">TAB_OFICINAS[[#This Row],[Data Retorno Produção]]-TAB_OFICINAS[[#This Row],[Data Prometida  Entrega]]</f>
        <v>46283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46283</v>
      </c>
      <c r="O1315" s="23">
        <f ca="1">TAB_OFICINAS[[#This Row],[Data Retorno Produção]]-TAB_OFICINAS[[#This Row],[Data Prometida  Entrega]]</f>
        <v>46283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46283</v>
      </c>
      <c r="O1316" s="23">
        <f ca="1">TAB_OFICINAS[[#This Row],[Data Retorno Produção]]-TAB_OFICINAS[[#This Row],[Data Prometida  Entrega]]</f>
        <v>46283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46283</v>
      </c>
      <c r="O1317" s="23">
        <f ca="1">TAB_OFICINAS[[#This Row],[Data Retorno Produção]]-TAB_OFICINAS[[#This Row],[Data Prometida  Entrega]]</f>
        <v>46283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46283</v>
      </c>
      <c r="O1318" s="23">
        <f ca="1">TAB_OFICINAS[[#This Row],[Data Retorno Produção]]-TAB_OFICINAS[[#This Row],[Data Prometida  Entrega]]</f>
        <v>46283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46283</v>
      </c>
      <c r="O1319" s="23">
        <f ca="1">TAB_OFICINAS[[#This Row],[Data Retorno Produção]]-TAB_OFICINAS[[#This Row],[Data Prometida  Entrega]]</f>
        <v>46283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46283</v>
      </c>
      <c r="O1320" s="23">
        <f ca="1">TAB_OFICINAS[[#This Row],[Data Retorno Produção]]-TAB_OFICINAS[[#This Row],[Data Prometida  Entrega]]</f>
        <v>46283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46283</v>
      </c>
      <c r="O1321" s="23">
        <f ca="1">TAB_OFICINAS[[#This Row],[Data Retorno Produção]]-TAB_OFICINAS[[#This Row],[Data Prometida  Entrega]]</f>
        <v>46283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46283</v>
      </c>
      <c r="O1322" s="23">
        <f ca="1">TAB_OFICINAS[[#This Row],[Data Retorno Produção]]-TAB_OFICINAS[[#This Row],[Data Prometida  Entrega]]</f>
        <v>46283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46283</v>
      </c>
      <c r="O1323" s="23">
        <f ca="1">TAB_OFICINAS[[#This Row],[Data Retorno Produção]]-TAB_OFICINAS[[#This Row],[Data Prometida  Entrega]]</f>
        <v>46283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46283</v>
      </c>
      <c r="O1324" s="23">
        <f ca="1">TAB_OFICINAS[[#This Row],[Data Retorno Produção]]-TAB_OFICINAS[[#This Row],[Data Prometida  Entrega]]</f>
        <v>46283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46283</v>
      </c>
      <c r="O1325" s="23">
        <f ca="1">TAB_OFICINAS[[#This Row],[Data Retorno Produção]]-TAB_OFICINAS[[#This Row],[Data Prometida  Entrega]]</f>
        <v>46283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46283</v>
      </c>
      <c r="O1326" s="23">
        <f ca="1">TAB_OFICINAS[[#This Row],[Data Retorno Produção]]-TAB_OFICINAS[[#This Row],[Data Prometida  Entrega]]</f>
        <v>46283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46283</v>
      </c>
      <c r="O1327" s="23">
        <f ca="1">TAB_OFICINAS[[#This Row],[Data Retorno Produção]]-TAB_OFICINAS[[#This Row],[Data Prometida  Entrega]]</f>
        <v>46283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46283</v>
      </c>
      <c r="O1328" s="23">
        <f ca="1">TAB_OFICINAS[[#This Row],[Data Retorno Produção]]-TAB_OFICINAS[[#This Row],[Data Prometida  Entrega]]</f>
        <v>46283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46283</v>
      </c>
      <c r="O1329" s="23">
        <f ca="1">TAB_OFICINAS[[#This Row],[Data Retorno Produção]]-TAB_OFICINAS[[#This Row],[Data Prometida  Entrega]]</f>
        <v>46283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46283</v>
      </c>
      <c r="O1330" s="23">
        <f ca="1">TAB_OFICINAS[[#This Row],[Data Retorno Produção]]-TAB_OFICINAS[[#This Row],[Data Prometida  Entrega]]</f>
        <v>46283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46283</v>
      </c>
      <c r="O1331" s="23">
        <f ca="1">TAB_OFICINAS[[#This Row],[Data Retorno Produção]]-TAB_OFICINAS[[#This Row],[Data Prometida  Entrega]]</f>
        <v>46283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46283</v>
      </c>
      <c r="O1332" s="23">
        <f ca="1">TAB_OFICINAS[[#This Row],[Data Retorno Produção]]-TAB_OFICINAS[[#This Row],[Data Prometida  Entrega]]</f>
        <v>46283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46283</v>
      </c>
      <c r="O1333" s="23">
        <f ca="1">TAB_OFICINAS[[#This Row],[Data Retorno Produção]]-TAB_OFICINAS[[#This Row],[Data Prometida  Entrega]]</f>
        <v>46283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46283</v>
      </c>
      <c r="O1334" s="23">
        <f ca="1">TAB_OFICINAS[[#This Row],[Data Retorno Produção]]-TAB_OFICINAS[[#This Row],[Data Prometida  Entrega]]</f>
        <v>46283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46283</v>
      </c>
      <c r="O1335" s="23">
        <f ca="1">TAB_OFICINAS[[#This Row],[Data Retorno Produção]]-TAB_OFICINAS[[#This Row],[Data Prometida  Entrega]]</f>
        <v>46283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46283</v>
      </c>
      <c r="O1336" s="23">
        <f ca="1">TAB_OFICINAS[[#This Row],[Data Retorno Produção]]-TAB_OFICINAS[[#This Row],[Data Prometida  Entrega]]</f>
        <v>46283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46283</v>
      </c>
      <c r="O1337" s="23">
        <f ca="1">TAB_OFICINAS[[#This Row],[Data Retorno Produção]]-TAB_OFICINAS[[#This Row],[Data Prometida  Entrega]]</f>
        <v>46283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46283</v>
      </c>
      <c r="O1338" s="23">
        <f ca="1">TAB_OFICINAS[[#This Row],[Data Retorno Produção]]-TAB_OFICINAS[[#This Row],[Data Prometida  Entrega]]</f>
        <v>46283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46283</v>
      </c>
      <c r="O1339" s="23">
        <f ca="1">TAB_OFICINAS[[#This Row],[Data Retorno Produção]]-TAB_OFICINAS[[#This Row],[Data Prometida  Entrega]]</f>
        <v>46283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46283</v>
      </c>
      <c r="O1340" s="23">
        <f ca="1">TAB_OFICINAS[[#This Row],[Data Retorno Produção]]-TAB_OFICINAS[[#This Row],[Data Prometida  Entrega]]</f>
        <v>46283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46283</v>
      </c>
      <c r="O1341" s="23">
        <f ca="1">TAB_OFICINAS[[#This Row],[Data Retorno Produção]]-TAB_OFICINAS[[#This Row],[Data Prometida  Entrega]]</f>
        <v>46283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46283</v>
      </c>
      <c r="O1342" s="23">
        <f ca="1">TAB_OFICINAS[[#This Row],[Data Retorno Produção]]-TAB_OFICINAS[[#This Row],[Data Prometida  Entrega]]</f>
        <v>46283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46283</v>
      </c>
      <c r="O1343" s="23">
        <f ca="1">TAB_OFICINAS[[#This Row],[Data Retorno Produção]]-TAB_OFICINAS[[#This Row],[Data Prometida  Entrega]]</f>
        <v>46283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46283</v>
      </c>
      <c r="O1344" s="23">
        <f ca="1">TAB_OFICINAS[[#This Row],[Data Retorno Produção]]-TAB_OFICINAS[[#This Row],[Data Prometida  Entrega]]</f>
        <v>46283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46283</v>
      </c>
      <c r="O1345" s="23">
        <f ca="1">TAB_OFICINAS[[#This Row],[Data Retorno Produção]]-TAB_OFICINAS[[#This Row],[Data Prometida  Entrega]]</f>
        <v>46283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46283</v>
      </c>
      <c r="O1346" s="23">
        <f ca="1">TAB_OFICINAS[[#This Row],[Data Retorno Produção]]-TAB_OFICINAS[[#This Row],[Data Prometida  Entrega]]</f>
        <v>46283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46283</v>
      </c>
      <c r="O1347" s="23">
        <f ca="1">TAB_OFICINAS[[#This Row],[Data Retorno Produção]]-TAB_OFICINAS[[#This Row],[Data Prometida  Entrega]]</f>
        <v>46283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46283</v>
      </c>
      <c r="O1348" s="23">
        <f ca="1">TAB_OFICINAS[[#This Row],[Data Retorno Produção]]-TAB_OFICINAS[[#This Row],[Data Prometida  Entrega]]</f>
        <v>46283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46283</v>
      </c>
      <c r="O1349" s="23">
        <f ca="1">TAB_OFICINAS[[#This Row],[Data Retorno Produção]]-TAB_OFICINAS[[#This Row],[Data Prometida  Entrega]]</f>
        <v>46283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46283</v>
      </c>
      <c r="O1350" s="23">
        <f ca="1">TAB_OFICINAS[[#This Row],[Data Retorno Produção]]-TAB_OFICINAS[[#This Row],[Data Prometida  Entrega]]</f>
        <v>46283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46283</v>
      </c>
      <c r="O1351" s="23">
        <f ca="1">TAB_OFICINAS[[#This Row],[Data Retorno Produção]]-TAB_OFICINAS[[#This Row],[Data Prometida  Entrega]]</f>
        <v>46283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46283</v>
      </c>
      <c r="O1352" s="23">
        <f ca="1">TAB_OFICINAS[[#This Row],[Data Retorno Produção]]-TAB_OFICINAS[[#This Row],[Data Prometida  Entrega]]</f>
        <v>46283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46283</v>
      </c>
      <c r="O1353" s="23">
        <f ca="1">TAB_OFICINAS[[#This Row],[Data Retorno Produção]]-TAB_OFICINAS[[#This Row],[Data Prometida  Entrega]]</f>
        <v>46283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46283</v>
      </c>
      <c r="O1354" s="23">
        <f ca="1">TAB_OFICINAS[[#This Row],[Data Retorno Produção]]-TAB_OFICINAS[[#This Row],[Data Prometida  Entrega]]</f>
        <v>46283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46283</v>
      </c>
      <c r="O1355" s="23">
        <f ca="1">TAB_OFICINAS[[#This Row],[Data Retorno Produção]]-TAB_OFICINAS[[#This Row],[Data Prometida  Entrega]]</f>
        <v>46283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46283</v>
      </c>
      <c r="O1356" s="23">
        <f ca="1">TAB_OFICINAS[[#This Row],[Data Retorno Produção]]-TAB_OFICINAS[[#This Row],[Data Prometida  Entrega]]</f>
        <v>46283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46283</v>
      </c>
      <c r="O1357" s="23">
        <f ca="1">TAB_OFICINAS[[#This Row],[Data Retorno Produção]]-TAB_OFICINAS[[#This Row],[Data Prometida  Entrega]]</f>
        <v>46283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46283</v>
      </c>
      <c r="O1358" s="23">
        <f ca="1">TAB_OFICINAS[[#This Row],[Data Retorno Produção]]-TAB_OFICINAS[[#This Row],[Data Prometida  Entrega]]</f>
        <v>46283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46283</v>
      </c>
      <c r="O1359" s="23">
        <f ca="1">TAB_OFICINAS[[#This Row],[Data Retorno Produção]]-TAB_OFICINAS[[#This Row],[Data Prometida  Entrega]]</f>
        <v>46283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46283</v>
      </c>
      <c r="O1360" s="23">
        <f ca="1">TAB_OFICINAS[[#This Row],[Data Retorno Produção]]-TAB_OFICINAS[[#This Row],[Data Prometida  Entrega]]</f>
        <v>46283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46283</v>
      </c>
      <c r="O1361" s="23">
        <f ca="1">TAB_OFICINAS[[#This Row],[Data Retorno Produção]]-TAB_OFICINAS[[#This Row],[Data Prometida  Entrega]]</f>
        <v>46283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ht="14.25" customHeight="1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23567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ht="14.25" customHeight="1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customHeight="1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>
      <c r="F1370" s="28" t="s">
        <v>21471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21471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customHeight="1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customHeight="1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customHeight="1">
      <c r="A1587">
        <v>0</v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1:26" ht="14.25" customHeight="1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customHeight="1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1:26" ht="14.25" customHeight="1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customHeight="1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1:26" ht="14.25" customHeight="1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1:26" ht="14.25" customHeight="1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1:26">
      <c r="D1594" s="5">
        <v>5737</v>
      </c>
      <c r="E1594" s="5">
        <v>24314</v>
      </c>
      <c r="F1594" s="138" t="str">
        <f>IFERROR(VLOOKUP(TAB_OFICINAS[[#This Row],[Cliente]],LISTA_DE_CLIENTES[[Código]:[Nome Fantasia]],2,FALSE),"")</f>
        <v>GISLAINE RAFIK</v>
      </c>
      <c r="G1594" s="139" t="str">
        <f>IFERROR(VLOOKUP(TAB_OFICINAS[[#This Row],[Cliente]],LISTA_DE_CLIENTES[[Código]:[Nome Fantasia]],3,FALSE),"")</f>
        <v>GISLAINE RAFIK</v>
      </c>
      <c r="H1594" s="140">
        <v>3105015332</v>
      </c>
      <c r="I1594" s="28" t="s">
        <v>25013</v>
      </c>
      <c r="J1594" s="91"/>
      <c r="K1594" s="88"/>
      <c r="M1594" s="141"/>
      <c r="N1594" s="142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143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0">
      <c r="T1602" s="5" t="s">
        <v>21471</v>
      </c>
    </row>
    <row r="1603" spans="2:20">
      <c r="B1603" t="s">
        <v>21471</v>
      </c>
    </row>
    <row r="1042665" spans="5:5">
      <c r="E1042665" s="5">
        <v>77</v>
      </c>
    </row>
    <row r="1042679" spans="1:1">
      <c r="A1042679" t="s">
        <v>6256</v>
      </c>
    </row>
  </sheetData>
  <autoFilter ref="B4:AA14"/>
  <phoneticPr fontId="2" type="noConversion"/>
  <conditionalFormatting sqref="Q1581:Q1590 Q21:Q1579">
    <cfRule type="cellIs" dxfId="2" priority="19" operator="equal">
      <formula>0</formula>
    </cfRule>
  </conditionalFormatting>
  <conditionalFormatting sqref="Q1581:R1590 Q21:R1579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J1582:J1591 J1593:J1048576 V1581:V1048576 N1581:O1048576 N752:O1579 V756:V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$T$21:$T$1594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C752:C1079 C1581:C1048576 C1085:C1579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70A7A1-17FF-499A-BFA3-86029C1AA2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2026-09-18T14:11:25Z</dcterms:modified>
  <cp:category/>
  <cp:contentStatus/>
</cp:coreProperties>
</file>