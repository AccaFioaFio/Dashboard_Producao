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xr:revisionPtr revIDLastSave="0" documentId="13_ncr:1_{3FEE605C-4592-40F8-8741-F188A170B8FC}" xr6:coauthVersionLast="47" xr6:coauthVersionMax="47" xr10:uidLastSave="{00000000-0000-0000-0000-000000000000}"/>
  <bookViews>
    <workbookView xWindow="-120" yWindow="-120" windowWidth="24240" windowHeight="13140" tabRatio="596" activeTab="3" xr2:uid="{00000000-000D-0000-FFFF-FFFF00000000}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30" i="1" l="1"/>
  <c r="W1252" i="1" l="1"/>
  <c r="W1227" i="1"/>
  <c r="Z1200" i="1" l="1"/>
  <c r="Z1183" i="1"/>
  <c r="Z1131" i="1"/>
  <c r="W967" i="1" l="1"/>
  <c r="W792" i="1" l="1"/>
  <c r="O1594" i="1" l="1"/>
  <c r="G1594" i="1"/>
  <c r="F1594" i="1"/>
  <c r="Z1593" i="1"/>
  <c r="O1593" i="1"/>
  <c r="F1593" i="1"/>
  <c r="Z1592" i="1"/>
  <c r="V1592" i="1"/>
  <c r="Q1592" i="1"/>
  <c r="O1592" i="1"/>
  <c r="P1592" i="1" s="1"/>
  <c r="G1592" i="1"/>
  <c r="Z1591" i="1"/>
  <c r="Z1589" i="1"/>
  <c r="Z1588" i="1"/>
  <c r="Z1587" i="1"/>
  <c r="Z1586" i="1"/>
  <c r="Z1585" i="1"/>
  <c r="Z1584" i="1"/>
  <c r="Z1583" i="1"/>
  <c r="Z1582" i="1"/>
  <c r="Z1581" i="1"/>
  <c r="Z1580" i="1"/>
  <c r="Z1579" i="1"/>
  <c r="Z1578" i="1"/>
  <c r="Z1577" i="1"/>
  <c r="Z1576" i="1"/>
  <c r="Z1575" i="1"/>
  <c r="Z1574" i="1"/>
  <c r="V1574" i="1"/>
  <c r="Q1574" i="1"/>
  <c r="O1574" i="1"/>
  <c r="P1574" i="1" s="1"/>
  <c r="G1574" i="1"/>
  <c r="F1574" i="1"/>
  <c r="Z1573" i="1"/>
  <c r="V1573" i="1"/>
  <c r="Q1573" i="1"/>
  <c r="O1573" i="1"/>
  <c r="P1573" i="1" s="1"/>
  <c r="G1573" i="1"/>
  <c r="F1573" i="1"/>
  <c r="Z1572" i="1"/>
  <c r="V1572" i="1"/>
  <c r="Q1572" i="1"/>
  <c r="O1572" i="1"/>
  <c r="P1572" i="1" s="1"/>
  <c r="G1572" i="1"/>
  <c r="F1572" i="1"/>
  <c r="Z1571" i="1"/>
  <c r="V1571" i="1"/>
  <c r="Q1571" i="1"/>
  <c r="O1571" i="1"/>
  <c r="P1571" i="1" s="1"/>
  <c r="G1571" i="1"/>
  <c r="F1571" i="1"/>
  <c r="Z1570" i="1"/>
  <c r="V1570" i="1"/>
  <c r="Q1570" i="1"/>
  <c r="O1570" i="1"/>
  <c r="P1570" i="1" s="1"/>
  <c r="G1570" i="1"/>
  <c r="F1570" i="1"/>
  <c r="Z1569" i="1"/>
  <c r="V1569" i="1"/>
  <c r="Q1569" i="1"/>
  <c r="O1569" i="1"/>
  <c r="P1569" i="1" s="1"/>
  <c r="G1569" i="1"/>
  <c r="F1569" i="1"/>
  <c r="Z1568" i="1"/>
  <c r="V1568" i="1"/>
  <c r="Q1568" i="1"/>
  <c r="O1568" i="1"/>
  <c r="P1568" i="1" s="1"/>
  <c r="G1568" i="1"/>
  <c r="F1568" i="1"/>
  <c r="Z1567" i="1"/>
  <c r="V1567" i="1"/>
  <c r="Q1567" i="1"/>
  <c r="O1567" i="1"/>
  <c r="P1567" i="1" s="1"/>
  <c r="G1567" i="1"/>
  <c r="F1567" i="1"/>
  <c r="Z1566" i="1"/>
  <c r="V1566" i="1"/>
  <c r="Q1566" i="1"/>
  <c r="O1566" i="1"/>
  <c r="P1566" i="1" s="1"/>
  <c r="G1566" i="1"/>
  <c r="F1566" i="1"/>
  <c r="Z1565" i="1"/>
  <c r="V1565" i="1"/>
  <c r="Q1565" i="1"/>
  <c r="O1565" i="1"/>
  <c r="P1565" i="1" s="1"/>
  <c r="G1565" i="1"/>
  <c r="F1565" i="1"/>
  <c r="Z1564" i="1"/>
  <c r="V1564" i="1"/>
  <c r="Q1564" i="1"/>
  <c r="O1564" i="1"/>
  <c r="P1564" i="1" s="1"/>
  <c r="G1564" i="1"/>
  <c r="F1564" i="1"/>
  <c r="Z1563" i="1"/>
  <c r="V1563" i="1"/>
  <c r="Q1563" i="1"/>
  <c r="O1563" i="1"/>
  <c r="P1563" i="1" s="1"/>
  <c r="G1563" i="1"/>
  <c r="F1563" i="1"/>
  <c r="Z1562" i="1"/>
  <c r="V1562" i="1"/>
  <c r="Q1562" i="1"/>
  <c r="O1562" i="1"/>
  <c r="P1562" i="1" s="1"/>
  <c r="G1562" i="1"/>
  <c r="F1562" i="1"/>
  <c r="Z1561" i="1"/>
  <c r="V1561" i="1"/>
  <c r="Q1561" i="1"/>
  <c r="O1561" i="1"/>
  <c r="P1561" i="1" s="1"/>
  <c r="G1561" i="1"/>
  <c r="F1561" i="1"/>
  <c r="Z1560" i="1"/>
  <c r="V1560" i="1"/>
  <c r="Q1560" i="1"/>
  <c r="O1560" i="1"/>
  <c r="P1560" i="1" s="1"/>
  <c r="G1560" i="1"/>
  <c r="F1560" i="1"/>
  <c r="Z1559" i="1"/>
  <c r="V1559" i="1"/>
  <c r="Q1559" i="1"/>
  <c r="O1559" i="1"/>
  <c r="P1559" i="1" s="1"/>
  <c r="G1559" i="1"/>
  <c r="F1559" i="1"/>
  <c r="Z1558" i="1"/>
  <c r="V1558" i="1"/>
  <c r="Q1558" i="1"/>
  <c r="O1558" i="1"/>
  <c r="P1558" i="1" s="1"/>
  <c r="G1558" i="1"/>
  <c r="F1558" i="1"/>
  <c r="Z1557" i="1"/>
  <c r="V1557" i="1"/>
  <c r="Q1557" i="1"/>
  <c r="O1557" i="1"/>
  <c r="P1557" i="1" s="1"/>
  <c r="G1557" i="1"/>
  <c r="F1557" i="1"/>
  <c r="Z1556" i="1"/>
  <c r="V1556" i="1"/>
  <c r="Q1556" i="1"/>
  <c r="O1556" i="1"/>
  <c r="P1556" i="1" s="1"/>
  <c r="G1556" i="1"/>
  <c r="F1556" i="1"/>
  <c r="Z1555" i="1"/>
  <c r="V1555" i="1"/>
  <c r="Q1555" i="1"/>
  <c r="O1555" i="1"/>
  <c r="P1555" i="1" s="1"/>
  <c r="G1555" i="1"/>
  <c r="F1555" i="1"/>
  <c r="Z1554" i="1"/>
  <c r="V1554" i="1"/>
  <c r="Q1554" i="1"/>
  <c r="O1554" i="1"/>
  <c r="P1554" i="1" s="1"/>
  <c r="G1554" i="1"/>
  <c r="F1554" i="1"/>
  <c r="Z1553" i="1"/>
  <c r="V1553" i="1"/>
  <c r="Q1553" i="1"/>
  <c r="O1553" i="1"/>
  <c r="P1553" i="1" s="1"/>
  <c r="G1553" i="1"/>
  <c r="F1553" i="1"/>
  <c r="Z1552" i="1"/>
  <c r="V1552" i="1"/>
  <c r="Q1552" i="1"/>
  <c r="O1552" i="1"/>
  <c r="P1552" i="1" s="1"/>
  <c r="G1552" i="1"/>
  <c r="F1552" i="1"/>
  <c r="Z1551" i="1"/>
  <c r="V1551" i="1"/>
  <c r="Q1551" i="1"/>
  <c r="O1551" i="1"/>
  <c r="P1551" i="1" s="1"/>
  <c r="G1551" i="1"/>
  <c r="F1551" i="1"/>
  <c r="Z1550" i="1"/>
  <c r="V1550" i="1"/>
  <c r="Q1550" i="1"/>
  <c r="O1550" i="1"/>
  <c r="P1550" i="1" s="1"/>
  <c r="G1550" i="1"/>
  <c r="F1550" i="1"/>
  <c r="Z1549" i="1"/>
  <c r="V1549" i="1"/>
  <c r="Q1549" i="1"/>
  <c r="O1549" i="1"/>
  <c r="P1549" i="1" s="1"/>
  <c r="G1549" i="1"/>
  <c r="F1549" i="1"/>
  <c r="Z1548" i="1"/>
  <c r="V1548" i="1"/>
  <c r="Q1548" i="1"/>
  <c r="O1548" i="1"/>
  <c r="P1548" i="1" s="1"/>
  <c r="G1548" i="1"/>
  <c r="F1548" i="1"/>
  <c r="Z1547" i="1"/>
  <c r="V1547" i="1"/>
  <c r="Q1547" i="1"/>
  <c r="O1547" i="1"/>
  <c r="P1547" i="1" s="1"/>
  <c r="G1547" i="1"/>
  <c r="F1547" i="1"/>
  <c r="Z1546" i="1"/>
  <c r="V1546" i="1"/>
  <c r="Q1546" i="1"/>
  <c r="O1546" i="1"/>
  <c r="P1546" i="1" s="1"/>
  <c r="G1546" i="1"/>
  <c r="F1546" i="1"/>
  <c r="Z1545" i="1"/>
  <c r="V1545" i="1"/>
  <c r="Q1545" i="1"/>
  <c r="O1545" i="1"/>
  <c r="P1545" i="1" s="1"/>
  <c r="G1545" i="1"/>
  <c r="F1545" i="1"/>
  <c r="Z1544" i="1"/>
  <c r="V1544" i="1"/>
  <c r="Q1544" i="1"/>
  <c r="O1544" i="1"/>
  <c r="P1544" i="1" s="1"/>
  <c r="G1544" i="1"/>
  <c r="F1544" i="1"/>
  <c r="Z1543" i="1"/>
  <c r="V1543" i="1"/>
  <c r="Q1543" i="1"/>
  <c r="O1543" i="1"/>
  <c r="P1543" i="1" s="1"/>
  <c r="G1543" i="1"/>
  <c r="F1543" i="1"/>
  <c r="Z1542" i="1"/>
  <c r="V1542" i="1"/>
  <c r="Q1542" i="1"/>
  <c r="O1542" i="1"/>
  <c r="P1542" i="1" s="1"/>
  <c r="G1542" i="1"/>
  <c r="F1542" i="1"/>
  <c r="Z1541" i="1"/>
  <c r="V1541" i="1"/>
  <c r="Q1541" i="1"/>
  <c r="O1541" i="1"/>
  <c r="P1541" i="1" s="1"/>
  <c r="G1541" i="1"/>
  <c r="F1541" i="1"/>
  <c r="Z1540" i="1"/>
  <c r="V1540" i="1"/>
  <c r="Q1540" i="1"/>
  <c r="O1540" i="1"/>
  <c r="P1540" i="1" s="1"/>
  <c r="G1540" i="1"/>
  <c r="F1540" i="1"/>
  <c r="Z1539" i="1"/>
  <c r="V1539" i="1"/>
  <c r="Q1539" i="1"/>
  <c r="O1539" i="1"/>
  <c r="P1539" i="1" s="1"/>
  <c r="G1539" i="1"/>
  <c r="F1539" i="1"/>
  <c r="Z1538" i="1"/>
  <c r="V1538" i="1"/>
  <c r="Q1538" i="1"/>
  <c r="O1538" i="1"/>
  <c r="P1538" i="1" s="1"/>
  <c r="G1538" i="1"/>
  <c r="F1538" i="1"/>
  <c r="Z1537" i="1"/>
  <c r="V1537" i="1"/>
  <c r="Q1537" i="1"/>
  <c r="O1537" i="1"/>
  <c r="P1537" i="1" s="1"/>
  <c r="G1537" i="1"/>
  <c r="F1537" i="1"/>
  <c r="Z1536" i="1"/>
  <c r="V1536" i="1"/>
  <c r="Q1536" i="1"/>
  <c r="O1536" i="1"/>
  <c r="P1536" i="1" s="1"/>
  <c r="G1536" i="1"/>
  <c r="F1536" i="1"/>
  <c r="Z1535" i="1"/>
  <c r="V1535" i="1"/>
  <c r="Q1535" i="1"/>
  <c r="O1535" i="1"/>
  <c r="P1535" i="1" s="1"/>
  <c r="G1535" i="1"/>
  <c r="F1535" i="1"/>
  <c r="Z1534" i="1"/>
  <c r="V1534" i="1"/>
  <c r="Q1534" i="1"/>
  <c r="O1534" i="1"/>
  <c r="P1534" i="1" s="1"/>
  <c r="G1534" i="1"/>
  <c r="F1534" i="1"/>
  <c r="Z1533" i="1"/>
  <c r="V1533" i="1"/>
  <c r="Q1533" i="1"/>
  <c r="O1533" i="1"/>
  <c r="P1533" i="1" s="1"/>
  <c r="G1533" i="1"/>
  <c r="F1533" i="1"/>
  <c r="Z1532" i="1"/>
  <c r="V1532" i="1"/>
  <c r="Q1532" i="1"/>
  <c r="O1532" i="1"/>
  <c r="P1532" i="1" s="1"/>
  <c r="G1532" i="1"/>
  <c r="F1532" i="1"/>
  <c r="Z1531" i="1"/>
  <c r="V1531" i="1"/>
  <c r="Q1531" i="1"/>
  <c r="O1531" i="1"/>
  <c r="P1531" i="1" s="1"/>
  <c r="G1531" i="1"/>
  <c r="F1531" i="1"/>
  <c r="Z1530" i="1"/>
  <c r="V1530" i="1"/>
  <c r="Q1530" i="1"/>
  <c r="O1530" i="1"/>
  <c r="P1530" i="1" s="1"/>
  <c r="G1530" i="1"/>
  <c r="F1530" i="1"/>
  <c r="Z1529" i="1"/>
  <c r="V1529" i="1"/>
  <c r="Q1529" i="1"/>
  <c r="O1529" i="1"/>
  <c r="P1529" i="1" s="1"/>
  <c r="G1529" i="1"/>
  <c r="F1529" i="1"/>
  <c r="Z1528" i="1"/>
  <c r="V1528" i="1"/>
  <c r="Q1528" i="1"/>
  <c r="O1528" i="1"/>
  <c r="P1528" i="1" s="1"/>
  <c r="G1528" i="1"/>
  <c r="F1528" i="1"/>
  <c r="Z1527" i="1"/>
  <c r="V1527" i="1"/>
  <c r="Q1527" i="1"/>
  <c r="O1527" i="1"/>
  <c r="P1527" i="1" s="1"/>
  <c r="G1527" i="1"/>
  <c r="F1527" i="1"/>
  <c r="Z1526" i="1"/>
  <c r="V1526" i="1"/>
  <c r="Q1526" i="1"/>
  <c r="O1526" i="1"/>
  <c r="P1526" i="1" s="1"/>
  <c r="G1526" i="1"/>
  <c r="F1526" i="1"/>
  <c r="Z1525" i="1"/>
  <c r="V1525" i="1"/>
  <c r="Q1525" i="1"/>
  <c r="O1525" i="1"/>
  <c r="P1525" i="1" s="1"/>
  <c r="G1525" i="1"/>
  <c r="F1525" i="1"/>
  <c r="Z1524" i="1"/>
  <c r="V1524" i="1"/>
  <c r="Q1524" i="1"/>
  <c r="O1524" i="1"/>
  <c r="P1524" i="1" s="1"/>
  <c r="G1524" i="1"/>
  <c r="F1524" i="1"/>
  <c r="Z1523" i="1"/>
  <c r="V1523" i="1"/>
  <c r="Q1523" i="1"/>
  <c r="O1523" i="1"/>
  <c r="P1523" i="1" s="1"/>
  <c r="G1523" i="1"/>
  <c r="F1523" i="1"/>
  <c r="Z1522" i="1"/>
  <c r="V1522" i="1"/>
  <c r="Q1522" i="1"/>
  <c r="O1522" i="1"/>
  <c r="P1522" i="1" s="1"/>
  <c r="G1522" i="1"/>
  <c r="F1522" i="1"/>
  <c r="Z1521" i="1"/>
  <c r="V1521" i="1"/>
  <c r="Q1521" i="1"/>
  <c r="O1521" i="1"/>
  <c r="P1521" i="1" s="1"/>
  <c r="G1521" i="1"/>
  <c r="F1521" i="1"/>
  <c r="Z1520" i="1"/>
  <c r="V1520" i="1"/>
  <c r="Q1520" i="1"/>
  <c r="O1520" i="1"/>
  <c r="P1520" i="1" s="1"/>
  <c r="G1520" i="1"/>
  <c r="F1520" i="1"/>
  <c r="Z1519" i="1"/>
  <c r="V1519" i="1"/>
  <c r="Q1519" i="1"/>
  <c r="O1519" i="1"/>
  <c r="P1519" i="1" s="1"/>
  <c r="G1519" i="1"/>
  <c r="F1519" i="1"/>
  <c r="Z1518" i="1"/>
  <c r="V1518" i="1"/>
  <c r="Q1518" i="1"/>
  <c r="O1518" i="1"/>
  <c r="P1518" i="1" s="1"/>
  <c r="G1518" i="1"/>
  <c r="F1518" i="1"/>
  <c r="Z1517" i="1"/>
  <c r="V1517" i="1"/>
  <c r="Q1517" i="1"/>
  <c r="O1517" i="1"/>
  <c r="P1517" i="1" s="1"/>
  <c r="G1517" i="1"/>
  <c r="F1517" i="1"/>
  <c r="Z1516" i="1"/>
  <c r="V1516" i="1"/>
  <c r="Q1516" i="1"/>
  <c r="O1516" i="1"/>
  <c r="P1516" i="1" s="1"/>
  <c r="G1516" i="1"/>
  <c r="F1516" i="1"/>
  <c r="Z1515" i="1"/>
  <c r="V1515" i="1"/>
  <c r="Q1515" i="1"/>
  <c r="O1515" i="1"/>
  <c r="P1515" i="1" s="1"/>
  <c r="G1515" i="1"/>
  <c r="F1515" i="1"/>
  <c r="Z1514" i="1"/>
  <c r="V1514" i="1"/>
  <c r="Q1514" i="1"/>
  <c r="O1514" i="1"/>
  <c r="P1514" i="1" s="1"/>
  <c r="G1514" i="1"/>
  <c r="F1514" i="1"/>
  <c r="Z1513" i="1"/>
  <c r="V1513" i="1"/>
  <c r="Q1513" i="1"/>
  <c r="O1513" i="1"/>
  <c r="P1513" i="1" s="1"/>
  <c r="G1513" i="1"/>
  <c r="F1513" i="1"/>
  <c r="Z1512" i="1"/>
  <c r="V1512" i="1"/>
  <c r="Q1512" i="1"/>
  <c r="O1512" i="1"/>
  <c r="P1512" i="1" s="1"/>
  <c r="G1512" i="1"/>
  <c r="F1512" i="1"/>
  <c r="Z1511" i="1"/>
  <c r="V1511" i="1"/>
  <c r="Q1511" i="1"/>
  <c r="O1511" i="1"/>
  <c r="P1511" i="1" s="1"/>
  <c r="G1511" i="1"/>
  <c r="F1511" i="1"/>
  <c r="Z1510" i="1"/>
  <c r="V1510" i="1"/>
  <c r="Q1510" i="1"/>
  <c r="O1510" i="1"/>
  <c r="P1510" i="1" s="1"/>
  <c r="G1510" i="1"/>
  <c r="F1510" i="1"/>
  <c r="Z1509" i="1"/>
  <c r="V1509" i="1"/>
  <c r="Q1509" i="1"/>
  <c r="O1509" i="1"/>
  <c r="P1509" i="1" s="1"/>
  <c r="G1509" i="1"/>
  <c r="F1509" i="1"/>
  <c r="Z1508" i="1"/>
  <c r="V1508" i="1"/>
  <c r="Q1508" i="1"/>
  <c r="O1508" i="1"/>
  <c r="P1508" i="1" s="1"/>
  <c r="G1508" i="1"/>
  <c r="F1508" i="1"/>
  <c r="Z1507" i="1"/>
  <c r="V1507" i="1"/>
  <c r="Q1507" i="1"/>
  <c r="O1507" i="1"/>
  <c r="P1507" i="1" s="1"/>
  <c r="G1507" i="1"/>
  <c r="F1507" i="1"/>
  <c r="Z1506" i="1"/>
  <c r="V1506" i="1"/>
  <c r="Q1506" i="1"/>
  <c r="O1506" i="1"/>
  <c r="P1506" i="1" s="1"/>
  <c r="G1506" i="1"/>
  <c r="F1506" i="1"/>
  <c r="Z1505" i="1"/>
  <c r="V1505" i="1"/>
  <c r="Q1505" i="1"/>
  <c r="O1505" i="1"/>
  <c r="P1505" i="1" s="1"/>
  <c r="G1505" i="1"/>
  <c r="F1505" i="1"/>
  <c r="Z1504" i="1"/>
  <c r="V1504" i="1"/>
  <c r="Q1504" i="1"/>
  <c r="O1504" i="1"/>
  <c r="P1504" i="1" s="1"/>
  <c r="G1504" i="1"/>
  <c r="F1504" i="1"/>
  <c r="Z1503" i="1"/>
  <c r="V1503" i="1"/>
  <c r="Q1503" i="1"/>
  <c r="O1503" i="1"/>
  <c r="P1503" i="1" s="1"/>
  <c r="G1503" i="1"/>
  <c r="F1503" i="1"/>
  <c r="Z1502" i="1"/>
  <c r="V1502" i="1"/>
  <c r="Q1502" i="1"/>
  <c r="O1502" i="1"/>
  <c r="P1502" i="1" s="1"/>
  <c r="G1502" i="1"/>
  <c r="F1502" i="1"/>
  <c r="Z1501" i="1"/>
  <c r="V1501" i="1"/>
  <c r="Q1501" i="1"/>
  <c r="O1501" i="1"/>
  <c r="P1501" i="1" s="1"/>
  <c r="G1501" i="1"/>
  <c r="F1501" i="1"/>
  <c r="Z1500" i="1"/>
  <c r="V1500" i="1"/>
  <c r="Q1500" i="1"/>
  <c r="O1500" i="1"/>
  <c r="P1500" i="1" s="1"/>
  <c r="G1500" i="1"/>
  <c r="F1500" i="1"/>
  <c r="Z1499" i="1"/>
  <c r="V1499" i="1"/>
  <c r="Q1499" i="1"/>
  <c r="O1499" i="1"/>
  <c r="P1499" i="1" s="1"/>
  <c r="G1499" i="1"/>
  <c r="F1499" i="1"/>
  <c r="Z1498" i="1"/>
  <c r="V1498" i="1"/>
  <c r="Q1498" i="1"/>
  <c r="O1498" i="1"/>
  <c r="P1498" i="1" s="1"/>
  <c r="G1498" i="1"/>
  <c r="F1498" i="1"/>
  <c r="Z1497" i="1"/>
  <c r="V1497" i="1"/>
  <c r="Q1497" i="1"/>
  <c r="O1497" i="1"/>
  <c r="P1497" i="1" s="1"/>
  <c r="G1497" i="1"/>
  <c r="F1497" i="1"/>
  <c r="Z1496" i="1"/>
  <c r="V1496" i="1"/>
  <c r="Q1496" i="1"/>
  <c r="O1496" i="1"/>
  <c r="P1496" i="1" s="1"/>
  <c r="G1496" i="1"/>
  <c r="F1496" i="1"/>
  <c r="Z1495" i="1"/>
  <c r="V1495" i="1"/>
  <c r="Q1495" i="1"/>
  <c r="O1495" i="1"/>
  <c r="P1495" i="1" s="1"/>
  <c r="G1495" i="1"/>
  <c r="F1495" i="1"/>
  <c r="Z1494" i="1"/>
  <c r="V1494" i="1"/>
  <c r="Q1494" i="1"/>
  <c r="O1494" i="1"/>
  <c r="P1494" i="1" s="1"/>
  <c r="G1494" i="1"/>
  <c r="F1494" i="1"/>
  <c r="Z1493" i="1"/>
  <c r="V1493" i="1"/>
  <c r="Q1493" i="1"/>
  <c r="O1493" i="1"/>
  <c r="P1493" i="1" s="1"/>
  <c r="G1493" i="1"/>
  <c r="F1493" i="1"/>
  <c r="Z1492" i="1"/>
  <c r="V1492" i="1"/>
  <c r="Q1492" i="1"/>
  <c r="O1492" i="1"/>
  <c r="P1492" i="1" s="1"/>
  <c r="G1492" i="1"/>
  <c r="F1492" i="1"/>
  <c r="Z1491" i="1"/>
  <c r="V1491" i="1"/>
  <c r="Q1491" i="1"/>
  <c r="O1491" i="1"/>
  <c r="P1491" i="1" s="1"/>
  <c r="G1491" i="1"/>
  <c r="F1491" i="1"/>
  <c r="Z1490" i="1"/>
  <c r="V1490" i="1"/>
  <c r="Q1490" i="1"/>
  <c r="O1490" i="1"/>
  <c r="P1490" i="1" s="1"/>
  <c r="G1490" i="1"/>
  <c r="F1490" i="1"/>
  <c r="Z1489" i="1"/>
  <c r="V1489" i="1"/>
  <c r="Q1489" i="1"/>
  <c r="O1489" i="1"/>
  <c r="P1489" i="1" s="1"/>
  <c r="G1489" i="1"/>
  <c r="F1489" i="1"/>
  <c r="Z1488" i="1"/>
  <c r="V1488" i="1"/>
  <c r="Q1488" i="1"/>
  <c r="O1488" i="1"/>
  <c r="P1488" i="1" s="1"/>
  <c r="G1488" i="1"/>
  <c r="F1488" i="1"/>
  <c r="Z1487" i="1"/>
  <c r="V1487" i="1"/>
  <c r="Q1487" i="1"/>
  <c r="O1487" i="1"/>
  <c r="P1487" i="1" s="1"/>
  <c r="G1487" i="1"/>
  <c r="F1487" i="1"/>
  <c r="Z1486" i="1"/>
  <c r="V1486" i="1"/>
  <c r="Q1486" i="1"/>
  <c r="O1486" i="1"/>
  <c r="P1486" i="1" s="1"/>
  <c r="G1486" i="1"/>
  <c r="F1486" i="1"/>
  <c r="Z1485" i="1"/>
  <c r="V1485" i="1"/>
  <c r="Q1485" i="1"/>
  <c r="O1485" i="1"/>
  <c r="P1485" i="1" s="1"/>
  <c r="G1485" i="1"/>
  <c r="F1485" i="1"/>
  <c r="Z1484" i="1"/>
  <c r="V1484" i="1"/>
  <c r="Q1484" i="1"/>
  <c r="O1484" i="1"/>
  <c r="P1484" i="1" s="1"/>
  <c r="G1484" i="1"/>
  <c r="F1484" i="1"/>
  <c r="Z1483" i="1"/>
  <c r="V1483" i="1"/>
  <c r="Q1483" i="1"/>
  <c r="O1483" i="1"/>
  <c r="P1483" i="1" s="1"/>
  <c r="G1483" i="1"/>
  <c r="F1483" i="1"/>
  <c r="Z1482" i="1"/>
  <c r="V1482" i="1"/>
  <c r="Q1482" i="1"/>
  <c r="O1482" i="1"/>
  <c r="P1482" i="1" s="1"/>
  <c r="G1482" i="1"/>
  <c r="F1482" i="1"/>
  <c r="Z1481" i="1"/>
  <c r="V1481" i="1"/>
  <c r="Q1481" i="1"/>
  <c r="O1481" i="1"/>
  <c r="P1481" i="1" s="1"/>
  <c r="G1481" i="1"/>
  <c r="F1481" i="1"/>
  <c r="Z1480" i="1"/>
  <c r="V1480" i="1"/>
  <c r="Q1480" i="1"/>
  <c r="O1480" i="1"/>
  <c r="P1480" i="1" s="1"/>
  <c r="G1480" i="1"/>
  <c r="F1480" i="1"/>
  <c r="Z1479" i="1"/>
  <c r="V1479" i="1"/>
  <c r="Q1479" i="1"/>
  <c r="O1479" i="1"/>
  <c r="P1479" i="1" s="1"/>
  <c r="G1479" i="1"/>
  <c r="F1479" i="1"/>
  <c r="Z1478" i="1"/>
  <c r="V1478" i="1"/>
  <c r="Q1478" i="1"/>
  <c r="O1478" i="1"/>
  <c r="P1478" i="1" s="1"/>
  <c r="G1478" i="1"/>
  <c r="F1478" i="1"/>
  <c r="Z1477" i="1"/>
  <c r="V1477" i="1"/>
  <c r="Q1477" i="1"/>
  <c r="O1477" i="1"/>
  <c r="P1477" i="1" s="1"/>
  <c r="G1477" i="1"/>
  <c r="F1477" i="1"/>
  <c r="Z1476" i="1"/>
  <c r="V1476" i="1"/>
  <c r="Q1476" i="1"/>
  <c r="O1476" i="1"/>
  <c r="P1476" i="1" s="1"/>
  <c r="G1476" i="1"/>
  <c r="F1476" i="1"/>
  <c r="Z1475" i="1"/>
  <c r="V1475" i="1"/>
  <c r="Q1475" i="1"/>
  <c r="O1475" i="1"/>
  <c r="P1475" i="1" s="1"/>
  <c r="G1475" i="1"/>
  <c r="F1475" i="1"/>
  <c r="Z1474" i="1"/>
  <c r="V1474" i="1"/>
  <c r="Q1474" i="1"/>
  <c r="O1474" i="1"/>
  <c r="P1474" i="1" s="1"/>
  <c r="G1474" i="1"/>
  <c r="F1474" i="1"/>
  <c r="Z1473" i="1"/>
  <c r="V1473" i="1"/>
  <c r="Q1473" i="1"/>
  <c r="O1473" i="1"/>
  <c r="P1473" i="1" s="1"/>
  <c r="G1473" i="1"/>
  <c r="F1473" i="1"/>
  <c r="Z1472" i="1"/>
  <c r="V1472" i="1"/>
  <c r="Q1472" i="1"/>
  <c r="O1472" i="1"/>
  <c r="P1472" i="1" s="1"/>
  <c r="G1472" i="1"/>
  <c r="F1472" i="1"/>
  <c r="Z1471" i="1"/>
  <c r="V1471" i="1"/>
  <c r="Q1471" i="1"/>
  <c r="O1471" i="1"/>
  <c r="P1471" i="1" s="1"/>
  <c r="G1471" i="1"/>
  <c r="F1471" i="1"/>
  <c r="Z1470" i="1"/>
  <c r="V1470" i="1"/>
  <c r="Q1470" i="1"/>
  <c r="O1470" i="1"/>
  <c r="P1470" i="1" s="1"/>
  <c r="G1470" i="1"/>
  <c r="F1470" i="1"/>
  <c r="Z1469" i="1"/>
  <c r="V1469" i="1"/>
  <c r="Q1469" i="1"/>
  <c r="O1469" i="1"/>
  <c r="P1469" i="1" s="1"/>
  <c r="G1469" i="1"/>
  <c r="F1469" i="1"/>
  <c r="Z1468" i="1"/>
  <c r="V1468" i="1"/>
  <c r="Q1468" i="1"/>
  <c r="O1468" i="1"/>
  <c r="P1468" i="1" s="1"/>
  <c r="G1468" i="1"/>
  <c r="F1468" i="1"/>
  <c r="Z1467" i="1"/>
  <c r="V1467" i="1"/>
  <c r="Q1467" i="1"/>
  <c r="O1467" i="1"/>
  <c r="P1467" i="1" s="1"/>
  <c r="G1467" i="1"/>
  <c r="F1467" i="1"/>
  <c r="Z1466" i="1"/>
  <c r="V1466" i="1"/>
  <c r="Q1466" i="1"/>
  <c r="O1466" i="1"/>
  <c r="P1466" i="1" s="1"/>
  <c r="G1466" i="1"/>
  <c r="F1466" i="1"/>
  <c r="Z1465" i="1"/>
  <c r="V1465" i="1"/>
  <c r="Q1465" i="1"/>
  <c r="O1465" i="1"/>
  <c r="P1465" i="1" s="1"/>
  <c r="G1465" i="1"/>
  <c r="F1465" i="1"/>
  <c r="Z1464" i="1"/>
  <c r="V1464" i="1"/>
  <c r="Q1464" i="1"/>
  <c r="O1464" i="1"/>
  <c r="P1464" i="1" s="1"/>
  <c r="G1464" i="1"/>
  <c r="F1464" i="1"/>
  <c r="Z1463" i="1"/>
  <c r="V1463" i="1"/>
  <c r="Q1463" i="1"/>
  <c r="O1463" i="1"/>
  <c r="P1463" i="1" s="1"/>
  <c r="G1463" i="1"/>
  <c r="F1463" i="1"/>
  <c r="Z1462" i="1"/>
  <c r="V1462" i="1"/>
  <c r="Q1462" i="1"/>
  <c r="O1462" i="1"/>
  <c r="P1462" i="1" s="1"/>
  <c r="G1462" i="1"/>
  <c r="F1462" i="1"/>
  <c r="Z1461" i="1"/>
  <c r="V1461" i="1"/>
  <c r="Q1461" i="1"/>
  <c r="O1461" i="1"/>
  <c r="P1461" i="1" s="1"/>
  <c r="G1461" i="1"/>
  <c r="F1461" i="1"/>
  <c r="Z1460" i="1"/>
  <c r="V1460" i="1"/>
  <c r="Q1460" i="1"/>
  <c r="O1460" i="1"/>
  <c r="P1460" i="1" s="1"/>
  <c r="G1460" i="1"/>
  <c r="F1460" i="1"/>
  <c r="Z1459" i="1"/>
  <c r="V1459" i="1"/>
  <c r="Q1459" i="1"/>
  <c r="O1459" i="1"/>
  <c r="P1459" i="1" s="1"/>
  <c r="G1459" i="1"/>
  <c r="F1459" i="1"/>
  <c r="Z1458" i="1"/>
  <c r="V1458" i="1"/>
  <c r="Q1458" i="1"/>
  <c r="O1458" i="1"/>
  <c r="P1458" i="1" s="1"/>
  <c r="G1458" i="1"/>
  <c r="F1458" i="1"/>
  <c r="Z1457" i="1"/>
  <c r="V1457" i="1"/>
  <c r="Q1457" i="1"/>
  <c r="O1457" i="1"/>
  <c r="P1457" i="1" s="1"/>
  <c r="G1457" i="1"/>
  <c r="F1457" i="1"/>
  <c r="Z1456" i="1"/>
  <c r="V1456" i="1"/>
  <c r="Q1456" i="1"/>
  <c r="O1456" i="1"/>
  <c r="P1456" i="1" s="1"/>
  <c r="G1456" i="1"/>
  <c r="F1456" i="1"/>
  <c r="Z1455" i="1"/>
  <c r="V1455" i="1"/>
  <c r="Q1455" i="1"/>
  <c r="O1455" i="1"/>
  <c r="P1455" i="1" s="1"/>
  <c r="G1455" i="1"/>
  <c r="F1455" i="1"/>
  <c r="Z1454" i="1"/>
  <c r="V1454" i="1"/>
  <c r="Q1454" i="1"/>
  <c r="O1454" i="1"/>
  <c r="P1454" i="1" s="1"/>
  <c r="G1454" i="1"/>
  <c r="F1454" i="1"/>
  <c r="Z1453" i="1"/>
  <c r="V1453" i="1"/>
  <c r="Q1453" i="1"/>
  <c r="O1453" i="1"/>
  <c r="P1453" i="1" s="1"/>
  <c r="G1453" i="1"/>
  <c r="F1453" i="1"/>
  <c r="Z1452" i="1"/>
  <c r="V1452" i="1"/>
  <c r="Q1452" i="1"/>
  <c r="O1452" i="1"/>
  <c r="P1452" i="1" s="1"/>
  <c r="G1452" i="1"/>
  <c r="F1452" i="1"/>
  <c r="Z1451" i="1"/>
  <c r="V1451" i="1"/>
  <c r="Q1451" i="1"/>
  <c r="O1451" i="1"/>
  <c r="P1451" i="1" s="1"/>
  <c r="G1451" i="1"/>
  <c r="F1451" i="1"/>
  <c r="Z1450" i="1"/>
  <c r="V1450" i="1"/>
  <c r="Q1450" i="1"/>
  <c r="O1450" i="1"/>
  <c r="P1450" i="1" s="1"/>
  <c r="G1450" i="1"/>
  <c r="F1450" i="1"/>
  <c r="Z1449" i="1"/>
  <c r="V1449" i="1"/>
  <c r="Q1449" i="1"/>
  <c r="O1449" i="1"/>
  <c r="P1449" i="1" s="1"/>
  <c r="G1449" i="1"/>
  <c r="F1449" i="1"/>
  <c r="Z1448" i="1"/>
  <c r="V1448" i="1"/>
  <c r="Q1448" i="1"/>
  <c r="O1448" i="1"/>
  <c r="P1448" i="1" s="1"/>
  <c r="G1448" i="1"/>
  <c r="F1448" i="1"/>
  <c r="Z1447" i="1"/>
  <c r="V1447" i="1"/>
  <c r="Q1447" i="1"/>
  <c r="O1447" i="1"/>
  <c r="P1447" i="1" s="1"/>
  <c r="G1447" i="1"/>
  <c r="F1447" i="1"/>
  <c r="Z1446" i="1"/>
  <c r="V1446" i="1"/>
  <c r="Q1446" i="1"/>
  <c r="O1446" i="1"/>
  <c r="P1446" i="1" s="1"/>
  <c r="G1446" i="1"/>
  <c r="F1446" i="1"/>
  <c r="Z1445" i="1"/>
  <c r="V1445" i="1"/>
  <c r="Q1445" i="1"/>
  <c r="O1445" i="1"/>
  <c r="P1445" i="1" s="1"/>
  <c r="G1445" i="1"/>
  <c r="F1445" i="1"/>
  <c r="Z1444" i="1"/>
  <c r="V1444" i="1"/>
  <c r="Q1444" i="1"/>
  <c r="O1444" i="1"/>
  <c r="P1444" i="1" s="1"/>
  <c r="G1444" i="1"/>
  <c r="F1444" i="1"/>
  <c r="Z1443" i="1"/>
  <c r="V1443" i="1"/>
  <c r="Q1443" i="1"/>
  <c r="O1443" i="1"/>
  <c r="P1443" i="1" s="1"/>
  <c r="G1443" i="1"/>
  <c r="F1443" i="1"/>
  <c r="Z1442" i="1"/>
  <c r="V1442" i="1"/>
  <c r="Q1442" i="1"/>
  <c r="O1442" i="1"/>
  <c r="P1442" i="1" s="1"/>
  <c r="G1442" i="1"/>
  <c r="F1442" i="1"/>
  <c r="Z1441" i="1"/>
  <c r="V1441" i="1"/>
  <c r="Q1441" i="1"/>
  <c r="O1441" i="1"/>
  <c r="P1441" i="1" s="1"/>
  <c r="G1441" i="1"/>
  <c r="F1441" i="1"/>
  <c r="Z1440" i="1"/>
  <c r="V1440" i="1"/>
  <c r="Q1440" i="1"/>
  <c r="O1440" i="1"/>
  <c r="P1440" i="1" s="1"/>
  <c r="G1440" i="1"/>
  <c r="F1440" i="1"/>
  <c r="Z1439" i="1"/>
  <c r="V1439" i="1"/>
  <c r="Q1439" i="1"/>
  <c r="O1439" i="1"/>
  <c r="P1439" i="1" s="1"/>
  <c r="G1439" i="1"/>
  <c r="F1439" i="1"/>
  <c r="Z1438" i="1"/>
  <c r="V1438" i="1"/>
  <c r="Q1438" i="1"/>
  <c r="O1438" i="1"/>
  <c r="P1438" i="1" s="1"/>
  <c r="G1438" i="1"/>
  <c r="F1438" i="1"/>
  <c r="Z1437" i="1"/>
  <c r="V1437" i="1"/>
  <c r="Q1437" i="1"/>
  <c r="O1437" i="1"/>
  <c r="P1437" i="1" s="1"/>
  <c r="G1437" i="1"/>
  <c r="F1437" i="1"/>
  <c r="Z1436" i="1"/>
  <c r="V1436" i="1"/>
  <c r="Q1436" i="1"/>
  <c r="O1436" i="1"/>
  <c r="P1436" i="1" s="1"/>
  <c r="G1436" i="1"/>
  <c r="F1436" i="1"/>
  <c r="Z1435" i="1"/>
  <c r="V1435" i="1"/>
  <c r="Q1435" i="1"/>
  <c r="O1435" i="1"/>
  <c r="P1435" i="1" s="1"/>
  <c r="G1435" i="1"/>
  <c r="F1435" i="1"/>
  <c r="Z1434" i="1"/>
  <c r="V1434" i="1"/>
  <c r="Q1434" i="1"/>
  <c r="O1434" i="1"/>
  <c r="P1434" i="1" s="1"/>
  <c r="G1434" i="1"/>
  <c r="F1434" i="1"/>
  <c r="Z1433" i="1"/>
  <c r="V1433" i="1"/>
  <c r="Q1433" i="1"/>
  <c r="O1433" i="1"/>
  <c r="P1433" i="1" s="1"/>
  <c r="G1433" i="1"/>
  <c r="F1433" i="1"/>
  <c r="Z1432" i="1"/>
  <c r="V1432" i="1"/>
  <c r="Q1432" i="1"/>
  <c r="O1432" i="1"/>
  <c r="P1432" i="1" s="1"/>
  <c r="G1432" i="1"/>
  <c r="F1432" i="1"/>
  <c r="Z1431" i="1"/>
  <c r="V1431" i="1"/>
  <c r="Q1431" i="1"/>
  <c r="O1431" i="1"/>
  <c r="P1431" i="1" s="1"/>
  <c r="G1431" i="1"/>
  <c r="F1431" i="1"/>
  <c r="Z1430" i="1"/>
  <c r="V1430" i="1"/>
  <c r="Q1430" i="1"/>
  <c r="O1430" i="1"/>
  <c r="P1430" i="1" s="1"/>
  <c r="G1430" i="1"/>
  <c r="F1430" i="1"/>
  <c r="Z1429" i="1"/>
  <c r="V1429" i="1"/>
  <c r="Q1429" i="1"/>
  <c r="O1429" i="1"/>
  <c r="P1429" i="1" s="1"/>
  <c r="G1429" i="1"/>
  <c r="F1429" i="1"/>
  <c r="Z1428" i="1"/>
  <c r="V1428" i="1"/>
  <c r="Q1428" i="1"/>
  <c r="O1428" i="1"/>
  <c r="P1428" i="1" s="1"/>
  <c r="G1428" i="1"/>
  <c r="F1428" i="1"/>
  <c r="Z1427" i="1"/>
  <c r="V1427" i="1"/>
  <c r="Q1427" i="1"/>
  <c r="O1427" i="1"/>
  <c r="P1427" i="1" s="1"/>
  <c r="G1427" i="1"/>
  <c r="F1427" i="1"/>
  <c r="Z1426" i="1"/>
  <c r="V1426" i="1"/>
  <c r="Q1426" i="1"/>
  <c r="O1426" i="1"/>
  <c r="P1426" i="1" s="1"/>
  <c r="G1426" i="1"/>
  <c r="F1426" i="1"/>
  <c r="Z1425" i="1"/>
  <c r="V1425" i="1"/>
  <c r="Q1425" i="1"/>
  <c r="O1425" i="1"/>
  <c r="P1425" i="1" s="1"/>
  <c r="G1425" i="1"/>
  <c r="F1425" i="1"/>
  <c r="Z1424" i="1"/>
  <c r="V1424" i="1"/>
  <c r="Q1424" i="1"/>
  <c r="O1424" i="1"/>
  <c r="P1424" i="1" s="1"/>
  <c r="G1424" i="1"/>
  <c r="F1424" i="1"/>
  <c r="Z1423" i="1"/>
  <c r="V1423" i="1"/>
  <c r="Q1423" i="1"/>
  <c r="O1423" i="1"/>
  <c r="P1423" i="1" s="1"/>
  <c r="G1423" i="1"/>
  <c r="F1423" i="1"/>
  <c r="Z1422" i="1"/>
  <c r="V1422" i="1"/>
  <c r="Q1422" i="1"/>
  <c r="O1422" i="1"/>
  <c r="P1422" i="1" s="1"/>
  <c r="G1422" i="1"/>
  <c r="F1422" i="1"/>
  <c r="Z1421" i="1"/>
  <c r="V1421" i="1"/>
  <c r="Q1421" i="1"/>
  <c r="O1421" i="1"/>
  <c r="P1421" i="1" s="1"/>
  <c r="G1421" i="1"/>
  <c r="F1421" i="1"/>
  <c r="Z1420" i="1"/>
  <c r="V1420" i="1"/>
  <c r="Q1420" i="1"/>
  <c r="O1420" i="1"/>
  <c r="P1420" i="1" s="1"/>
  <c r="G1420" i="1"/>
  <c r="F1420" i="1"/>
  <c r="Z1419" i="1"/>
  <c r="V1419" i="1"/>
  <c r="Q1419" i="1"/>
  <c r="O1419" i="1"/>
  <c r="P1419" i="1" s="1"/>
  <c r="G1419" i="1"/>
  <c r="F1419" i="1"/>
  <c r="Z1418" i="1"/>
  <c r="V1418" i="1"/>
  <c r="Q1418" i="1"/>
  <c r="O1418" i="1"/>
  <c r="P1418" i="1" s="1"/>
  <c r="G1418" i="1"/>
  <c r="F1418" i="1"/>
  <c r="Z1417" i="1"/>
  <c r="V1417" i="1"/>
  <c r="Q1417" i="1"/>
  <c r="O1417" i="1"/>
  <c r="P1417" i="1" s="1"/>
  <c r="G1417" i="1"/>
  <c r="F1417" i="1"/>
  <c r="Z1416" i="1"/>
  <c r="V1416" i="1"/>
  <c r="Q1416" i="1"/>
  <c r="O1416" i="1"/>
  <c r="P1416" i="1" s="1"/>
  <c r="G1416" i="1"/>
  <c r="F1416" i="1"/>
  <c r="Z1415" i="1"/>
  <c r="V1415" i="1"/>
  <c r="Q1415" i="1"/>
  <c r="O1415" i="1"/>
  <c r="P1415" i="1" s="1"/>
  <c r="G1415" i="1"/>
  <c r="F1415" i="1"/>
  <c r="Z1414" i="1"/>
  <c r="V1414" i="1"/>
  <c r="Q1414" i="1"/>
  <c r="O1414" i="1"/>
  <c r="P1414" i="1" s="1"/>
  <c r="G1414" i="1"/>
  <c r="F1414" i="1"/>
  <c r="Z1413" i="1"/>
  <c r="V1413" i="1"/>
  <c r="Q1413" i="1"/>
  <c r="O1413" i="1"/>
  <c r="P1413" i="1" s="1"/>
  <c r="G1413" i="1"/>
  <c r="F1413" i="1"/>
  <c r="Z1412" i="1"/>
  <c r="V1412" i="1"/>
  <c r="Q1412" i="1"/>
  <c r="O1412" i="1"/>
  <c r="P1412" i="1" s="1"/>
  <c r="G1412" i="1"/>
  <c r="F1412" i="1"/>
  <c r="Z1411" i="1"/>
  <c r="V1411" i="1"/>
  <c r="Q1411" i="1"/>
  <c r="O1411" i="1"/>
  <c r="P1411" i="1" s="1"/>
  <c r="G1411" i="1"/>
  <c r="F1411" i="1"/>
  <c r="Z1410" i="1"/>
  <c r="V1410" i="1"/>
  <c r="Q1410" i="1"/>
  <c r="O1410" i="1"/>
  <c r="P1410" i="1" s="1"/>
  <c r="G1410" i="1"/>
  <c r="F1410" i="1"/>
  <c r="Z1409" i="1"/>
  <c r="V1409" i="1"/>
  <c r="Q1409" i="1"/>
  <c r="O1409" i="1"/>
  <c r="P1409" i="1" s="1"/>
  <c r="G1409" i="1"/>
  <c r="F1409" i="1"/>
  <c r="Z1408" i="1"/>
  <c r="V1408" i="1"/>
  <c r="Q1408" i="1"/>
  <c r="O1408" i="1"/>
  <c r="P1408" i="1" s="1"/>
  <c r="G1408" i="1"/>
  <c r="F1408" i="1"/>
  <c r="Z1407" i="1"/>
  <c r="V1407" i="1"/>
  <c r="Q1407" i="1"/>
  <c r="O1407" i="1"/>
  <c r="P1407" i="1" s="1"/>
  <c r="G1407" i="1"/>
  <c r="F1407" i="1"/>
  <c r="Z1406" i="1"/>
  <c r="V1406" i="1"/>
  <c r="Q1406" i="1"/>
  <c r="O1406" i="1"/>
  <c r="P1406" i="1" s="1"/>
  <c r="G1406" i="1"/>
  <c r="F1406" i="1"/>
  <c r="Z1405" i="1"/>
  <c r="V1405" i="1"/>
  <c r="Q1405" i="1"/>
  <c r="O1405" i="1"/>
  <c r="P1405" i="1" s="1"/>
  <c r="G1405" i="1"/>
  <c r="F1405" i="1"/>
  <c r="Z1404" i="1"/>
  <c r="V1404" i="1"/>
  <c r="Q1404" i="1"/>
  <c r="O1404" i="1"/>
  <c r="P1404" i="1" s="1"/>
  <c r="G1404" i="1"/>
  <c r="F1404" i="1"/>
  <c r="Z1403" i="1"/>
  <c r="V1403" i="1"/>
  <c r="Q1403" i="1"/>
  <c r="O1403" i="1"/>
  <c r="P1403" i="1" s="1"/>
  <c r="G1403" i="1"/>
  <c r="F1403" i="1"/>
  <c r="Z1402" i="1"/>
  <c r="V1402" i="1"/>
  <c r="Q1402" i="1"/>
  <c r="O1402" i="1"/>
  <c r="P1402" i="1" s="1"/>
  <c r="G1402" i="1"/>
  <c r="F1402" i="1"/>
  <c r="Z1401" i="1"/>
  <c r="V1401" i="1"/>
  <c r="Q1401" i="1"/>
  <c r="O1401" i="1"/>
  <c r="P1401" i="1" s="1"/>
  <c r="G1401" i="1"/>
  <c r="F1401" i="1"/>
  <c r="Z1400" i="1"/>
  <c r="V1400" i="1"/>
  <c r="Q1400" i="1"/>
  <c r="O1400" i="1"/>
  <c r="P1400" i="1" s="1"/>
  <c r="G1400" i="1"/>
  <c r="F1400" i="1"/>
  <c r="Z1399" i="1"/>
  <c r="V1399" i="1"/>
  <c r="Q1399" i="1"/>
  <c r="O1399" i="1"/>
  <c r="P1399" i="1" s="1"/>
  <c r="G1399" i="1"/>
  <c r="F1399" i="1"/>
  <c r="Z1398" i="1"/>
  <c r="V1398" i="1"/>
  <c r="Q1398" i="1"/>
  <c r="O1398" i="1"/>
  <c r="P1398" i="1" s="1"/>
  <c r="G1398" i="1"/>
  <c r="F1398" i="1"/>
  <c r="Z1397" i="1"/>
  <c r="V1397" i="1"/>
  <c r="Q1397" i="1"/>
  <c r="O1397" i="1"/>
  <c r="P1397" i="1" s="1"/>
  <c r="G1397" i="1"/>
  <c r="F1397" i="1"/>
  <c r="Z1396" i="1"/>
  <c r="V1396" i="1"/>
  <c r="Q1396" i="1"/>
  <c r="O1396" i="1"/>
  <c r="P1396" i="1" s="1"/>
  <c r="G1396" i="1"/>
  <c r="F1396" i="1"/>
  <c r="Z1395" i="1"/>
  <c r="V1395" i="1"/>
  <c r="Q1395" i="1"/>
  <c r="O1395" i="1"/>
  <c r="P1395" i="1" s="1"/>
  <c r="G1395" i="1"/>
  <c r="F1395" i="1"/>
  <c r="Z1394" i="1"/>
  <c r="V1394" i="1"/>
  <c r="Q1394" i="1"/>
  <c r="O1394" i="1"/>
  <c r="P1394" i="1" s="1"/>
  <c r="G1394" i="1"/>
  <c r="F1394" i="1"/>
  <c r="Z1393" i="1"/>
  <c r="V1393" i="1"/>
  <c r="Q1393" i="1"/>
  <c r="O1393" i="1"/>
  <c r="P1393" i="1" s="1"/>
  <c r="G1393" i="1"/>
  <c r="F1393" i="1"/>
  <c r="Z1392" i="1"/>
  <c r="V1392" i="1"/>
  <c r="Q1392" i="1"/>
  <c r="O1392" i="1"/>
  <c r="P1392" i="1" s="1"/>
  <c r="G1392" i="1"/>
  <c r="F1392" i="1"/>
  <c r="Z1391" i="1"/>
  <c r="V1391" i="1"/>
  <c r="Q1391" i="1"/>
  <c r="O1391" i="1"/>
  <c r="P1391" i="1" s="1"/>
  <c r="G1391" i="1"/>
  <c r="F1391" i="1"/>
  <c r="Z1390" i="1"/>
  <c r="V1390" i="1"/>
  <c r="Q1390" i="1"/>
  <c r="O1390" i="1"/>
  <c r="P1390" i="1" s="1"/>
  <c r="G1390" i="1"/>
  <c r="F1390" i="1"/>
  <c r="Z1389" i="1"/>
  <c r="V1389" i="1"/>
  <c r="Q1389" i="1"/>
  <c r="O1389" i="1"/>
  <c r="P1389" i="1" s="1"/>
  <c r="G1389" i="1"/>
  <c r="F1389" i="1"/>
  <c r="Z1388" i="1"/>
  <c r="V1388" i="1"/>
  <c r="Q1388" i="1"/>
  <c r="O1388" i="1"/>
  <c r="P1388" i="1" s="1"/>
  <c r="G1388" i="1"/>
  <c r="F1388" i="1"/>
  <c r="Z1387" i="1"/>
  <c r="V1387" i="1"/>
  <c r="Q1387" i="1"/>
  <c r="O1387" i="1"/>
  <c r="P1387" i="1" s="1"/>
  <c r="G1387" i="1"/>
  <c r="F1387" i="1"/>
  <c r="Z1386" i="1"/>
  <c r="V1386" i="1"/>
  <c r="Q1386" i="1"/>
  <c r="O1386" i="1"/>
  <c r="P1386" i="1" s="1"/>
  <c r="G1386" i="1"/>
  <c r="F1386" i="1"/>
  <c r="Z1385" i="1"/>
  <c r="V1385" i="1"/>
  <c r="Q1385" i="1"/>
  <c r="O1385" i="1"/>
  <c r="P1385" i="1" s="1"/>
  <c r="G1385" i="1"/>
  <c r="F1385" i="1"/>
  <c r="Z1384" i="1"/>
  <c r="V1384" i="1"/>
  <c r="Q1384" i="1"/>
  <c r="O1384" i="1"/>
  <c r="P1384" i="1" s="1"/>
  <c r="G1384" i="1"/>
  <c r="F1384" i="1"/>
  <c r="Z1383" i="1"/>
  <c r="V1383" i="1"/>
  <c r="Q1383" i="1"/>
  <c r="O1383" i="1"/>
  <c r="P1383" i="1" s="1"/>
  <c r="G1383" i="1"/>
  <c r="F1383" i="1"/>
  <c r="Z1382" i="1"/>
  <c r="V1382" i="1"/>
  <c r="Q1382" i="1"/>
  <c r="O1382" i="1"/>
  <c r="P1382" i="1" s="1"/>
  <c r="G1382" i="1"/>
  <c r="F1382" i="1"/>
  <c r="Z1381" i="1"/>
  <c r="V1381" i="1"/>
  <c r="Q1381" i="1"/>
  <c r="O1381" i="1"/>
  <c r="P1381" i="1" s="1"/>
  <c r="G1381" i="1"/>
  <c r="F1381" i="1"/>
  <c r="Z1380" i="1"/>
  <c r="V1380" i="1"/>
  <c r="Q1380" i="1"/>
  <c r="O1380" i="1"/>
  <c r="P1380" i="1" s="1"/>
  <c r="G1380" i="1"/>
  <c r="F1380" i="1"/>
  <c r="Z1379" i="1"/>
  <c r="V1379" i="1"/>
  <c r="Q1379" i="1"/>
  <c r="O1379" i="1"/>
  <c r="P1379" i="1" s="1"/>
  <c r="G1379" i="1"/>
  <c r="F1379" i="1"/>
  <c r="Z1378" i="1"/>
  <c r="V1378" i="1"/>
  <c r="Q1378" i="1"/>
  <c r="O1378" i="1"/>
  <c r="P1378" i="1" s="1"/>
  <c r="G1378" i="1"/>
  <c r="F1378" i="1"/>
  <c r="Z1377" i="1"/>
  <c r="V1377" i="1"/>
  <c r="Q1377" i="1"/>
  <c r="O1377" i="1"/>
  <c r="P1377" i="1" s="1"/>
  <c r="G1377" i="1"/>
  <c r="F1377" i="1"/>
  <c r="Z1376" i="1"/>
  <c r="V1376" i="1"/>
  <c r="Q1376" i="1"/>
  <c r="O1376" i="1"/>
  <c r="P1376" i="1" s="1"/>
  <c r="G1376" i="1"/>
  <c r="F1376" i="1"/>
  <c r="Z1375" i="1"/>
  <c r="V1375" i="1"/>
  <c r="Q1375" i="1"/>
  <c r="O1375" i="1"/>
  <c r="P1375" i="1" s="1"/>
  <c r="G1375" i="1"/>
  <c r="F1375" i="1"/>
  <c r="Z1374" i="1"/>
  <c r="V1374" i="1"/>
  <c r="Q1374" i="1"/>
  <c r="O1374" i="1"/>
  <c r="P1374" i="1" s="1"/>
  <c r="G1374" i="1"/>
  <c r="F1374" i="1"/>
  <c r="Z1373" i="1"/>
  <c r="V1373" i="1"/>
  <c r="Q1373" i="1"/>
  <c r="O1373" i="1"/>
  <c r="P1373" i="1" s="1"/>
  <c r="G1373" i="1"/>
  <c r="F1373" i="1"/>
  <c r="Z1372" i="1"/>
  <c r="V1372" i="1"/>
  <c r="Q1372" i="1"/>
  <c r="O1372" i="1"/>
  <c r="P1372" i="1" s="1"/>
  <c r="G1372" i="1"/>
  <c r="F1372" i="1"/>
  <c r="Z1371" i="1"/>
  <c r="V1371" i="1"/>
  <c r="Q1371" i="1"/>
  <c r="O1371" i="1"/>
  <c r="P1371" i="1" s="1"/>
  <c r="G1371" i="1"/>
  <c r="Z1370" i="1"/>
  <c r="V1370" i="1"/>
  <c r="Q1370" i="1"/>
  <c r="O1370" i="1"/>
  <c r="P1370" i="1" s="1"/>
  <c r="G1370" i="1"/>
  <c r="F1370" i="1"/>
  <c r="Z1369" i="1"/>
  <c r="V1369" i="1"/>
  <c r="Q1369" i="1"/>
  <c r="O1369" i="1"/>
  <c r="P1369" i="1" s="1"/>
  <c r="G1369" i="1"/>
  <c r="F1369" i="1"/>
  <c r="Z1368" i="1"/>
  <c r="V1368" i="1"/>
  <c r="Q1368" i="1"/>
  <c r="O1368" i="1"/>
  <c r="P1368" i="1" s="1"/>
  <c r="G1368" i="1"/>
  <c r="F1368" i="1"/>
  <c r="Z1367" i="1"/>
  <c r="V1367" i="1"/>
  <c r="Q1367" i="1"/>
  <c r="O1367" i="1"/>
  <c r="P1367" i="1" s="1"/>
  <c r="G1367" i="1"/>
  <c r="F1367" i="1"/>
  <c r="Z1366" i="1"/>
  <c r="V1366" i="1"/>
  <c r="Q1366" i="1"/>
  <c r="O1366" i="1"/>
  <c r="P1366" i="1" s="1"/>
  <c r="G1366" i="1"/>
  <c r="F1366" i="1"/>
  <c r="Z1365" i="1"/>
  <c r="V1365" i="1"/>
  <c r="Q1365" i="1"/>
  <c r="O1365" i="1"/>
  <c r="P1365" i="1" s="1"/>
  <c r="G1365" i="1"/>
  <c r="F1365" i="1"/>
  <c r="V1364" i="1"/>
  <c r="Q1364" i="1"/>
  <c r="Z1364" i="1" s="1"/>
  <c r="O1364" i="1"/>
  <c r="P1364" i="1" s="1"/>
  <c r="G1364" i="1"/>
  <c r="F1364" i="1"/>
  <c r="Z1363" i="1"/>
  <c r="V1363" i="1"/>
  <c r="Q1363" i="1"/>
  <c r="O1363" i="1"/>
  <c r="P1363" i="1" s="1"/>
  <c r="G1363" i="1"/>
  <c r="F1363" i="1"/>
  <c r="Z1362" i="1"/>
  <c r="V1362" i="1"/>
  <c r="Q1362" i="1"/>
  <c r="N1362" i="1"/>
  <c r="O1362" i="1" s="1"/>
  <c r="P1362" i="1" s="1"/>
  <c r="I1362" i="1"/>
  <c r="G1362" i="1"/>
  <c r="F1362" i="1"/>
  <c r="Z1361" i="1"/>
  <c r="V1361" i="1"/>
  <c r="Q1361" i="1"/>
  <c r="N1361" i="1"/>
  <c r="O1361" i="1" s="1"/>
  <c r="P1361" i="1" s="1"/>
  <c r="I1361" i="1"/>
  <c r="G1361" i="1"/>
  <c r="F1361" i="1"/>
  <c r="Z1360" i="1"/>
  <c r="V1360" i="1"/>
  <c r="Q1360" i="1"/>
  <c r="N1360" i="1"/>
  <c r="O1360" i="1" s="1"/>
  <c r="P1360" i="1" s="1"/>
  <c r="I1360" i="1"/>
  <c r="G1360" i="1"/>
  <c r="F1360" i="1"/>
  <c r="Z1359" i="1"/>
  <c r="V1359" i="1"/>
  <c r="Q1359" i="1"/>
  <c r="N1359" i="1"/>
  <c r="O1359" i="1" s="1"/>
  <c r="P1359" i="1" s="1"/>
  <c r="I1359" i="1"/>
  <c r="G1359" i="1"/>
  <c r="F1359" i="1"/>
  <c r="Z1358" i="1"/>
  <c r="V1358" i="1"/>
  <c r="Q1358" i="1"/>
  <c r="N1358" i="1"/>
  <c r="O1358" i="1" s="1"/>
  <c r="P1358" i="1" s="1"/>
  <c r="I1358" i="1"/>
  <c r="G1358" i="1"/>
  <c r="F1358" i="1"/>
  <c r="Z1357" i="1"/>
  <c r="V1357" i="1"/>
  <c r="Q1357" i="1"/>
  <c r="N1357" i="1"/>
  <c r="O1357" i="1" s="1"/>
  <c r="P1357" i="1" s="1"/>
  <c r="I1357" i="1"/>
  <c r="G1357" i="1"/>
  <c r="F1357" i="1"/>
  <c r="Z1356" i="1"/>
  <c r="V1356" i="1"/>
  <c r="Q1356" i="1"/>
  <c r="N1356" i="1"/>
  <c r="O1356" i="1" s="1"/>
  <c r="P1356" i="1" s="1"/>
  <c r="I1356" i="1"/>
  <c r="G1356" i="1"/>
  <c r="F1356" i="1"/>
  <c r="Z1355" i="1"/>
  <c r="V1355" i="1"/>
  <c r="Q1355" i="1"/>
  <c r="N1355" i="1"/>
  <c r="O1355" i="1" s="1"/>
  <c r="P1355" i="1" s="1"/>
  <c r="I1355" i="1"/>
  <c r="G1355" i="1"/>
  <c r="F1355" i="1"/>
  <c r="Z1354" i="1"/>
  <c r="V1354" i="1"/>
  <c r="Q1354" i="1"/>
  <c r="N1354" i="1"/>
  <c r="O1354" i="1" s="1"/>
  <c r="P1354" i="1" s="1"/>
  <c r="I1354" i="1"/>
  <c r="G1354" i="1"/>
  <c r="F1354" i="1"/>
  <c r="Z1353" i="1"/>
  <c r="V1353" i="1"/>
  <c r="Q1353" i="1"/>
  <c r="N1353" i="1"/>
  <c r="O1353" i="1" s="1"/>
  <c r="P1353" i="1" s="1"/>
  <c r="I1353" i="1"/>
  <c r="G1353" i="1"/>
  <c r="F1353" i="1"/>
  <c r="Z1352" i="1"/>
  <c r="V1352" i="1"/>
  <c r="Q1352" i="1"/>
  <c r="N1352" i="1"/>
  <c r="O1352" i="1" s="1"/>
  <c r="P1352" i="1" s="1"/>
  <c r="I1352" i="1"/>
  <c r="G1352" i="1"/>
  <c r="F1352" i="1"/>
  <c r="Z1351" i="1"/>
  <c r="V1351" i="1"/>
  <c r="Q1351" i="1"/>
  <c r="N1351" i="1"/>
  <c r="O1351" i="1" s="1"/>
  <c r="P1351" i="1" s="1"/>
  <c r="I1351" i="1"/>
  <c r="G1351" i="1"/>
  <c r="F1351" i="1"/>
  <c r="Z1350" i="1"/>
  <c r="V1350" i="1"/>
  <c r="Q1350" i="1"/>
  <c r="N1350" i="1"/>
  <c r="O1350" i="1" s="1"/>
  <c r="P1350" i="1" s="1"/>
  <c r="I1350" i="1"/>
  <c r="G1350" i="1"/>
  <c r="F1350" i="1"/>
  <c r="Z1349" i="1"/>
  <c r="V1349" i="1"/>
  <c r="Q1349" i="1"/>
  <c r="N1349" i="1"/>
  <c r="O1349" i="1" s="1"/>
  <c r="P1349" i="1" s="1"/>
  <c r="I1349" i="1"/>
  <c r="G1349" i="1"/>
  <c r="F1349" i="1"/>
  <c r="Z1348" i="1"/>
  <c r="V1348" i="1"/>
  <c r="Q1348" i="1"/>
  <c r="N1348" i="1"/>
  <c r="O1348" i="1" s="1"/>
  <c r="P1348" i="1" s="1"/>
  <c r="I1348" i="1"/>
  <c r="G1348" i="1"/>
  <c r="F1348" i="1"/>
  <c r="Z1347" i="1"/>
  <c r="V1347" i="1"/>
  <c r="Q1347" i="1"/>
  <c r="N1347" i="1"/>
  <c r="O1347" i="1" s="1"/>
  <c r="P1347" i="1" s="1"/>
  <c r="I1347" i="1"/>
  <c r="G1347" i="1"/>
  <c r="F1347" i="1"/>
  <c r="Z1346" i="1"/>
  <c r="V1346" i="1"/>
  <c r="Q1346" i="1"/>
  <c r="N1346" i="1"/>
  <c r="O1346" i="1" s="1"/>
  <c r="P1346" i="1" s="1"/>
  <c r="I1346" i="1"/>
  <c r="G1346" i="1"/>
  <c r="F1346" i="1"/>
  <c r="Z1345" i="1"/>
  <c r="V1345" i="1"/>
  <c r="Q1345" i="1"/>
  <c r="N1345" i="1"/>
  <c r="O1345" i="1" s="1"/>
  <c r="P1345" i="1" s="1"/>
  <c r="I1345" i="1"/>
  <c r="G1345" i="1"/>
  <c r="F1345" i="1"/>
  <c r="Z1344" i="1"/>
  <c r="V1344" i="1"/>
  <c r="Q1344" i="1"/>
  <c r="N1344" i="1"/>
  <c r="O1344" i="1" s="1"/>
  <c r="P1344" i="1" s="1"/>
  <c r="I1344" i="1"/>
  <c r="G1344" i="1"/>
  <c r="F1344" i="1"/>
  <c r="Z1343" i="1"/>
  <c r="V1343" i="1"/>
  <c r="Q1343" i="1"/>
  <c r="N1343" i="1"/>
  <c r="O1343" i="1" s="1"/>
  <c r="P1343" i="1" s="1"/>
  <c r="I1343" i="1"/>
  <c r="G1343" i="1"/>
  <c r="F1343" i="1"/>
  <c r="Z1342" i="1"/>
  <c r="V1342" i="1"/>
  <c r="Q1342" i="1"/>
  <c r="N1342" i="1"/>
  <c r="O1342" i="1" s="1"/>
  <c r="P1342" i="1" s="1"/>
  <c r="I1342" i="1"/>
  <c r="G1342" i="1"/>
  <c r="F1342" i="1"/>
  <c r="Z1341" i="1"/>
  <c r="V1341" i="1"/>
  <c r="Q1341" i="1"/>
  <c r="N1341" i="1"/>
  <c r="O1341" i="1" s="1"/>
  <c r="P1341" i="1" s="1"/>
  <c r="I1341" i="1"/>
  <c r="G1341" i="1"/>
  <c r="F1341" i="1"/>
  <c r="Z1340" i="1"/>
  <c r="V1340" i="1"/>
  <c r="Q1340" i="1"/>
  <c r="N1340" i="1"/>
  <c r="O1340" i="1" s="1"/>
  <c r="P1340" i="1" s="1"/>
  <c r="I1340" i="1"/>
  <c r="G1340" i="1"/>
  <c r="F1340" i="1"/>
  <c r="Z1339" i="1"/>
  <c r="V1339" i="1"/>
  <c r="Q1339" i="1"/>
  <c r="N1339" i="1"/>
  <c r="O1339" i="1" s="1"/>
  <c r="P1339" i="1" s="1"/>
  <c r="I1339" i="1"/>
  <c r="G1339" i="1"/>
  <c r="F1339" i="1"/>
  <c r="Z1338" i="1"/>
  <c r="V1338" i="1"/>
  <c r="Q1338" i="1"/>
  <c r="N1338" i="1"/>
  <c r="O1338" i="1" s="1"/>
  <c r="P1338" i="1" s="1"/>
  <c r="I1338" i="1"/>
  <c r="G1338" i="1"/>
  <c r="F1338" i="1"/>
  <c r="Z1337" i="1"/>
  <c r="V1337" i="1"/>
  <c r="Q1337" i="1"/>
  <c r="N1337" i="1"/>
  <c r="O1337" i="1" s="1"/>
  <c r="P1337" i="1" s="1"/>
  <c r="I1337" i="1"/>
  <c r="G1337" i="1"/>
  <c r="F1337" i="1"/>
  <c r="Z1336" i="1"/>
  <c r="V1336" i="1"/>
  <c r="Q1336" i="1"/>
  <c r="N1336" i="1"/>
  <c r="O1336" i="1" s="1"/>
  <c r="P1336" i="1" s="1"/>
  <c r="I1336" i="1"/>
  <c r="G1336" i="1"/>
  <c r="F1336" i="1"/>
  <c r="Z1335" i="1"/>
  <c r="V1335" i="1"/>
  <c r="Q1335" i="1"/>
  <c r="N1335" i="1"/>
  <c r="O1335" i="1" s="1"/>
  <c r="P1335" i="1" s="1"/>
  <c r="I1335" i="1"/>
  <c r="G1335" i="1"/>
  <c r="F1335" i="1"/>
  <c r="Z1334" i="1"/>
  <c r="V1334" i="1"/>
  <c r="Q1334" i="1"/>
  <c r="N1334" i="1"/>
  <c r="O1334" i="1" s="1"/>
  <c r="P1334" i="1" s="1"/>
  <c r="I1334" i="1"/>
  <c r="G1334" i="1"/>
  <c r="F1334" i="1"/>
  <c r="Z1333" i="1"/>
  <c r="V1333" i="1"/>
  <c r="Q1333" i="1"/>
  <c r="N1333" i="1"/>
  <c r="O1333" i="1" s="1"/>
  <c r="P1333" i="1" s="1"/>
  <c r="I1333" i="1"/>
  <c r="G1333" i="1"/>
  <c r="F1333" i="1"/>
  <c r="Z1332" i="1"/>
  <c r="V1332" i="1"/>
  <c r="Q1332" i="1"/>
  <c r="N1332" i="1"/>
  <c r="O1332" i="1" s="1"/>
  <c r="P1332" i="1" s="1"/>
  <c r="I1332" i="1"/>
  <c r="G1332" i="1"/>
  <c r="F1332" i="1"/>
  <c r="Z1331" i="1"/>
  <c r="V1331" i="1"/>
  <c r="Q1331" i="1"/>
  <c r="N1331" i="1"/>
  <c r="O1331" i="1" s="1"/>
  <c r="P1331" i="1" s="1"/>
  <c r="I1331" i="1"/>
  <c r="G1331" i="1"/>
  <c r="F1331" i="1"/>
  <c r="Z1330" i="1"/>
  <c r="V1330" i="1"/>
  <c r="Q1330" i="1"/>
  <c r="N1330" i="1"/>
  <c r="O1330" i="1" s="1"/>
  <c r="P1330" i="1" s="1"/>
  <c r="I1330" i="1"/>
  <c r="G1330" i="1"/>
  <c r="F1330" i="1"/>
  <c r="Z1329" i="1"/>
  <c r="V1329" i="1"/>
  <c r="Q1329" i="1"/>
  <c r="N1329" i="1"/>
  <c r="O1329" i="1" s="1"/>
  <c r="P1329" i="1" s="1"/>
  <c r="I1329" i="1"/>
  <c r="G1329" i="1"/>
  <c r="F1329" i="1"/>
  <c r="Z1328" i="1"/>
  <c r="V1328" i="1"/>
  <c r="Q1328" i="1"/>
  <c r="N1328" i="1"/>
  <c r="O1328" i="1" s="1"/>
  <c r="P1328" i="1" s="1"/>
  <c r="I1328" i="1"/>
  <c r="G1328" i="1"/>
  <c r="F1328" i="1"/>
  <c r="Z1327" i="1"/>
  <c r="V1327" i="1"/>
  <c r="Q1327" i="1"/>
  <c r="N1327" i="1"/>
  <c r="O1327" i="1" s="1"/>
  <c r="P1327" i="1" s="1"/>
  <c r="I1327" i="1"/>
  <c r="G1327" i="1"/>
  <c r="F1327" i="1"/>
  <c r="Z1326" i="1"/>
  <c r="V1326" i="1"/>
  <c r="Q1326" i="1"/>
  <c r="N1326" i="1"/>
  <c r="O1326" i="1" s="1"/>
  <c r="P1326" i="1" s="1"/>
  <c r="I1326" i="1"/>
  <c r="G1326" i="1"/>
  <c r="F1326" i="1"/>
  <c r="Z1325" i="1"/>
  <c r="V1325" i="1"/>
  <c r="Q1325" i="1"/>
  <c r="N1325" i="1"/>
  <c r="O1325" i="1" s="1"/>
  <c r="P1325" i="1" s="1"/>
  <c r="I1325" i="1"/>
  <c r="G1325" i="1"/>
  <c r="F1325" i="1"/>
  <c r="Z1324" i="1"/>
  <c r="V1324" i="1"/>
  <c r="Q1324" i="1"/>
  <c r="N1324" i="1"/>
  <c r="O1324" i="1" s="1"/>
  <c r="P1324" i="1" s="1"/>
  <c r="I1324" i="1"/>
  <c r="G1324" i="1"/>
  <c r="F1324" i="1"/>
  <c r="Z1323" i="1"/>
  <c r="V1323" i="1"/>
  <c r="Q1323" i="1"/>
  <c r="N1323" i="1"/>
  <c r="O1323" i="1" s="1"/>
  <c r="P1323" i="1" s="1"/>
  <c r="I1323" i="1"/>
  <c r="G1323" i="1"/>
  <c r="F1323" i="1"/>
  <c r="Z1322" i="1"/>
  <c r="V1322" i="1"/>
  <c r="Q1322" i="1"/>
  <c r="N1322" i="1"/>
  <c r="O1322" i="1" s="1"/>
  <c r="P1322" i="1" s="1"/>
  <c r="I1322" i="1"/>
  <c r="G1322" i="1"/>
  <c r="F1322" i="1"/>
  <c r="Z1321" i="1"/>
  <c r="V1321" i="1"/>
  <c r="Q1321" i="1"/>
  <c r="N1321" i="1"/>
  <c r="O1321" i="1" s="1"/>
  <c r="P1321" i="1" s="1"/>
  <c r="I1321" i="1"/>
  <c r="G1321" i="1"/>
  <c r="F1321" i="1"/>
  <c r="Z1320" i="1"/>
  <c r="V1320" i="1"/>
  <c r="Q1320" i="1"/>
  <c r="N1320" i="1"/>
  <c r="O1320" i="1" s="1"/>
  <c r="P1320" i="1" s="1"/>
  <c r="I1320" i="1"/>
  <c r="G1320" i="1"/>
  <c r="F1320" i="1"/>
  <c r="Z1319" i="1"/>
  <c r="V1319" i="1"/>
  <c r="Q1319" i="1"/>
  <c r="N1319" i="1"/>
  <c r="O1319" i="1" s="1"/>
  <c r="P1319" i="1" s="1"/>
  <c r="I1319" i="1"/>
  <c r="G1319" i="1"/>
  <c r="F1319" i="1"/>
  <c r="Z1318" i="1"/>
  <c r="V1318" i="1"/>
  <c r="Q1318" i="1"/>
  <c r="N1318" i="1"/>
  <c r="O1318" i="1" s="1"/>
  <c r="P1318" i="1" s="1"/>
  <c r="I1318" i="1"/>
  <c r="G1318" i="1"/>
  <c r="F1318" i="1"/>
  <c r="Z1317" i="1"/>
  <c r="V1317" i="1"/>
  <c r="Q1317" i="1"/>
  <c r="N1317" i="1"/>
  <c r="O1317" i="1" s="1"/>
  <c r="P1317" i="1" s="1"/>
  <c r="I1317" i="1"/>
  <c r="G1317" i="1"/>
  <c r="F1317" i="1"/>
  <c r="Z1316" i="1"/>
  <c r="V1316" i="1"/>
  <c r="Q1316" i="1"/>
  <c r="N1316" i="1"/>
  <c r="O1316" i="1" s="1"/>
  <c r="P1316" i="1" s="1"/>
  <c r="I1316" i="1"/>
  <c r="G1316" i="1"/>
  <c r="F1316" i="1"/>
  <c r="Z1315" i="1"/>
  <c r="V1315" i="1"/>
  <c r="Q1315" i="1"/>
  <c r="N1315" i="1"/>
  <c r="O1315" i="1" s="1"/>
  <c r="P1315" i="1" s="1"/>
  <c r="I1315" i="1"/>
  <c r="G1315" i="1"/>
  <c r="F1315" i="1"/>
  <c r="Z1314" i="1"/>
  <c r="V1314" i="1"/>
  <c r="Q1314" i="1"/>
  <c r="N1314" i="1"/>
  <c r="O1314" i="1" s="1"/>
  <c r="P1314" i="1" s="1"/>
  <c r="I1314" i="1"/>
  <c r="G1314" i="1"/>
  <c r="F1314" i="1"/>
  <c r="Z1313" i="1"/>
  <c r="V1313" i="1"/>
  <c r="Q1313" i="1"/>
  <c r="N1313" i="1"/>
  <c r="O1313" i="1" s="1"/>
  <c r="P1313" i="1" s="1"/>
  <c r="I1313" i="1"/>
  <c r="G1313" i="1"/>
  <c r="F1313" i="1"/>
  <c r="Z1312" i="1"/>
  <c r="V1312" i="1"/>
  <c r="Q1312" i="1"/>
  <c r="N1312" i="1"/>
  <c r="O1312" i="1" s="1"/>
  <c r="P1312" i="1" s="1"/>
  <c r="I1312" i="1"/>
  <c r="G1312" i="1"/>
  <c r="F1312" i="1"/>
  <c r="Z1311" i="1"/>
  <c r="V1311" i="1"/>
  <c r="Q1311" i="1"/>
  <c r="N1311" i="1"/>
  <c r="O1311" i="1" s="1"/>
  <c r="P1311" i="1" s="1"/>
  <c r="I1311" i="1"/>
  <c r="G1311" i="1"/>
  <c r="F1311" i="1"/>
  <c r="Z1310" i="1"/>
  <c r="V1310" i="1"/>
  <c r="Q1310" i="1"/>
  <c r="N1310" i="1"/>
  <c r="O1310" i="1" s="1"/>
  <c r="P1310" i="1" s="1"/>
  <c r="I1310" i="1"/>
  <c r="G1310" i="1"/>
  <c r="F1310" i="1"/>
  <c r="Z1309" i="1"/>
  <c r="V1309" i="1"/>
  <c r="Q1309" i="1"/>
  <c r="N1309" i="1"/>
  <c r="O1309" i="1" s="1"/>
  <c r="P1309" i="1" s="1"/>
  <c r="I1309" i="1"/>
  <c r="G1309" i="1"/>
  <c r="F1309" i="1"/>
  <c r="Z1308" i="1"/>
  <c r="V1308" i="1"/>
  <c r="Q1308" i="1"/>
  <c r="N1308" i="1"/>
  <c r="O1308" i="1" s="1"/>
  <c r="P1308" i="1" s="1"/>
  <c r="I1308" i="1"/>
  <c r="G1308" i="1"/>
  <c r="F1308" i="1"/>
  <c r="Z1307" i="1"/>
  <c r="V1307" i="1"/>
  <c r="Q1307" i="1"/>
  <c r="N1307" i="1"/>
  <c r="O1307" i="1" s="1"/>
  <c r="P1307" i="1" s="1"/>
  <c r="I1307" i="1"/>
  <c r="G1307" i="1"/>
  <c r="F1307" i="1"/>
  <c r="Z1306" i="1"/>
  <c r="V1306" i="1"/>
  <c r="Q1306" i="1"/>
  <c r="N1306" i="1"/>
  <c r="O1306" i="1" s="1"/>
  <c r="P1306" i="1" s="1"/>
  <c r="I1306" i="1"/>
  <c r="G1306" i="1"/>
  <c r="F1306" i="1"/>
  <c r="Z1305" i="1"/>
  <c r="V1305" i="1"/>
  <c r="Q1305" i="1"/>
  <c r="N1305" i="1"/>
  <c r="O1305" i="1" s="1"/>
  <c r="P1305" i="1" s="1"/>
  <c r="I1305" i="1"/>
  <c r="G1305" i="1"/>
  <c r="F1305" i="1"/>
  <c r="Z1304" i="1"/>
  <c r="V1304" i="1"/>
  <c r="Q1304" i="1"/>
  <c r="N1304" i="1"/>
  <c r="O1304" i="1" s="1"/>
  <c r="P1304" i="1" s="1"/>
  <c r="I1304" i="1"/>
  <c r="G1304" i="1"/>
  <c r="F1304" i="1"/>
  <c r="Z1303" i="1"/>
  <c r="V1303" i="1"/>
  <c r="Q1303" i="1"/>
  <c r="N1303" i="1"/>
  <c r="O1303" i="1" s="1"/>
  <c r="P1303" i="1" s="1"/>
  <c r="I1303" i="1"/>
  <c r="G1303" i="1"/>
  <c r="F1303" i="1"/>
  <c r="Z1302" i="1"/>
  <c r="V1302" i="1"/>
  <c r="Q1302" i="1"/>
  <c r="N1302" i="1"/>
  <c r="O1302" i="1" s="1"/>
  <c r="P1302" i="1" s="1"/>
  <c r="I1302" i="1"/>
  <c r="G1302" i="1"/>
  <c r="F1302" i="1"/>
  <c r="Z1301" i="1"/>
  <c r="V1301" i="1"/>
  <c r="Q1301" i="1"/>
  <c r="N1301" i="1"/>
  <c r="O1301" i="1" s="1"/>
  <c r="P1301" i="1" s="1"/>
  <c r="I1301" i="1"/>
  <c r="G1301" i="1"/>
  <c r="F1301" i="1"/>
  <c r="Z1300" i="1"/>
  <c r="V1300" i="1"/>
  <c r="Q1300" i="1"/>
  <c r="N1300" i="1"/>
  <c r="O1300" i="1" s="1"/>
  <c r="P1300" i="1" s="1"/>
  <c r="I1300" i="1"/>
  <c r="G1300" i="1"/>
  <c r="F1300" i="1"/>
  <c r="Z1299" i="1"/>
  <c r="V1299" i="1"/>
  <c r="Q1299" i="1"/>
  <c r="N1299" i="1"/>
  <c r="O1299" i="1" s="1"/>
  <c r="P1299" i="1" s="1"/>
  <c r="I1299" i="1"/>
  <c r="G1299" i="1"/>
  <c r="F1299" i="1"/>
  <c r="Z1298" i="1"/>
  <c r="V1298" i="1"/>
  <c r="Q1298" i="1"/>
  <c r="N1298" i="1"/>
  <c r="O1298" i="1" s="1"/>
  <c r="P1298" i="1" s="1"/>
  <c r="I1298" i="1"/>
  <c r="G1298" i="1"/>
  <c r="F1298" i="1"/>
  <c r="Z1297" i="1"/>
  <c r="V1297" i="1"/>
  <c r="Q1297" i="1"/>
  <c r="N1297" i="1"/>
  <c r="O1297" i="1" s="1"/>
  <c r="P1297" i="1" s="1"/>
  <c r="I1297" i="1"/>
  <c r="G1297" i="1"/>
  <c r="F1297" i="1"/>
  <c r="Z1296" i="1"/>
  <c r="V1296" i="1"/>
  <c r="Q1296" i="1"/>
  <c r="N1296" i="1"/>
  <c r="O1296" i="1" s="1"/>
  <c r="P1296" i="1" s="1"/>
  <c r="I1296" i="1"/>
  <c r="G1296" i="1"/>
  <c r="F1296" i="1"/>
  <c r="Z1295" i="1"/>
  <c r="V1295" i="1"/>
  <c r="Q1295" i="1"/>
  <c r="N1295" i="1"/>
  <c r="O1295" i="1" s="1"/>
  <c r="P1295" i="1" s="1"/>
  <c r="I1295" i="1"/>
  <c r="G1295" i="1"/>
  <c r="F1295" i="1"/>
  <c r="Z1294" i="1"/>
  <c r="V1294" i="1"/>
  <c r="Q1294" i="1"/>
  <c r="N1294" i="1"/>
  <c r="O1294" i="1" s="1"/>
  <c r="P1294" i="1" s="1"/>
  <c r="I1294" i="1"/>
  <c r="G1294" i="1"/>
  <c r="F1294" i="1"/>
  <c r="Z1293" i="1"/>
  <c r="V1293" i="1"/>
  <c r="Q1293" i="1"/>
  <c r="N1293" i="1"/>
  <c r="O1293" i="1" s="1"/>
  <c r="P1293" i="1" s="1"/>
  <c r="I1293" i="1"/>
  <c r="G1293" i="1"/>
  <c r="F1293" i="1"/>
  <c r="Z1292" i="1"/>
  <c r="V1292" i="1"/>
  <c r="Q1292" i="1"/>
  <c r="N1292" i="1"/>
  <c r="O1292" i="1" s="1"/>
  <c r="P1292" i="1" s="1"/>
  <c r="I1292" i="1"/>
  <c r="G1292" i="1"/>
  <c r="F1292" i="1"/>
  <c r="Z1291" i="1"/>
  <c r="V1291" i="1"/>
  <c r="Q1291" i="1"/>
  <c r="N1291" i="1"/>
  <c r="O1291" i="1" s="1"/>
  <c r="P1291" i="1" s="1"/>
  <c r="I1291" i="1"/>
  <c r="G1291" i="1"/>
  <c r="F1291" i="1"/>
  <c r="Z1290" i="1"/>
  <c r="V1290" i="1"/>
  <c r="Q1290" i="1"/>
  <c r="N1290" i="1"/>
  <c r="O1290" i="1" s="1"/>
  <c r="P1290" i="1" s="1"/>
  <c r="I1290" i="1"/>
  <c r="G1290" i="1"/>
  <c r="F1290" i="1"/>
  <c r="Z1289" i="1"/>
  <c r="V1289" i="1"/>
  <c r="Q1289" i="1"/>
  <c r="N1289" i="1"/>
  <c r="O1289" i="1" s="1"/>
  <c r="P1289" i="1" s="1"/>
  <c r="I1289" i="1"/>
  <c r="G1289" i="1"/>
  <c r="F1289" i="1"/>
  <c r="Z1288" i="1"/>
  <c r="V1288" i="1"/>
  <c r="Q1288" i="1"/>
  <c r="N1288" i="1"/>
  <c r="O1288" i="1" s="1"/>
  <c r="P1288" i="1" s="1"/>
  <c r="I1288" i="1"/>
  <c r="G1288" i="1"/>
  <c r="F1288" i="1"/>
  <c r="Z1287" i="1"/>
  <c r="V1287" i="1"/>
  <c r="Q1287" i="1"/>
  <c r="N1287" i="1"/>
  <c r="O1287" i="1" s="1"/>
  <c r="P1287" i="1" s="1"/>
  <c r="I1287" i="1"/>
  <c r="G1287" i="1"/>
  <c r="F1287" i="1"/>
  <c r="Z1286" i="1"/>
  <c r="V1286" i="1"/>
  <c r="Q1286" i="1"/>
  <c r="N1286" i="1"/>
  <c r="O1286" i="1" s="1"/>
  <c r="P1286" i="1" s="1"/>
  <c r="I1286" i="1"/>
  <c r="G1286" i="1"/>
  <c r="F1286" i="1"/>
  <c r="Z1285" i="1"/>
  <c r="V1285" i="1"/>
  <c r="Q1285" i="1"/>
  <c r="N1285" i="1"/>
  <c r="O1285" i="1" s="1"/>
  <c r="P1285" i="1" s="1"/>
  <c r="I1285" i="1"/>
  <c r="G1285" i="1"/>
  <c r="F1285" i="1"/>
  <c r="Z1284" i="1"/>
  <c r="V1284" i="1"/>
  <c r="Q1284" i="1"/>
  <c r="N1284" i="1"/>
  <c r="O1284" i="1" s="1"/>
  <c r="P1284" i="1" s="1"/>
  <c r="I1284" i="1"/>
  <c r="G1284" i="1"/>
  <c r="F1284" i="1"/>
  <c r="Z1283" i="1"/>
  <c r="V1283" i="1"/>
  <c r="Q1283" i="1"/>
  <c r="N1283" i="1"/>
  <c r="O1283" i="1" s="1"/>
  <c r="P1283" i="1" s="1"/>
  <c r="I1283" i="1"/>
  <c r="G1283" i="1"/>
  <c r="F1283" i="1"/>
  <c r="Z1282" i="1"/>
  <c r="V1282" i="1"/>
  <c r="Q1282" i="1"/>
  <c r="N1282" i="1"/>
  <c r="O1282" i="1" s="1"/>
  <c r="P1282" i="1" s="1"/>
  <c r="I1282" i="1"/>
  <c r="G1282" i="1"/>
  <c r="F1282" i="1"/>
  <c r="Z1281" i="1"/>
  <c r="V1281" i="1"/>
  <c r="Q1281" i="1"/>
  <c r="N1281" i="1"/>
  <c r="O1281" i="1" s="1"/>
  <c r="P1281" i="1" s="1"/>
  <c r="I1281" i="1"/>
  <c r="G1281" i="1"/>
  <c r="F1281" i="1"/>
  <c r="Z1280" i="1"/>
  <c r="V1280" i="1"/>
  <c r="Q1280" i="1"/>
  <c r="N1280" i="1"/>
  <c r="O1280" i="1" s="1"/>
  <c r="P1280" i="1" s="1"/>
  <c r="I1280" i="1"/>
  <c r="G1280" i="1"/>
  <c r="F1280" i="1"/>
  <c r="Z1279" i="1"/>
  <c r="V1279" i="1"/>
  <c r="Q1279" i="1"/>
  <c r="N1279" i="1"/>
  <c r="O1279" i="1" s="1"/>
  <c r="P1279" i="1" s="1"/>
  <c r="I1279" i="1"/>
  <c r="G1279" i="1"/>
  <c r="F1279" i="1"/>
  <c r="Z1278" i="1"/>
  <c r="V1278" i="1"/>
  <c r="Q1278" i="1"/>
  <c r="N1278" i="1"/>
  <c r="O1278" i="1" s="1"/>
  <c r="P1278" i="1" s="1"/>
  <c r="I1278" i="1"/>
  <c r="G1278" i="1"/>
  <c r="F1278" i="1"/>
  <c r="Z1277" i="1"/>
  <c r="V1277" i="1"/>
  <c r="Q1277" i="1"/>
  <c r="N1277" i="1"/>
  <c r="O1277" i="1" s="1"/>
  <c r="P1277" i="1" s="1"/>
  <c r="I1277" i="1"/>
  <c r="G1277" i="1"/>
  <c r="F1277" i="1"/>
  <c r="Z1276" i="1"/>
  <c r="V1276" i="1"/>
  <c r="Q1276" i="1"/>
  <c r="N1276" i="1"/>
  <c r="O1276" i="1" s="1"/>
  <c r="P1276" i="1" s="1"/>
  <c r="I1276" i="1"/>
  <c r="G1276" i="1"/>
  <c r="F1276" i="1"/>
  <c r="Z1275" i="1"/>
  <c r="V1275" i="1"/>
  <c r="Q1275" i="1"/>
  <c r="N1275" i="1"/>
  <c r="O1275" i="1" s="1"/>
  <c r="P1275" i="1" s="1"/>
  <c r="I1275" i="1"/>
  <c r="G1275" i="1"/>
  <c r="F1275" i="1"/>
  <c r="Z1274" i="1"/>
  <c r="V1274" i="1"/>
  <c r="Q1274" i="1"/>
  <c r="N1274" i="1"/>
  <c r="O1274" i="1" s="1"/>
  <c r="P1274" i="1" s="1"/>
  <c r="I1274" i="1"/>
  <c r="G1274" i="1"/>
  <c r="F1274" i="1"/>
  <c r="Z1273" i="1"/>
  <c r="V1273" i="1"/>
  <c r="Q1273" i="1"/>
  <c r="N1273" i="1"/>
  <c r="O1273" i="1" s="1"/>
  <c r="P1273" i="1" s="1"/>
  <c r="I1273" i="1"/>
  <c r="G1273" i="1"/>
  <c r="F1273" i="1"/>
  <c r="Z1272" i="1"/>
  <c r="V1272" i="1"/>
  <c r="Q1272" i="1"/>
  <c r="N1272" i="1"/>
  <c r="O1272" i="1" s="1"/>
  <c r="P1272" i="1" s="1"/>
  <c r="I1272" i="1"/>
  <c r="G1272" i="1"/>
  <c r="F1272" i="1"/>
  <c r="Z1271" i="1"/>
  <c r="V1271" i="1"/>
  <c r="Q1271" i="1"/>
  <c r="N1271" i="1"/>
  <c r="O1271" i="1" s="1"/>
  <c r="P1271" i="1" s="1"/>
  <c r="I1271" i="1"/>
  <c r="G1271" i="1"/>
  <c r="F1271" i="1"/>
  <c r="Z1270" i="1"/>
  <c r="V1270" i="1"/>
  <c r="Q1270" i="1"/>
  <c r="N1270" i="1"/>
  <c r="O1270" i="1" s="1"/>
  <c r="P1270" i="1" s="1"/>
  <c r="I1270" i="1"/>
  <c r="G1270" i="1"/>
  <c r="F1270" i="1"/>
  <c r="Z1269" i="1"/>
  <c r="V1269" i="1"/>
  <c r="Q1269" i="1"/>
  <c r="N1269" i="1"/>
  <c r="O1269" i="1" s="1"/>
  <c r="P1269" i="1" s="1"/>
  <c r="I1269" i="1"/>
  <c r="G1269" i="1"/>
  <c r="F1269" i="1"/>
  <c r="Z1268" i="1"/>
  <c r="V1268" i="1"/>
  <c r="Q1268" i="1"/>
  <c r="N1268" i="1"/>
  <c r="O1268" i="1" s="1"/>
  <c r="P1268" i="1" s="1"/>
  <c r="I1268" i="1"/>
  <c r="G1268" i="1"/>
  <c r="F1268" i="1"/>
  <c r="Z1267" i="1"/>
  <c r="V1267" i="1"/>
  <c r="Q1267" i="1"/>
  <c r="N1267" i="1"/>
  <c r="O1267" i="1" s="1"/>
  <c r="P1267" i="1" s="1"/>
  <c r="I1267" i="1"/>
  <c r="G1267" i="1"/>
  <c r="F1267" i="1"/>
  <c r="Z1266" i="1"/>
  <c r="V1266" i="1"/>
  <c r="Q1266" i="1"/>
  <c r="N1266" i="1"/>
  <c r="O1266" i="1" s="1"/>
  <c r="P1266" i="1" s="1"/>
  <c r="I1266" i="1"/>
  <c r="G1266" i="1"/>
  <c r="F1266" i="1"/>
  <c r="Z1265" i="1"/>
  <c r="V1265" i="1"/>
  <c r="Q1265" i="1"/>
  <c r="N1265" i="1"/>
  <c r="O1265" i="1" s="1"/>
  <c r="P1265" i="1" s="1"/>
  <c r="I1265" i="1"/>
  <c r="G1265" i="1"/>
  <c r="F1265" i="1"/>
  <c r="Z1264" i="1"/>
  <c r="V1264" i="1"/>
  <c r="Q1264" i="1"/>
  <c r="N1264" i="1"/>
  <c r="O1264" i="1" s="1"/>
  <c r="P1264" i="1" s="1"/>
  <c r="I1264" i="1"/>
  <c r="G1264" i="1"/>
  <c r="F1264" i="1"/>
  <c r="Z1263" i="1"/>
  <c r="V1263" i="1"/>
  <c r="Q1263" i="1"/>
  <c r="N1263" i="1"/>
  <c r="O1263" i="1" s="1"/>
  <c r="P1263" i="1" s="1"/>
  <c r="I1263" i="1"/>
  <c r="G1263" i="1"/>
  <c r="F1263" i="1"/>
  <c r="Z1262" i="1"/>
  <c r="V1262" i="1"/>
  <c r="Q1262" i="1"/>
  <c r="N1262" i="1"/>
  <c r="O1262" i="1" s="1"/>
  <c r="P1262" i="1" s="1"/>
  <c r="I1262" i="1"/>
  <c r="G1262" i="1"/>
  <c r="F1262" i="1"/>
  <c r="Z1261" i="1"/>
  <c r="V1261" i="1"/>
  <c r="Q1261" i="1"/>
  <c r="N1261" i="1"/>
  <c r="O1261" i="1" s="1"/>
  <c r="P1261" i="1" s="1"/>
  <c r="I1261" i="1"/>
  <c r="G1261" i="1"/>
  <c r="F1261" i="1"/>
  <c r="Z1260" i="1"/>
  <c r="V1260" i="1"/>
  <c r="Q1260" i="1"/>
  <c r="N1260" i="1"/>
  <c r="O1260" i="1" s="1"/>
  <c r="P1260" i="1" s="1"/>
  <c r="I1260" i="1"/>
  <c r="G1260" i="1"/>
  <c r="F1260" i="1"/>
  <c r="Z1259" i="1"/>
  <c r="V1259" i="1"/>
  <c r="Q1259" i="1"/>
  <c r="N1259" i="1"/>
  <c r="O1259" i="1" s="1"/>
  <c r="P1259" i="1" s="1"/>
  <c r="I1259" i="1"/>
  <c r="G1259" i="1"/>
  <c r="F1259" i="1"/>
  <c r="Z1258" i="1"/>
  <c r="V1258" i="1"/>
  <c r="Q1258" i="1"/>
  <c r="N1258" i="1"/>
  <c r="O1258" i="1" s="1"/>
  <c r="P1258" i="1" s="1"/>
  <c r="I1258" i="1"/>
  <c r="G1258" i="1"/>
  <c r="F1258" i="1"/>
  <c r="Z1257" i="1"/>
  <c r="V1257" i="1"/>
  <c r="Q1257" i="1"/>
  <c r="N1257" i="1"/>
  <c r="O1257" i="1" s="1"/>
  <c r="P1257" i="1" s="1"/>
  <c r="I1257" i="1"/>
  <c r="G1257" i="1"/>
  <c r="F1257" i="1"/>
  <c r="Z1256" i="1"/>
  <c r="V1256" i="1"/>
  <c r="Q1256" i="1"/>
  <c r="N1256" i="1"/>
  <c r="O1256" i="1" s="1"/>
  <c r="P1256" i="1" s="1"/>
  <c r="I1256" i="1"/>
  <c r="G1256" i="1"/>
  <c r="F1256" i="1"/>
  <c r="Z1255" i="1"/>
  <c r="V1255" i="1"/>
  <c r="Q1255" i="1"/>
  <c r="N1255" i="1"/>
  <c r="O1255" i="1" s="1"/>
  <c r="P1255" i="1" s="1"/>
  <c r="I1255" i="1"/>
  <c r="G1255" i="1"/>
  <c r="F1255" i="1"/>
  <c r="Z1254" i="1"/>
  <c r="V1254" i="1"/>
  <c r="Q1254" i="1"/>
  <c r="N1254" i="1"/>
  <c r="O1254" i="1" s="1"/>
  <c r="P1254" i="1" s="1"/>
  <c r="I1254" i="1"/>
  <c r="G1254" i="1"/>
  <c r="F1254" i="1"/>
  <c r="Z1253" i="1"/>
  <c r="V1253" i="1"/>
  <c r="Q1253" i="1"/>
  <c r="N1253" i="1"/>
  <c r="O1253" i="1" s="1"/>
  <c r="P1253" i="1" s="1"/>
  <c r="I1253" i="1"/>
  <c r="G1253" i="1"/>
  <c r="F1253" i="1"/>
  <c r="Z1252" i="1"/>
  <c r="V1252" i="1"/>
  <c r="Q1252" i="1"/>
  <c r="O1252" i="1"/>
  <c r="P1252" i="1" s="1"/>
  <c r="G1252" i="1"/>
  <c r="F1252" i="1"/>
  <c r="V1251" i="1"/>
  <c r="Q1251" i="1"/>
  <c r="Z1251" i="1" s="1"/>
  <c r="N1251" i="1"/>
  <c r="O1251" i="1" s="1"/>
  <c r="P1251" i="1" s="1"/>
  <c r="I1251" i="1"/>
  <c r="G1251" i="1"/>
  <c r="F1251" i="1"/>
  <c r="V1250" i="1"/>
  <c r="Q1250" i="1"/>
  <c r="Z1250" i="1" s="1"/>
  <c r="N1250" i="1"/>
  <c r="O1250" i="1" s="1"/>
  <c r="P1250" i="1" s="1"/>
  <c r="I1250" i="1"/>
  <c r="G1250" i="1"/>
  <c r="F1250" i="1"/>
  <c r="V1249" i="1"/>
  <c r="Q1249" i="1"/>
  <c r="Z1249" i="1" s="1"/>
  <c r="N1249" i="1"/>
  <c r="O1249" i="1" s="1"/>
  <c r="P1249" i="1" s="1"/>
  <c r="I1249" i="1"/>
  <c r="G1249" i="1"/>
  <c r="F1249" i="1"/>
  <c r="V1248" i="1"/>
  <c r="Q1248" i="1"/>
  <c r="Z1248" i="1" s="1"/>
  <c r="N1248" i="1"/>
  <c r="O1248" i="1" s="1"/>
  <c r="P1248" i="1" s="1"/>
  <c r="I1248" i="1"/>
  <c r="G1248" i="1"/>
  <c r="F1248" i="1"/>
  <c r="V1247" i="1"/>
  <c r="Q1247" i="1"/>
  <c r="Z1247" i="1" s="1"/>
  <c r="N1247" i="1"/>
  <c r="O1247" i="1" s="1"/>
  <c r="P1247" i="1" s="1"/>
  <c r="G1247" i="1"/>
  <c r="F1247" i="1"/>
  <c r="V1246" i="1"/>
  <c r="Q1246" i="1"/>
  <c r="Z1246" i="1" s="1"/>
  <c r="N1246" i="1"/>
  <c r="O1246" i="1" s="1"/>
  <c r="P1246" i="1" s="1"/>
  <c r="G1246" i="1"/>
  <c r="F1246" i="1"/>
  <c r="V1245" i="1"/>
  <c r="Q1245" i="1"/>
  <c r="Z1245" i="1" s="1"/>
  <c r="N1245" i="1"/>
  <c r="O1245" i="1" s="1"/>
  <c r="P1245" i="1" s="1"/>
  <c r="G1245" i="1"/>
  <c r="F1245" i="1"/>
  <c r="V1244" i="1"/>
  <c r="Q1244" i="1"/>
  <c r="Z1244" i="1" s="1"/>
  <c r="N1244" i="1"/>
  <c r="O1244" i="1" s="1"/>
  <c r="P1244" i="1" s="1"/>
  <c r="G1244" i="1"/>
  <c r="F1244" i="1"/>
  <c r="V1243" i="1"/>
  <c r="Q1243" i="1"/>
  <c r="Z1243" i="1" s="1"/>
  <c r="N1243" i="1"/>
  <c r="O1243" i="1" s="1"/>
  <c r="P1243" i="1" s="1"/>
  <c r="V1242" i="1"/>
  <c r="Q1242" i="1"/>
  <c r="Z1242" i="1" s="1"/>
  <c r="N1242" i="1"/>
  <c r="O1242" i="1" s="1"/>
  <c r="P1242" i="1" s="1"/>
  <c r="G1242" i="1"/>
  <c r="F1242" i="1"/>
  <c r="V1241" i="1"/>
  <c r="Q1241" i="1"/>
  <c r="Z1241" i="1" s="1"/>
  <c r="N1241" i="1"/>
  <c r="O1241" i="1" s="1"/>
  <c r="P1241" i="1" s="1"/>
  <c r="I1241" i="1"/>
  <c r="G1241" i="1"/>
  <c r="F1241" i="1"/>
  <c r="V1240" i="1"/>
  <c r="Q1240" i="1"/>
  <c r="Z1240" i="1" s="1"/>
  <c r="N1240" i="1"/>
  <c r="O1240" i="1" s="1"/>
  <c r="P1240" i="1" s="1"/>
  <c r="I1240" i="1"/>
  <c r="G1240" i="1"/>
  <c r="F1240" i="1"/>
  <c r="V1239" i="1"/>
  <c r="Q1239" i="1"/>
  <c r="Z1239" i="1" s="1"/>
  <c r="N1239" i="1"/>
  <c r="O1239" i="1" s="1"/>
  <c r="P1239" i="1" s="1"/>
  <c r="I1239" i="1"/>
  <c r="G1239" i="1"/>
  <c r="F1239" i="1"/>
  <c r="V1238" i="1"/>
  <c r="Q1238" i="1"/>
  <c r="Z1238" i="1" s="1"/>
  <c r="N1238" i="1"/>
  <c r="O1238" i="1" s="1"/>
  <c r="P1238" i="1" s="1"/>
  <c r="I1238" i="1"/>
  <c r="G1238" i="1"/>
  <c r="F1238" i="1"/>
  <c r="V1237" i="1"/>
  <c r="Q1237" i="1"/>
  <c r="Z1237" i="1" s="1"/>
  <c r="N1237" i="1"/>
  <c r="O1237" i="1" s="1"/>
  <c r="P1237" i="1" s="1"/>
  <c r="I1237" i="1"/>
  <c r="G1237" i="1"/>
  <c r="F1237" i="1"/>
  <c r="Z1236" i="1"/>
  <c r="V1236" i="1"/>
  <c r="Q1236" i="1"/>
  <c r="O1236" i="1"/>
  <c r="P1236" i="1" s="1"/>
  <c r="G1236" i="1"/>
  <c r="F1236" i="1"/>
  <c r="Z1235" i="1"/>
  <c r="V1235" i="1"/>
  <c r="Q1235" i="1"/>
  <c r="O1235" i="1"/>
  <c r="P1235" i="1" s="1"/>
  <c r="G1235" i="1"/>
  <c r="F1235" i="1"/>
  <c r="Z1234" i="1"/>
  <c r="V1234" i="1"/>
  <c r="Q1234" i="1"/>
  <c r="O1234" i="1"/>
  <c r="P1234" i="1" s="1"/>
  <c r="G1234" i="1"/>
  <c r="F1234" i="1"/>
  <c r="Z1233" i="1"/>
  <c r="V1233" i="1"/>
  <c r="Q1233" i="1"/>
  <c r="N1233" i="1"/>
  <c r="O1233" i="1" s="1"/>
  <c r="P1233" i="1" s="1"/>
  <c r="G1233" i="1"/>
  <c r="F1233" i="1"/>
  <c r="V1232" i="1"/>
  <c r="Q1232" i="1"/>
  <c r="Z1232" i="1" s="1"/>
  <c r="N1232" i="1"/>
  <c r="O1232" i="1" s="1"/>
  <c r="P1232" i="1" s="1"/>
  <c r="I1232" i="1"/>
  <c r="G1232" i="1"/>
  <c r="F1232" i="1"/>
  <c r="V1231" i="1"/>
  <c r="Q1231" i="1"/>
  <c r="Z1231" i="1" s="1"/>
  <c r="I1231" i="1"/>
  <c r="G1231" i="1"/>
  <c r="F1231" i="1"/>
  <c r="V1230" i="1"/>
  <c r="Q1230" i="1"/>
  <c r="Z1230" i="1" s="1"/>
  <c r="I1230" i="1"/>
  <c r="G1230" i="1"/>
  <c r="F1230" i="1"/>
  <c r="V1229" i="1"/>
  <c r="Q1229" i="1"/>
  <c r="Z1229" i="1" s="1"/>
  <c r="N1229" i="1"/>
  <c r="O1229" i="1" s="1"/>
  <c r="P1229" i="1" s="1"/>
  <c r="I1229" i="1"/>
  <c r="G1229" i="1"/>
  <c r="F1229" i="1"/>
  <c r="Z1228" i="1"/>
  <c r="V1228" i="1"/>
  <c r="Q1228" i="1"/>
  <c r="O1228" i="1"/>
  <c r="P1228" i="1" s="1"/>
  <c r="I1228" i="1"/>
  <c r="G1228" i="1"/>
  <c r="F1228" i="1"/>
  <c r="V1227" i="1"/>
  <c r="Q1227" i="1"/>
  <c r="Z1227" i="1" s="1"/>
  <c r="O1227" i="1"/>
  <c r="P1227" i="1" s="1"/>
  <c r="I1227" i="1"/>
  <c r="G1227" i="1"/>
  <c r="F1227" i="1"/>
  <c r="Z1226" i="1"/>
  <c r="V1226" i="1"/>
  <c r="Q1226" i="1"/>
  <c r="O1226" i="1"/>
  <c r="P1226" i="1" s="1"/>
  <c r="I1226" i="1"/>
  <c r="G1226" i="1"/>
  <c r="F1226" i="1"/>
  <c r="Z1225" i="1"/>
  <c r="W1225" i="1"/>
  <c r="V1225" i="1"/>
  <c r="O1225" i="1"/>
  <c r="P1225" i="1" s="1"/>
  <c r="I1225" i="1"/>
  <c r="G1225" i="1"/>
  <c r="F1225" i="1"/>
  <c r="V1224" i="1"/>
  <c r="Q1224" i="1"/>
  <c r="Z1224" i="1" s="1"/>
  <c r="O1224" i="1"/>
  <c r="P1224" i="1" s="1"/>
  <c r="I1224" i="1"/>
  <c r="G1224" i="1"/>
  <c r="F1224" i="1"/>
  <c r="Z1223" i="1"/>
  <c r="V1223" i="1"/>
  <c r="Q1223" i="1"/>
  <c r="O1223" i="1"/>
  <c r="P1223" i="1" s="1"/>
  <c r="G1223" i="1"/>
  <c r="F1223" i="1"/>
  <c r="Z1222" i="1"/>
  <c r="V1222" i="1"/>
  <c r="Q1222" i="1"/>
  <c r="O1222" i="1"/>
  <c r="P1222" i="1" s="1"/>
  <c r="G1222" i="1"/>
  <c r="F1222" i="1"/>
  <c r="Z1221" i="1"/>
  <c r="V1221" i="1"/>
  <c r="Q1221" i="1"/>
  <c r="O1221" i="1"/>
  <c r="P1221" i="1" s="1"/>
  <c r="G1221" i="1"/>
  <c r="F1221" i="1"/>
  <c r="Z1220" i="1"/>
  <c r="V1220" i="1"/>
  <c r="Q1220" i="1"/>
  <c r="O1220" i="1"/>
  <c r="P1220" i="1" s="1"/>
  <c r="G1220" i="1"/>
  <c r="F1220" i="1"/>
  <c r="Z1219" i="1"/>
  <c r="V1219" i="1"/>
  <c r="Q1219" i="1"/>
  <c r="O1219" i="1"/>
  <c r="P1219" i="1" s="1"/>
  <c r="G1219" i="1"/>
  <c r="F1219" i="1"/>
  <c r="Z1218" i="1"/>
  <c r="V1218" i="1"/>
  <c r="Q1218" i="1"/>
  <c r="O1218" i="1"/>
  <c r="P1218" i="1" s="1"/>
  <c r="G1218" i="1"/>
  <c r="F1218" i="1"/>
  <c r="V1217" i="1"/>
  <c r="Q1217" i="1"/>
  <c r="Z1217" i="1" s="1"/>
  <c r="O1217" i="1"/>
  <c r="P1217" i="1" s="1"/>
  <c r="G1217" i="1"/>
  <c r="F1217" i="1"/>
  <c r="Z1216" i="1"/>
  <c r="V1216" i="1"/>
  <c r="Q1216" i="1"/>
  <c r="O1216" i="1"/>
  <c r="P1216" i="1" s="1"/>
  <c r="I1216" i="1"/>
  <c r="G1216" i="1"/>
  <c r="F1216" i="1"/>
  <c r="Z1215" i="1"/>
  <c r="V1215" i="1"/>
  <c r="Q1215" i="1"/>
  <c r="O1215" i="1"/>
  <c r="P1215" i="1" s="1"/>
  <c r="I1215" i="1"/>
  <c r="G1215" i="1"/>
  <c r="F1215" i="1"/>
  <c r="Z1214" i="1"/>
  <c r="V1214" i="1"/>
  <c r="Q1214" i="1"/>
  <c r="O1214" i="1"/>
  <c r="P1214" i="1" s="1"/>
  <c r="G1214" i="1"/>
  <c r="F1214" i="1"/>
  <c r="Z1213" i="1"/>
  <c r="V1213" i="1"/>
  <c r="Q1213" i="1"/>
  <c r="O1213" i="1"/>
  <c r="P1213" i="1" s="1"/>
  <c r="G1213" i="1"/>
  <c r="F1213" i="1"/>
  <c r="Z1212" i="1"/>
  <c r="V1212" i="1"/>
  <c r="Q1212" i="1"/>
  <c r="O1212" i="1"/>
  <c r="P1212" i="1" s="1"/>
  <c r="I1212" i="1"/>
  <c r="G1212" i="1"/>
  <c r="F1212" i="1"/>
  <c r="Z1211" i="1"/>
  <c r="V1211" i="1"/>
  <c r="Q1211" i="1"/>
  <c r="O1211" i="1"/>
  <c r="P1211" i="1" s="1"/>
  <c r="I1211" i="1"/>
  <c r="G1211" i="1"/>
  <c r="F1211" i="1"/>
  <c r="Z1210" i="1"/>
  <c r="V1210" i="1"/>
  <c r="Q1210" i="1"/>
  <c r="O1210" i="1"/>
  <c r="P1210" i="1" s="1"/>
  <c r="I1210" i="1"/>
  <c r="G1210" i="1"/>
  <c r="F1210" i="1"/>
  <c r="Z1209" i="1"/>
  <c r="V1209" i="1"/>
  <c r="Q1209" i="1"/>
  <c r="O1209" i="1"/>
  <c r="P1209" i="1" s="1"/>
  <c r="I1209" i="1"/>
  <c r="G1209" i="1"/>
  <c r="F1209" i="1"/>
  <c r="Z1208" i="1"/>
  <c r="V1208" i="1"/>
  <c r="Q1208" i="1"/>
  <c r="O1208" i="1"/>
  <c r="P1208" i="1" s="1"/>
  <c r="G1208" i="1"/>
  <c r="F1208" i="1"/>
  <c r="Z1207" i="1"/>
  <c r="V1207" i="1"/>
  <c r="Q1207" i="1"/>
  <c r="O1207" i="1"/>
  <c r="P1207" i="1" s="1"/>
  <c r="I1207" i="1"/>
  <c r="G1207" i="1"/>
  <c r="F1207" i="1"/>
  <c r="Z1206" i="1"/>
  <c r="V1206" i="1"/>
  <c r="Q1206" i="1"/>
  <c r="O1206" i="1"/>
  <c r="P1206" i="1" s="1"/>
  <c r="I1206" i="1"/>
  <c r="Q1205" i="1"/>
  <c r="Q1204" i="1"/>
  <c r="Q1203" i="1"/>
  <c r="Q1202" i="1"/>
  <c r="Q1201" i="1"/>
  <c r="Q1199" i="1"/>
  <c r="Q1198" i="1"/>
  <c r="Q1197" i="1"/>
  <c r="Q1196" i="1"/>
  <c r="Q1195" i="1"/>
  <c r="Q1194" i="1"/>
  <c r="W1193" i="1"/>
  <c r="W1192" i="1"/>
  <c r="Q1191" i="1"/>
  <c r="Q1190" i="1"/>
  <c r="Q1189" i="1"/>
  <c r="Q1188" i="1"/>
  <c r="Q1187" i="1"/>
  <c r="Q1186" i="1"/>
  <c r="Q1185" i="1"/>
  <c r="Q1184" i="1"/>
  <c r="Q1182" i="1"/>
  <c r="Q1181" i="1"/>
  <c r="Q1178" i="1"/>
  <c r="Q1177" i="1"/>
  <c r="Q1176" i="1"/>
  <c r="Q1175" i="1"/>
  <c r="Q1174" i="1"/>
  <c r="Q1173" i="1"/>
  <c r="Q1172" i="1"/>
  <c r="Q1171" i="1"/>
  <c r="Q1170" i="1"/>
  <c r="Q1169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33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96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V1071" i="1"/>
  <c r="Q1071" i="1"/>
  <c r="Q1070" i="1"/>
  <c r="Q1069" i="1"/>
  <c r="V1067" i="1"/>
  <c r="Q1067" i="1"/>
  <c r="Z1067" i="1" s="1"/>
  <c r="N1067" i="1"/>
  <c r="O1067" i="1" s="1"/>
  <c r="P1067" i="1" s="1"/>
  <c r="I1067" i="1"/>
  <c r="G1067" i="1"/>
  <c r="F1067" i="1"/>
  <c r="V1066" i="1"/>
  <c r="Q1066" i="1"/>
  <c r="Z1066" i="1" s="1"/>
  <c r="N1066" i="1"/>
  <c r="O1066" i="1" s="1"/>
  <c r="P1066" i="1" s="1"/>
  <c r="I1066" i="1"/>
  <c r="G1066" i="1"/>
  <c r="F1066" i="1"/>
  <c r="V1065" i="1"/>
  <c r="Q1065" i="1"/>
  <c r="Z1065" i="1" s="1"/>
  <c r="N1065" i="1"/>
  <c r="O1065" i="1" s="1"/>
  <c r="P1065" i="1" s="1"/>
  <c r="I1065" i="1"/>
  <c r="G1065" i="1"/>
  <c r="F1065" i="1"/>
  <c r="V1064" i="1"/>
  <c r="Q1064" i="1"/>
  <c r="Z1064" i="1" s="1"/>
  <c r="N1064" i="1"/>
  <c r="O1064" i="1" s="1"/>
  <c r="P1064" i="1" s="1"/>
  <c r="I1064" i="1"/>
  <c r="G1064" i="1"/>
  <c r="F1064" i="1"/>
  <c r="V1063" i="1"/>
  <c r="Q1063" i="1"/>
  <c r="Z1063" i="1" s="1"/>
  <c r="N1063" i="1"/>
  <c r="O1063" i="1" s="1"/>
  <c r="P1063" i="1" s="1"/>
  <c r="I1063" i="1"/>
  <c r="G1063" i="1"/>
  <c r="F1063" i="1"/>
  <c r="V1062" i="1"/>
  <c r="Q1062" i="1"/>
  <c r="Z1062" i="1" s="1"/>
  <c r="N1062" i="1"/>
  <c r="O1062" i="1" s="1"/>
  <c r="P1062" i="1" s="1"/>
  <c r="I1062" i="1"/>
  <c r="G1062" i="1"/>
  <c r="F1062" i="1"/>
  <c r="V1061" i="1"/>
  <c r="Q1061" i="1"/>
  <c r="Z1061" i="1" s="1"/>
  <c r="N1061" i="1"/>
  <c r="O1061" i="1" s="1"/>
  <c r="P1061" i="1" s="1"/>
  <c r="I1061" i="1"/>
  <c r="G1061" i="1"/>
  <c r="F1061" i="1"/>
  <c r="V1060" i="1"/>
  <c r="Q1060" i="1"/>
  <c r="Z1060" i="1" s="1"/>
  <c r="N1060" i="1"/>
  <c r="O1060" i="1" s="1"/>
  <c r="P1060" i="1" s="1"/>
  <c r="I1060" i="1"/>
  <c r="G1060" i="1"/>
  <c r="F1060" i="1"/>
  <c r="V1059" i="1"/>
  <c r="Q1059" i="1"/>
  <c r="Z1059" i="1" s="1"/>
  <c r="N1059" i="1"/>
  <c r="O1059" i="1" s="1"/>
  <c r="P1059" i="1" s="1"/>
  <c r="I1059" i="1"/>
  <c r="G1059" i="1"/>
  <c r="F1059" i="1"/>
  <c r="V1058" i="1"/>
  <c r="Q1058" i="1"/>
  <c r="Z1058" i="1" s="1"/>
  <c r="N1058" i="1"/>
  <c r="O1058" i="1" s="1"/>
  <c r="P1058" i="1" s="1"/>
  <c r="I1058" i="1"/>
  <c r="G1058" i="1"/>
  <c r="F1058" i="1"/>
  <c r="V1057" i="1"/>
  <c r="Q1057" i="1"/>
  <c r="Z1057" i="1" s="1"/>
  <c r="N1057" i="1"/>
  <c r="O1057" i="1" s="1"/>
  <c r="P1057" i="1" s="1"/>
  <c r="I1057" i="1"/>
  <c r="G1057" i="1"/>
  <c r="F1057" i="1"/>
  <c r="V1056" i="1"/>
  <c r="Q1056" i="1"/>
  <c r="Z1056" i="1" s="1"/>
  <c r="N1056" i="1"/>
  <c r="O1056" i="1" s="1"/>
  <c r="P1056" i="1" s="1"/>
  <c r="I1056" i="1"/>
  <c r="G1056" i="1"/>
  <c r="F1056" i="1"/>
  <c r="Z1055" i="1"/>
  <c r="V1055" i="1"/>
  <c r="O1055" i="1"/>
  <c r="P1055" i="1" s="1"/>
  <c r="I1055" i="1"/>
  <c r="G1055" i="1"/>
  <c r="F1055" i="1"/>
  <c r="Z1054" i="1"/>
  <c r="V1054" i="1"/>
  <c r="O1054" i="1"/>
  <c r="P1054" i="1" s="1"/>
  <c r="I1054" i="1"/>
  <c r="G1054" i="1"/>
  <c r="F1054" i="1"/>
  <c r="Z1053" i="1"/>
  <c r="V1053" i="1"/>
  <c r="O1053" i="1"/>
  <c r="P1053" i="1" s="1"/>
  <c r="I1053" i="1"/>
  <c r="G1053" i="1"/>
  <c r="F1053" i="1"/>
  <c r="Z1052" i="1"/>
  <c r="V1052" i="1"/>
  <c r="O1052" i="1"/>
  <c r="P1052" i="1" s="1"/>
  <c r="I1052" i="1"/>
  <c r="G1052" i="1"/>
  <c r="F1052" i="1"/>
  <c r="Z1051" i="1"/>
  <c r="V1051" i="1"/>
  <c r="O1051" i="1"/>
  <c r="P1051" i="1" s="1"/>
  <c r="I1051" i="1"/>
  <c r="G1051" i="1"/>
  <c r="F1051" i="1"/>
  <c r="Z1050" i="1"/>
  <c r="V1050" i="1"/>
  <c r="O1050" i="1"/>
  <c r="P1050" i="1" s="1"/>
  <c r="I1050" i="1"/>
  <c r="G1050" i="1"/>
  <c r="F1050" i="1"/>
  <c r="Z1049" i="1"/>
  <c r="V1049" i="1"/>
  <c r="O1049" i="1"/>
  <c r="P1049" i="1" s="1"/>
  <c r="I1049" i="1"/>
  <c r="G1049" i="1"/>
  <c r="F1049" i="1"/>
  <c r="Z1048" i="1"/>
  <c r="V1048" i="1"/>
  <c r="O1048" i="1"/>
  <c r="P1048" i="1" s="1"/>
  <c r="I1048" i="1"/>
  <c r="G1048" i="1"/>
  <c r="F1048" i="1"/>
  <c r="Z1047" i="1"/>
  <c r="V1047" i="1"/>
  <c r="O1047" i="1"/>
  <c r="P1047" i="1" s="1"/>
  <c r="I1047" i="1"/>
  <c r="G1047" i="1"/>
  <c r="F1047" i="1"/>
  <c r="Z1046" i="1"/>
  <c r="V1046" i="1"/>
  <c r="O1046" i="1"/>
  <c r="P1046" i="1" s="1"/>
  <c r="I1046" i="1"/>
  <c r="G1046" i="1"/>
  <c r="F1046" i="1"/>
  <c r="Z1045" i="1"/>
  <c r="V1045" i="1"/>
  <c r="Q1045" i="1"/>
  <c r="O1045" i="1"/>
  <c r="P1045" i="1" s="1"/>
  <c r="G1045" i="1"/>
  <c r="F1045" i="1"/>
  <c r="Z1044" i="1"/>
  <c r="V1044" i="1"/>
  <c r="Q1044" i="1"/>
  <c r="O1044" i="1"/>
  <c r="P1044" i="1" s="1"/>
  <c r="F1044" i="1"/>
  <c r="Z1043" i="1"/>
  <c r="V1043" i="1"/>
  <c r="Q1043" i="1"/>
  <c r="O1043" i="1"/>
  <c r="P1043" i="1" s="1"/>
  <c r="V1042" i="1"/>
  <c r="Q1042" i="1"/>
  <c r="Z1042" i="1" s="1"/>
  <c r="N1042" i="1"/>
  <c r="O1042" i="1" s="1"/>
  <c r="P1042" i="1" s="1"/>
  <c r="I1042" i="1"/>
  <c r="G1042" i="1"/>
  <c r="F1042" i="1"/>
  <c r="V1041" i="1"/>
  <c r="Q1041" i="1"/>
  <c r="Z1041" i="1" s="1"/>
  <c r="O1041" i="1"/>
  <c r="P1041" i="1" s="1"/>
  <c r="I1041" i="1"/>
  <c r="G1041" i="1"/>
  <c r="F1041" i="1"/>
  <c r="V1040" i="1"/>
  <c r="Q1040" i="1"/>
  <c r="Z1040" i="1" s="1"/>
  <c r="O1040" i="1"/>
  <c r="P1040" i="1" s="1"/>
  <c r="I1040" i="1"/>
  <c r="G1040" i="1"/>
  <c r="F1040" i="1"/>
  <c r="V1039" i="1"/>
  <c r="Q1039" i="1"/>
  <c r="Z1039" i="1" s="1"/>
  <c r="O1039" i="1"/>
  <c r="P1039" i="1" s="1"/>
  <c r="I1039" i="1"/>
  <c r="G1039" i="1"/>
  <c r="F1039" i="1"/>
  <c r="V1038" i="1"/>
  <c r="Q1038" i="1"/>
  <c r="Z1038" i="1" s="1"/>
  <c r="O1038" i="1"/>
  <c r="P1038" i="1" s="1"/>
  <c r="I1038" i="1"/>
  <c r="G1038" i="1"/>
  <c r="F1038" i="1"/>
  <c r="Z1037" i="1"/>
  <c r="V1037" i="1"/>
  <c r="Q1037" i="1"/>
  <c r="O1037" i="1"/>
  <c r="P1037" i="1" s="1"/>
  <c r="I1037" i="1"/>
  <c r="G1037" i="1"/>
  <c r="F1037" i="1"/>
  <c r="Z1036" i="1"/>
  <c r="V1036" i="1"/>
  <c r="Q1036" i="1"/>
  <c r="O1036" i="1"/>
  <c r="P1036" i="1" s="1"/>
  <c r="I1036" i="1"/>
  <c r="G1036" i="1"/>
  <c r="F1036" i="1"/>
  <c r="Z1035" i="1"/>
  <c r="V1035" i="1"/>
  <c r="Q1035" i="1"/>
  <c r="O1035" i="1"/>
  <c r="P1035" i="1" s="1"/>
  <c r="G1035" i="1"/>
  <c r="F1035" i="1"/>
  <c r="Z1034" i="1"/>
  <c r="V1034" i="1"/>
  <c r="Q1034" i="1"/>
  <c r="O1034" i="1"/>
  <c r="P1034" i="1" s="1"/>
  <c r="G1034" i="1"/>
  <c r="F1034" i="1"/>
  <c r="Z1033" i="1"/>
  <c r="V1033" i="1"/>
  <c r="Q1033" i="1"/>
  <c r="O1033" i="1"/>
  <c r="P1033" i="1" s="1"/>
  <c r="G1033" i="1"/>
  <c r="F1033" i="1"/>
  <c r="Z1032" i="1"/>
  <c r="V1032" i="1"/>
  <c r="Q1032" i="1"/>
  <c r="O1032" i="1"/>
  <c r="P1032" i="1" s="1"/>
  <c r="I1032" i="1"/>
  <c r="G1032" i="1"/>
  <c r="F1032" i="1"/>
  <c r="Z1031" i="1"/>
  <c r="V1031" i="1"/>
  <c r="Q1031" i="1"/>
  <c r="O1031" i="1"/>
  <c r="P1031" i="1" s="1"/>
  <c r="G1031" i="1"/>
  <c r="F1031" i="1"/>
  <c r="Z1030" i="1"/>
  <c r="V1030" i="1"/>
  <c r="Q1030" i="1"/>
  <c r="O1030" i="1"/>
  <c r="P1030" i="1" s="1"/>
  <c r="G1030" i="1"/>
  <c r="F1030" i="1"/>
  <c r="Z1029" i="1"/>
  <c r="V1029" i="1"/>
  <c r="Q1029" i="1"/>
  <c r="O1029" i="1"/>
  <c r="P1029" i="1" s="1"/>
  <c r="I1029" i="1"/>
  <c r="G1029" i="1"/>
  <c r="F1029" i="1"/>
  <c r="Z1028" i="1"/>
  <c r="V1028" i="1"/>
  <c r="Q1028" i="1"/>
  <c r="O1028" i="1"/>
  <c r="P1028" i="1" s="1"/>
  <c r="I1028" i="1"/>
  <c r="G1028" i="1"/>
  <c r="F1028" i="1"/>
  <c r="Z1027" i="1"/>
  <c r="V1027" i="1"/>
  <c r="Q1027" i="1"/>
  <c r="O1027" i="1"/>
  <c r="P1027" i="1" s="1"/>
  <c r="I1027" i="1"/>
  <c r="G1027" i="1"/>
  <c r="F1027" i="1"/>
  <c r="Z1026" i="1"/>
  <c r="V1026" i="1"/>
  <c r="Q1026" i="1"/>
  <c r="O1026" i="1"/>
  <c r="P1026" i="1" s="1"/>
  <c r="G1026" i="1"/>
  <c r="F1026" i="1"/>
  <c r="Z1025" i="1"/>
  <c r="V1025" i="1"/>
  <c r="Q1025" i="1"/>
  <c r="O1025" i="1"/>
  <c r="P1025" i="1" s="1"/>
  <c r="I1025" i="1"/>
  <c r="G1025" i="1"/>
  <c r="F1025" i="1"/>
  <c r="Z1024" i="1"/>
  <c r="V1024" i="1"/>
  <c r="Q1024" i="1"/>
  <c r="O1024" i="1"/>
  <c r="P1024" i="1" s="1"/>
  <c r="I1024" i="1"/>
  <c r="G1024" i="1"/>
  <c r="F1024" i="1"/>
  <c r="Z1023" i="1"/>
  <c r="V1023" i="1"/>
  <c r="Q1023" i="1"/>
  <c r="O1023" i="1"/>
  <c r="P1023" i="1" s="1"/>
  <c r="I1023" i="1"/>
  <c r="G1023" i="1"/>
  <c r="F1023" i="1"/>
  <c r="Z1022" i="1"/>
  <c r="V1022" i="1"/>
  <c r="Q1022" i="1"/>
  <c r="O1022" i="1"/>
  <c r="P1022" i="1" s="1"/>
  <c r="I1022" i="1"/>
  <c r="G1022" i="1"/>
  <c r="F1022" i="1"/>
  <c r="Z1021" i="1"/>
  <c r="V1021" i="1"/>
  <c r="Q1021" i="1"/>
  <c r="O1021" i="1"/>
  <c r="P1021" i="1" s="1"/>
  <c r="G1021" i="1"/>
  <c r="F1021" i="1"/>
  <c r="Z1020" i="1"/>
  <c r="V1020" i="1"/>
  <c r="Q1020" i="1"/>
  <c r="O1020" i="1"/>
  <c r="P1020" i="1" s="1"/>
  <c r="G1020" i="1"/>
  <c r="F1020" i="1"/>
  <c r="Z1019" i="1"/>
  <c r="V1019" i="1"/>
  <c r="Q1019" i="1"/>
  <c r="O1019" i="1"/>
  <c r="P1019" i="1" s="1"/>
  <c r="I1019" i="1"/>
  <c r="G1019" i="1"/>
  <c r="F1019" i="1"/>
  <c r="Z1018" i="1"/>
  <c r="V1018" i="1"/>
  <c r="Q1018" i="1"/>
  <c r="O1018" i="1"/>
  <c r="P1018" i="1" s="1"/>
  <c r="I1018" i="1"/>
  <c r="G1018" i="1"/>
  <c r="F1018" i="1"/>
  <c r="Z1017" i="1"/>
  <c r="V1017" i="1"/>
  <c r="Q1017" i="1"/>
  <c r="O1017" i="1"/>
  <c r="P1017" i="1" s="1"/>
  <c r="G1017" i="1"/>
  <c r="F1017" i="1"/>
  <c r="Z1016" i="1"/>
  <c r="V1016" i="1"/>
  <c r="Q1016" i="1"/>
  <c r="O1016" i="1"/>
  <c r="P1016" i="1" s="1"/>
  <c r="G1016" i="1"/>
  <c r="F1016" i="1"/>
  <c r="Z1015" i="1"/>
  <c r="V1015" i="1"/>
  <c r="Q1015" i="1"/>
  <c r="O1015" i="1"/>
  <c r="P1015" i="1" s="1"/>
  <c r="G1015" i="1"/>
  <c r="F1015" i="1"/>
  <c r="Z1014" i="1"/>
  <c r="V1014" i="1"/>
  <c r="Q1014" i="1"/>
  <c r="O1014" i="1"/>
  <c r="P1014" i="1" s="1"/>
  <c r="I1014" i="1"/>
  <c r="G1014" i="1"/>
  <c r="F1014" i="1"/>
  <c r="Z1013" i="1"/>
  <c r="V1013" i="1"/>
  <c r="Q1013" i="1"/>
  <c r="O1013" i="1"/>
  <c r="P1013" i="1" s="1"/>
  <c r="G1013" i="1"/>
  <c r="F1013" i="1"/>
  <c r="Z1012" i="1"/>
  <c r="V1012" i="1"/>
  <c r="Q1012" i="1"/>
  <c r="O1012" i="1"/>
  <c r="P1012" i="1" s="1"/>
  <c r="I1012" i="1"/>
  <c r="G1012" i="1"/>
  <c r="F1012" i="1"/>
  <c r="Z1011" i="1"/>
  <c r="V1011" i="1"/>
  <c r="Q1011" i="1"/>
  <c r="O1011" i="1"/>
  <c r="P1011" i="1" s="1"/>
  <c r="I1011" i="1"/>
  <c r="G1011" i="1"/>
  <c r="F1011" i="1"/>
  <c r="Z1010" i="1"/>
  <c r="V1010" i="1"/>
  <c r="Q1010" i="1"/>
  <c r="O1010" i="1"/>
  <c r="P1010" i="1" s="1"/>
  <c r="I1010" i="1"/>
  <c r="G1010" i="1"/>
  <c r="F1010" i="1"/>
  <c r="Z1009" i="1"/>
  <c r="V1009" i="1"/>
  <c r="Q1009" i="1"/>
  <c r="O1009" i="1"/>
  <c r="P1009" i="1" s="1"/>
  <c r="I1009" i="1"/>
  <c r="G1009" i="1"/>
  <c r="F1009" i="1"/>
  <c r="Z1008" i="1"/>
  <c r="V1008" i="1"/>
  <c r="Q1008" i="1"/>
  <c r="O1008" i="1"/>
  <c r="P1008" i="1" s="1"/>
  <c r="I1008" i="1"/>
  <c r="G1008" i="1"/>
  <c r="F1008" i="1"/>
  <c r="Z1007" i="1"/>
  <c r="V1007" i="1"/>
  <c r="Q1007" i="1"/>
  <c r="O1007" i="1"/>
  <c r="P1007" i="1" s="1"/>
  <c r="I1007" i="1"/>
  <c r="G1007" i="1"/>
  <c r="F1007" i="1"/>
  <c r="Z1006" i="1"/>
  <c r="V1006" i="1"/>
  <c r="Q1006" i="1"/>
  <c r="O1006" i="1"/>
  <c r="P1006" i="1" s="1"/>
  <c r="I1006" i="1"/>
  <c r="G1006" i="1"/>
  <c r="F1006" i="1"/>
  <c r="Z1005" i="1"/>
  <c r="W1005" i="1"/>
  <c r="V1005" i="1"/>
  <c r="Q1005" i="1"/>
  <c r="O1005" i="1"/>
  <c r="P1005" i="1" s="1"/>
  <c r="I1005" i="1"/>
  <c r="G1005" i="1"/>
  <c r="F1005" i="1"/>
  <c r="Z1004" i="1"/>
  <c r="W1004" i="1"/>
  <c r="V1004" i="1"/>
  <c r="Q1004" i="1"/>
  <c r="O1004" i="1"/>
  <c r="P1004" i="1" s="1"/>
  <c r="I1004" i="1"/>
  <c r="G1004" i="1"/>
  <c r="F1004" i="1"/>
  <c r="Z1003" i="1"/>
  <c r="V1003" i="1"/>
  <c r="Q1003" i="1"/>
  <c r="O1003" i="1"/>
  <c r="P1003" i="1" s="1"/>
  <c r="I1003" i="1"/>
  <c r="G1003" i="1"/>
  <c r="F1003" i="1"/>
  <c r="Z1002" i="1"/>
  <c r="V1002" i="1"/>
  <c r="Q1002" i="1"/>
  <c r="O1002" i="1"/>
  <c r="P1002" i="1" s="1"/>
  <c r="I1002" i="1"/>
  <c r="G1002" i="1"/>
  <c r="F1002" i="1"/>
  <c r="Z1001" i="1"/>
  <c r="V1001" i="1"/>
  <c r="Q1001" i="1"/>
  <c r="O1001" i="1"/>
  <c r="P1001" i="1" s="1"/>
  <c r="I1001" i="1"/>
  <c r="G1001" i="1"/>
  <c r="F1001" i="1"/>
  <c r="Z1000" i="1"/>
  <c r="W1000" i="1"/>
  <c r="V1000" i="1"/>
  <c r="Q1000" i="1"/>
  <c r="O1000" i="1"/>
  <c r="P1000" i="1" s="1"/>
  <c r="I1000" i="1"/>
  <c r="G1000" i="1"/>
  <c r="F1000" i="1"/>
  <c r="Z999" i="1"/>
  <c r="V999" i="1"/>
  <c r="N999" i="1"/>
  <c r="O999" i="1" s="1"/>
  <c r="P999" i="1" s="1"/>
  <c r="I999" i="1"/>
  <c r="G999" i="1"/>
  <c r="F999" i="1"/>
  <c r="Z998" i="1"/>
  <c r="V998" i="1"/>
  <c r="Q998" i="1"/>
  <c r="O998" i="1"/>
  <c r="P998" i="1" s="1"/>
  <c r="I998" i="1"/>
  <c r="G998" i="1"/>
  <c r="F998" i="1"/>
  <c r="Z997" i="1"/>
  <c r="V997" i="1"/>
  <c r="Q997" i="1"/>
  <c r="O997" i="1"/>
  <c r="P997" i="1" s="1"/>
  <c r="I997" i="1"/>
  <c r="G997" i="1"/>
  <c r="F997" i="1"/>
  <c r="Z996" i="1"/>
  <c r="V996" i="1"/>
  <c r="Q996" i="1"/>
  <c r="O996" i="1"/>
  <c r="P996" i="1" s="1"/>
  <c r="I996" i="1"/>
  <c r="G996" i="1"/>
  <c r="F996" i="1"/>
  <c r="Z995" i="1"/>
  <c r="V995" i="1"/>
  <c r="Q995" i="1"/>
  <c r="O995" i="1"/>
  <c r="P995" i="1" s="1"/>
  <c r="I995" i="1"/>
  <c r="G995" i="1"/>
  <c r="F995" i="1"/>
  <c r="Z994" i="1"/>
  <c r="V994" i="1"/>
  <c r="Q994" i="1"/>
  <c r="O994" i="1"/>
  <c r="P994" i="1" s="1"/>
  <c r="I994" i="1"/>
  <c r="G994" i="1"/>
  <c r="F994" i="1"/>
  <c r="Z993" i="1"/>
  <c r="V993" i="1"/>
  <c r="Q993" i="1"/>
  <c r="O993" i="1"/>
  <c r="P993" i="1" s="1"/>
  <c r="I993" i="1"/>
  <c r="G993" i="1"/>
  <c r="F993" i="1"/>
  <c r="Z992" i="1"/>
  <c r="V992" i="1"/>
  <c r="O992" i="1"/>
  <c r="P992" i="1" s="1"/>
  <c r="G992" i="1"/>
  <c r="F992" i="1"/>
  <c r="Z991" i="1"/>
  <c r="V991" i="1"/>
  <c r="Q991" i="1"/>
  <c r="O991" i="1"/>
  <c r="P991" i="1" s="1"/>
  <c r="I991" i="1"/>
  <c r="G991" i="1"/>
  <c r="F991" i="1"/>
  <c r="Z990" i="1"/>
  <c r="V990" i="1"/>
  <c r="Q990" i="1"/>
  <c r="O990" i="1"/>
  <c r="P990" i="1" s="1"/>
  <c r="I990" i="1"/>
  <c r="G990" i="1"/>
  <c r="F990" i="1"/>
  <c r="Z989" i="1"/>
  <c r="V989" i="1"/>
  <c r="Q989" i="1"/>
  <c r="O989" i="1"/>
  <c r="P989" i="1" s="1"/>
  <c r="I989" i="1"/>
  <c r="G989" i="1"/>
  <c r="F989" i="1"/>
  <c r="Z988" i="1"/>
  <c r="V988" i="1"/>
  <c r="Q988" i="1"/>
  <c r="O988" i="1"/>
  <c r="P988" i="1" s="1"/>
  <c r="I988" i="1"/>
  <c r="G988" i="1"/>
  <c r="F988" i="1"/>
  <c r="Z987" i="1"/>
  <c r="V987" i="1"/>
  <c r="Q987" i="1"/>
  <c r="O987" i="1"/>
  <c r="P987" i="1" s="1"/>
  <c r="I987" i="1"/>
  <c r="G987" i="1"/>
  <c r="F987" i="1"/>
  <c r="Z986" i="1"/>
  <c r="V986" i="1"/>
  <c r="Q986" i="1"/>
  <c r="O986" i="1"/>
  <c r="P986" i="1" s="1"/>
  <c r="G986" i="1"/>
  <c r="F986" i="1"/>
  <c r="Z985" i="1"/>
  <c r="V985" i="1"/>
  <c r="Q985" i="1"/>
  <c r="O985" i="1"/>
  <c r="P985" i="1" s="1"/>
  <c r="G985" i="1"/>
  <c r="F985" i="1"/>
  <c r="Z984" i="1"/>
  <c r="V984" i="1"/>
  <c r="Q984" i="1"/>
  <c r="O984" i="1"/>
  <c r="P984" i="1" s="1"/>
  <c r="G984" i="1"/>
  <c r="F984" i="1"/>
  <c r="Z983" i="1"/>
  <c r="V983" i="1"/>
  <c r="Q983" i="1"/>
  <c r="O983" i="1"/>
  <c r="P983" i="1" s="1"/>
  <c r="G983" i="1"/>
  <c r="F983" i="1"/>
  <c r="Z982" i="1"/>
  <c r="V982" i="1"/>
  <c r="Q982" i="1"/>
  <c r="O982" i="1"/>
  <c r="P982" i="1" s="1"/>
  <c r="G982" i="1"/>
  <c r="F982" i="1"/>
  <c r="Z981" i="1"/>
  <c r="V981" i="1"/>
  <c r="Q981" i="1"/>
  <c r="O981" i="1"/>
  <c r="P981" i="1" s="1"/>
  <c r="G981" i="1"/>
  <c r="F981" i="1"/>
  <c r="Z980" i="1"/>
  <c r="V980" i="1"/>
  <c r="Q980" i="1"/>
  <c r="O980" i="1"/>
  <c r="P980" i="1" s="1"/>
  <c r="G980" i="1"/>
  <c r="F980" i="1"/>
  <c r="Z979" i="1"/>
  <c r="V979" i="1"/>
  <c r="Q979" i="1"/>
  <c r="O979" i="1"/>
  <c r="P979" i="1" s="1"/>
  <c r="G979" i="1"/>
  <c r="F979" i="1"/>
  <c r="Z978" i="1"/>
  <c r="V978" i="1"/>
  <c r="Q978" i="1"/>
  <c r="O978" i="1"/>
  <c r="P978" i="1" s="1"/>
  <c r="G978" i="1"/>
  <c r="F978" i="1"/>
  <c r="Z977" i="1"/>
  <c r="V977" i="1"/>
  <c r="Q977" i="1"/>
  <c r="O977" i="1"/>
  <c r="P977" i="1" s="1"/>
  <c r="G977" i="1"/>
  <c r="F977" i="1"/>
  <c r="Z976" i="1"/>
  <c r="V976" i="1"/>
  <c r="Q976" i="1"/>
  <c r="O976" i="1"/>
  <c r="P976" i="1" s="1"/>
  <c r="I976" i="1"/>
  <c r="G976" i="1"/>
  <c r="F976" i="1"/>
  <c r="Z975" i="1"/>
  <c r="V975" i="1"/>
  <c r="Q975" i="1"/>
  <c r="O975" i="1"/>
  <c r="P975" i="1" s="1"/>
  <c r="I975" i="1"/>
  <c r="G975" i="1"/>
  <c r="F975" i="1"/>
  <c r="Z974" i="1"/>
  <c r="V974" i="1"/>
  <c r="Q974" i="1"/>
  <c r="O974" i="1"/>
  <c r="P974" i="1" s="1"/>
  <c r="I974" i="1"/>
  <c r="G974" i="1"/>
  <c r="F974" i="1"/>
  <c r="Z973" i="1"/>
  <c r="V973" i="1"/>
  <c r="Q973" i="1"/>
  <c r="O973" i="1"/>
  <c r="P973" i="1" s="1"/>
  <c r="I973" i="1"/>
  <c r="G973" i="1"/>
  <c r="F973" i="1"/>
  <c r="Z972" i="1"/>
  <c r="V972" i="1"/>
  <c r="Q972" i="1"/>
  <c r="O972" i="1"/>
  <c r="P972" i="1" s="1"/>
  <c r="I972" i="1"/>
  <c r="G972" i="1"/>
  <c r="F972" i="1"/>
  <c r="Z971" i="1"/>
  <c r="V971" i="1"/>
  <c r="Q971" i="1"/>
  <c r="O971" i="1"/>
  <c r="P971" i="1" s="1"/>
  <c r="I971" i="1"/>
  <c r="G971" i="1"/>
  <c r="F971" i="1"/>
  <c r="Z970" i="1"/>
  <c r="V970" i="1"/>
  <c r="O970" i="1"/>
  <c r="P970" i="1" s="1"/>
  <c r="I970" i="1"/>
  <c r="G970" i="1"/>
  <c r="F970" i="1"/>
  <c r="V969" i="1"/>
  <c r="Z969" i="1"/>
  <c r="O969" i="1"/>
  <c r="P969" i="1" s="1"/>
  <c r="I969" i="1"/>
  <c r="G969" i="1"/>
  <c r="F969" i="1"/>
  <c r="V968" i="1"/>
  <c r="Z968" i="1"/>
  <c r="O968" i="1"/>
  <c r="P968" i="1" s="1"/>
  <c r="I968" i="1"/>
  <c r="G968" i="1"/>
  <c r="F968" i="1"/>
  <c r="V967" i="1"/>
  <c r="Z967" i="1"/>
  <c r="O967" i="1"/>
  <c r="P967" i="1" s="1"/>
  <c r="I967" i="1"/>
  <c r="G967" i="1"/>
  <c r="F967" i="1"/>
  <c r="Z966" i="1"/>
  <c r="V966" i="1"/>
  <c r="Q966" i="1"/>
  <c r="O966" i="1"/>
  <c r="P966" i="1" s="1"/>
  <c r="I966" i="1"/>
  <c r="G966" i="1"/>
  <c r="F966" i="1"/>
  <c r="Z965" i="1"/>
  <c r="V965" i="1"/>
  <c r="Q965" i="1"/>
  <c r="O965" i="1"/>
  <c r="P965" i="1" s="1"/>
  <c r="I965" i="1"/>
  <c r="G965" i="1"/>
  <c r="F965" i="1"/>
  <c r="Z964" i="1"/>
  <c r="V964" i="1"/>
  <c r="Q964" i="1"/>
  <c r="O964" i="1"/>
  <c r="P964" i="1" s="1"/>
  <c r="I964" i="1"/>
  <c r="G964" i="1"/>
  <c r="F964" i="1"/>
  <c r="Z963" i="1"/>
  <c r="V963" i="1"/>
  <c r="Q963" i="1"/>
  <c r="N963" i="1"/>
  <c r="O963" i="1" s="1"/>
  <c r="P963" i="1" s="1"/>
  <c r="I963" i="1"/>
  <c r="G963" i="1"/>
  <c r="F963" i="1"/>
  <c r="Z962" i="1"/>
  <c r="V962" i="1"/>
  <c r="Q962" i="1"/>
  <c r="N962" i="1"/>
  <c r="O962" i="1" s="1"/>
  <c r="P962" i="1" s="1"/>
  <c r="I962" i="1"/>
  <c r="G962" i="1"/>
  <c r="F962" i="1"/>
  <c r="Z961" i="1"/>
  <c r="V961" i="1"/>
  <c r="O961" i="1"/>
  <c r="P961" i="1" s="1"/>
  <c r="I961" i="1"/>
  <c r="G961" i="1"/>
  <c r="F961" i="1"/>
  <c r="Z960" i="1"/>
  <c r="V960" i="1"/>
  <c r="Q960" i="1"/>
  <c r="N960" i="1"/>
  <c r="O960" i="1" s="1"/>
  <c r="P960" i="1" s="1"/>
  <c r="I960" i="1"/>
  <c r="G960" i="1"/>
  <c r="F960" i="1"/>
  <c r="Z959" i="1"/>
  <c r="V959" i="1"/>
  <c r="Q959" i="1"/>
  <c r="O959" i="1"/>
  <c r="P959" i="1" s="1"/>
  <c r="I959" i="1"/>
  <c r="G959" i="1"/>
  <c r="F959" i="1"/>
  <c r="V958" i="1"/>
  <c r="Z958" i="1"/>
  <c r="O958" i="1"/>
  <c r="P958" i="1" s="1"/>
  <c r="I958" i="1"/>
  <c r="G958" i="1"/>
  <c r="F958" i="1"/>
  <c r="Z957" i="1"/>
  <c r="V957" i="1"/>
  <c r="Q957" i="1"/>
  <c r="O957" i="1"/>
  <c r="P957" i="1" s="1"/>
  <c r="G957" i="1"/>
  <c r="F957" i="1"/>
  <c r="Z956" i="1"/>
  <c r="V956" i="1"/>
  <c r="Q956" i="1"/>
  <c r="O956" i="1"/>
  <c r="P956" i="1" s="1"/>
  <c r="G956" i="1"/>
  <c r="F956" i="1"/>
  <c r="Z955" i="1"/>
  <c r="V955" i="1"/>
  <c r="Q955" i="1"/>
  <c r="O955" i="1"/>
  <c r="P955" i="1" s="1"/>
  <c r="G955" i="1"/>
  <c r="F955" i="1"/>
  <c r="Z954" i="1"/>
  <c r="V954" i="1"/>
  <c r="Q954" i="1"/>
  <c r="O954" i="1"/>
  <c r="P954" i="1" s="1"/>
  <c r="G954" i="1"/>
  <c r="F954" i="1"/>
  <c r="Z953" i="1"/>
  <c r="V953" i="1"/>
  <c r="Q953" i="1"/>
  <c r="O953" i="1"/>
  <c r="P953" i="1" s="1"/>
  <c r="G953" i="1"/>
  <c r="F953" i="1"/>
  <c r="Z952" i="1"/>
  <c r="V952" i="1"/>
  <c r="Q952" i="1"/>
  <c r="O952" i="1"/>
  <c r="P952" i="1" s="1"/>
  <c r="G952" i="1"/>
  <c r="F952" i="1"/>
  <c r="Z951" i="1"/>
  <c r="V951" i="1"/>
  <c r="Q951" i="1"/>
  <c r="O951" i="1"/>
  <c r="P951" i="1" s="1"/>
  <c r="G951" i="1"/>
  <c r="F951" i="1"/>
  <c r="Z950" i="1"/>
  <c r="V950" i="1"/>
  <c r="Q950" i="1"/>
  <c r="O950" i="1"/>
  <c r="P950" i="1" s="1"/>
  <c r="G950" i="1"/>
  <c r="F950" i="1"/>
  <c r="Z949" i="1"/>
  <c r="V949" i="1"/>
  <c r="Q949" i="1"/>
  <c r="O949" i="1"/>
  <c r="P949" i="1" s="1"/>
  <c r="I949" i="1"/>
  <c r="G949" i="1"/>
  <c r="F949" i="1"/>
  <c r="Z948" i="1"/>
  <c r="V948" i="1"/>
  <c r="Q948" i="1"/>
  <c r="O948" i="1"/>
  <c r="P948" i="1" s="1"/>
  <c r="I948" i="1"/>
  <c r="G948" i="1"/>
  <c r="F948" i="1"/>
  <c r="Z947" i="1"/>
  <c r="V947" i="1"/>
  <c r="Q947" i="1"/>
  <c r="O947" i="1"/>
  <c r="P947" i="1" s="1"/>
  <c r="I947" i="1"/>
  <c r="G947" i="1"/>
  <c r="F947" i="1"/>
  <c r="Z946" i="1"/>
  <c r="V946" i="1"/>
  <c r="Q946" i="1"/>
  <c r="O946" i="1"/>
  <c r="P946" i="1" s="1"/>
  <c r="I946" i="1"/>
  <c r="G946" i="1"/>
  <c r="F946" i="1"/>
  <c r="Z945" i="1"/>
  <c r="V945" i="1"/>
  <c r="Q945" i="1"/>
  <c r="O945" i="1"/>
  <c r="P945" i="1" s="1"/>
  <c r="I945" i="1"/>
  <c r="G945" i="1"/>
  <c r="F945" i="1"/>
  <c r="Z944" i="1"/>
  <c r="V944" i="1"/>
  <c r="Q944" i="1"/>
  <c r="O944" i="1"/>
  <c r="P944" i="1" s="1"/>
  <c r="I944" i="1"/>
  <c r="G944" i="1"/>
  <c r="F944" i="1"/>
  <c r="Z943" i="1"/>
  <c r="V943" i="1"/>
  <c r="Q943" i="1"/>
  <c r="O943" i="1"/>
  <c r="P943" i="1" s="1"/>
  <c r="I943" i="1"/>
  <c r="G943" i="1"/>
  <c r="F943" i="1"/>
  <c r="Z942" i="1"/>
  <c r="W942" i="1"/>
  <c r="V942" i="1"/>
  <c r="O942" i="1"/>
  <c r="P942" i="1" s="1"/>
  <c r="I942" i="1"/>
  <c r="G942" i="1"/>
  <c r="F942" i="1"/>
  <c r="Z941" i="1"/>
  <c r="V941" i="1"/>
  <c r="Q941" i="1"/>
  <c r="O941" i="1"/>
  <c r="P941" i="1" s="1"/>
  <c r="I941" i="1"/>
  <c r="G941" i="1"/>
  <c r="F941" i="1"/>
  <c r="Z940" i="1"/>
  <c r="W940" i="1"/>
  <c r="V940" i="1"/>
  <c r="Q940" i="1"/>
  <c r="O940" i="1"/>
  <c r="P940" i="1" s="1"/>
  <c r="I940" i="1"/>
  <c r="G940" i="1"/>
  <c r="F940" i="1"/>
  <c r="Z939" i="1"/>
  <c r="V939" i="1"/>
  <c r="Q939" i="1"/>
  <c r="O939" i="1"/>
  <c r="P939" i="1" s="1"/>
  <c r="I939" i="1"/>
  <c r="G939" i="1"/>
  <c r="F939" i="1"/>
  <c r="Z938" i="1"/>
  <c r="V938" i="1"/>
  <c r="Q938" i="1"/>
  <c r="O938" i="1"/>
  <c r="P938" i="1" s="1"/>
  <c r="I938" i="1"/>
  <c r="G938" i="1"/>
  <c r="F938" i="1"/>
  <c r="Z937" i="1"/>
  <c r="V937" i="1"/>
  <c r="Q937" i="1"/>
  <c r="O937" i="1"/>
  <c r="P937" i="1" s="1"/>
  <c r="I937" i="1"/>
  <c r="G937" i="1"/>
  <c r="F937" i="1"/>
  <c r="Z936" i="1"/>
  <c r="V936" i="1"/>
  <c r="Q936" i="1"/>
  <c r="O936" i="1"/>
  <c r="P936" i="1" s="1"/>
  <c r="I936" i="1"/>
  <c r="G936" i="1"/>
  <c r="F936" i="1"/>
  <c r="Z935" i="1"/>
  <c r="V935" i="1"/>
  <c r="Q935" i="1"/>
  <c r="O935" i="1"/>
  <c r="P935" i="1" s="1"/>
  <c r="I935" i="1"/>
  <c r="G935" i="1"/>
  <c r="F935" i="1"/>
  <c r="Z934" i="1"/>
  <c r="W934" i="1"/>
  <c r="V934" i="1"/>
  <c r="O934" i="1"/>
  <c r="P934" i="1" s="1"/>
  <c r="I934" i="1"/>
  <c r="G934" i="1"/>
  <c r="F934" i="1"/>
  <c r="Z933" i="1"/>
  <c r="V933" i="1"/>
  <c r="Q933" i="1"/>
  <c r="O933" i="1"/>
  <c r="P933" i="1" s="1"/>
  <c r="I933" i="1"/>
  <c r="G933" i="1"/>
  <c r="F933" i="1"/>
  <c r="Z932" i="1"/>
  <c r="W932" i="1"/>
  <c r="V932" i="1"/>
  <c r="Q932" i="1"/>
  <c r="O932" i="1"/>
  <c r="P932" i="1" s="1"/>
  <c r="I932" i="1"/>
  <c r="G932" i="1"/>
  <c r="F932" i="1"/>
  <c r="Z931" i="1"/>
  <c r="V931" i="1"/>
  <c r="Q931" i="1"/>
  <c r="O931" i="1"/>
  <c r="P931" i="1" s="1"/>
  <c r="I931" i="1"/>
  <c r="G931" i="1"/>
  <c r="F931" i="1"/>
  <c r="Z930" i="1"/>
  <c r="V930" i="1"/>
  <c r="Q930" i="1"/>
  <c r="O930" i="1"/>
  <c r="P930" i="1" s="1"/>
  <c r="I930" i="1"/>
  <c r="G930" i="1"/>
  <c r="F930" i="1"/>
  <c r="Z929" i="1"/>
  <c r="V929" i="1"/>
  <c r="Q929" i="1"/>
  <c r="O929" i="1"/>
  <c r="P929" i="1" s="1"/>
  <c r="G929" i="1"/>
  <c r="Z928" i="1"/>
  <c r="V928" i="1"/>
  <c r="Q928" i="1"/>
  <c r="O928" i="1"/>
  <c r="P928" i="1" s="1"/>
  <c r="G928" i="1"/>
  <c r="Z927" i="1"/>
  <c r="V927" i="1"/>
  <c r="Q927" i="1"/>
  <c r="O927" i="1"/>
  <c r="P927" i="1" s="1"/>
  <c r="G927" i="1"/>
  <c r="Z926" i="1"/>
  <c r="V926" i="1"/>
  <c r="Q926" i="1"/>
  <c r="O926" i="1"/>
  <c r="P926" i="1" s="1"/>
  <c r="G926" i="1"/>
  <c r="Z925" i="1"/>
  <c r="V925" i="1"/>
  <c r="Q925" i="1"/>
  <c r="N925" i="1"/>
  <c r="O925" i="1" s="1"/>
  <c r="P925" i="1" s="1"/>
  <c r="G925" i="1"/>
  <c r="F925" i="1"/>
  <c r="Z924" i="1"/>
  <c r="V924" i="1"/>
  <c r="Q924" i="1"/>
  <c r="O924" i="1"/>
  <c r="P924" i="1" s="1"/>
  <c r="G924" i="1"/>
  <c r="F924" i="1"/>
  <c r="Z923" i="1"/>
  <c r="V923" i="1"/>
  <c r="Q923" i="1"/>
  <c r="O923" i="1"/>
  <c r="P923" i="1" s="1"/>
  <c r="I923" i="1"/>
  <c r="G923" i="1"/>
  <c r="F923" i="1"/>
  <c r="Z922" i="1"/>
  <c r="W922" i="1"/>
  <c r="V922" i="1"/>
  <c r="Q922" i="1"/>
  <c r="O922" i="1"/>
  <c r="P922" i="1" s="1"/>
  <c r="I922" i="1"/>
  <c r="G922" i="1"/>
  <c r="F922" i="1"/>
  <c r="Z921" i="1"/>
  <c r="V921" i="1"/>
  <c r="Q921" i="1"/>
  <c r="O921" i="1"/>
  <c r="P921" i="1" s="1"/>
  <c r="I921" i="1"/>
  <c r="G921" i="1"/>
  <c r="F921" i="1"/>
  <c r="Z920" i="1"/>
  <c r="V920" i="1"/>
  <c r="Q920" i="1"/>
  <c r="O920" i="1"/>
  <c r="P920" i="1" s="1"/>
  <c r="I920" i="1"/>
  <c r="F920" i="1"/>
  <c r="Z919" i="1"/>
  <c r="V919" i="1"/>
  <c r="Q919" i="1"/>
  <c r="O919" i="1"/>
  <c r="P919" i="1" s="1"/>
  <c r="I919" i="1"/>
  <c r="F919" i="1"/>
  <c r="Z918" i="1"/>
  <c r="V918" i="1"/>
  <c r="Q918" i="1"/>
  <c r="O918" i="1"/>
  <c r="P918" i="1" s="1"/>
  <c r="F918" i="1"/>
  <c r="Z917" i="1"/>
  <c r="V917" i="1"/>
  <c r="Q917" i="1"/>
  <c r="O917" i="1"/>
  <c r="P917" i="1" s="1"/>
  <c r="F917" i="1"/>
  <c r="Z916" i="1"/>
  <c r="V916" i="1"/>
  <c r="Q916" i="1"/>
  <c r="O916" i="1"/>
  <c r="P916" i="1" s="1"/>
  <c r="F916" i="1"/>
  <c r="Z915" i="1"/>
  <c r="V915" i="1"/>
  <c r="Q915" i="1"/>
  <c r="O915" i="1"/>
  <c r="P915" i="1" s="1"/>
  <c r="F915" i="1"/>
  <c r="Z914" i="1"/>
  <c r="V914" i="1"/>
  <c r="Q914" i="1"/>
  <c r="O914" i="1"/>
  <c r="P914" i="1" s="1"/>
  <c r="I914" i="1"/>
  <c r="F914" i="1"/>
  <c r="Z913" i="1"/>
  <c r="V913" i="1"/>
  <c r="Q913" i="1"/>
  <c r="O913" i="1"/>
  <c r="P913" i="1" s="1"/>
  <c r="I913" i="1"/>
  <c r="F913" i="1"/>
  <c r="Z912" i="1"/>
  <c r="V912" i="1"/>
  <c r="Q912" i="1"/>
  <c r="O912" i="1"/>
  <c r="P912" i="1" s="1"/>
  <c r="I912" i="1"/>
  <c r="F912" i="1"/>
  <c r="Z911" i="1"/>
  <c r="V911" i="1"/>
  <c r="Q911" i="1"/>
  <c r="O911" i="1"/>
  <c r="P911" i="1" s="1"/>
  <c r="I911" i="1"/>
  <c r="F911" i="1"/>
  <c r="Z910" i="1"/>
  <c r="V910" i="1"/>
  <c r="Q910" i="1"/>
  <c r="O910" i="1"/>
  <c r="P910" i="1" s="1"/>
  <c r="I910" i="1"/>
  <c r="F910" i="1"/>
  <c r="Z909" i="1"/>
  <c r="V909" i="1"/>
  <c r="Q909" i="1"/>
  <c r="O909" i="1"/>
  <c r="P909" i="1" s="1"/>
  <c r="F909" i="1"/>
  <c r="Z908" i="1"/>
  <c r="V908" i="1"/>
  <c r="Q908" i="1"/>
  <c r="O908" i="1"/>
  <c r="P908" i="1" s="1"/>
  <c r="F908" i="1"/>
  <c r="Z907" i="1"/>
  <c r="V907" i="1"/>
  <c r="Q907" i="1"/>
  <c r="O907" i="1"/>
  <c r="P907" i="1" s="1"/>
  <c r="F907" i="1"/>
  <c r="Z906" i="1"/>
  <c r="V906" i="1"/>
  <c r="Q906" i="1"/>
  <c r="O906" i="1"/>
  <c r="P906" i="1" s="1"/>
  <c r="F906" i="1"/>
  <c r="Z905" i="1"/>
  <c r="V905" i="1"/>
  <c r="Q905" i="1"/>
  <c r="O905" i="1"/>
  <c r="P905" i="1" s="1"/>
  <c r="I905" i="1"/>
  <c r="Z904" i="1"/>
  <c r="V904" i="1"/>
  <c r="Q904" i="1"/>
  <c r="O904" i="1"/>
  <c r="P904" i="1" s="1"/>
  <c r="I904" i="1"/>
  <c r="G904" i="1"/>
  <c r="F904" i="1"/>
  <c r="Z903" i="1"/>
  <c r="W903" i="1"/>
  <c r="V903" i="1"/>
  <c r="Q903" i="1"/>
  <c r="O903" i="1"/>
  <c r="P903" i="1" s="1"/>
  <c r="I903" i="1"/>
  <c r="G903" i="1"/>
  <c r="F903" i="1"/>
  <c r="Z902" i="1"/>
  <c r="V902" i="1"/>
  <c r="O902" i="1"/>
  <c r="P902" i="1" s="1"/>
  <c r="Z901" i="1"/>
  <c r="V901" i="1"/>
  <c r="O901" i="1"/>
  <c r="P901" i="1" s="1"/>
  <c r="I901" i="1"/>
  <c r="Z900" i="1"/>
  <c r="V900" i="1"/>
  <c r="O900" i="1"/>
  <c r="P900" i="1" s="1"/>
  <c r="I900" i="1"/>
  <c r="Z899" i="1"/>
  <c r="V899" i="1"/>
  <c r="O899" i="1"/>
  <c r="P899" i="1" s="1"/>
  <c r="I899" i="1"/>
  <c r="Z898" i="1"/>
  <c r="V898" i="1"/>
  <c r="Q898" i="1"/>
  <c r="O898" i="1"/>
  <c r="P898" i="1" s="1"/>
  <c r="I898" i="1"/>
  <c r="G898" i="1"/>
  <c r="F898" i="1"/>
  <c r="Z897" i="1"/>
  <c r="V897" i="1"/>
  <c r="Q897" i="1"/>
  <c r="O897" i="1"/>
  <c r="P897" i="1" s="1"/>
  <c r="I897" i="1"/>
  <c r="G897" i="1"/>
  <c r="F897" i="1"/>
  <c r="Z896" i="1"/>
  <c r="V896" i="1"/>
  <c r="Q896" i="1"/>
  <c r="O896" i="1"/>
  <c r="P896" i="1" s="1"/>
  <c r="I896" i="1"/>
  <c r="G896" i="1"/>
  <c r="F896" i="1"/>
  <c r="Z895" i="1"/>
  <c r="V895" i="1"/>
  <c r="Q895" i="1"/>
  <c r="O895" i="1"/>
  <c r="P895" i="1" s="1"/>
  <c r="I895" i="1"/>
  <c r="G895" i="1"/>
  <c r="F895" i="1"/>
  <c r="Z894" i="1"/>
  <c r="V894" i="1"/>
  <c r="Q894" i="1"/>
  <c r="O894" i="1"/>
  <c r="P894" i="1" s="1"/>
  <c r="I894" i="1"/>
  <c r="G894" i="1"/>
  <c r="F894" i="1"/>
  <c r="Z893" i="1"/>
  <c r="V893" i="1"/>
  <c r="Q893" i="1"/>
  <c r="O893" i="1"/>
  <c r="P893" i="1" s="1"/>
  <c r="I893" i="1"/>
  <c r="G893" i="1"/>
  <c r="F893" i="1"/>
  <c r="Z892" i="1"/>
  <c r="V892" i="1"/>
  <c r="Q892" i="1"/>
  <c r="O892" i="1"/>
  <c r="P892" i="1" s="1"/>
  <c r="I892" i="1"/>
  <c r="G892" i="1"/>
  <c r="F892" i="1"/>
  <c r="Z891" i="1"/>
  <c r="V891" i="1"/>
  <c r="Q891" i="1"/>
  <c r="O891" i="1"/>
  <c r="P891" i="1" s="1"/>
  <c r="I891" i="1"/>
  <c r="G891" i="1"/>
  <c r="F891" i="1"/>
  <c r="Z890" i="1"/>
  <c r="V890" i="1"/>
  <c r="Q890" i="1"/>
  <c r="O890" i="1"/>
  <c r="P890" i="1" s="1"/>
  <c r="I890" i="1"/>
  <c r="G890" i="1"/>
  <c r="F890" i="1"/>
  <c r="Z889" i="1"/>
  <c r="V889" i="1"/>
  <c r="Q889" i="1"/>
  <c r="O889" i="1"/>
  <c r="P889" i="1" s="1"/>
  <c r="I889" i="1"/>
  <c r="G889" i="1"/>
  <c r="F889" i="1"/>
  <c r="V888" i="1"/>
  <c r="Q888" i="1"/>
  <c r="Z888" i="1" s="1"/>
  <c r="O888" i="1"/>
  <c r="P888" i="1" s="1"/>
  <c r="I888" i="1"/>
  <c r="G888" i="1"/>
  <c r="F888" i="1"/>
  <c r="V887" i="1"/>
  <c r="Q887" i="1"/>
  <c r="Z887" i="1" s="1"/>
  <c r="O887" i="1"/>
  <c r="P887" i="1" s="1"/>
  <c r="I887" i="1"/>
  <c r="G887" i="1"/>
  <c r="F887" i="1"/>
  <c r="Z886" i="1"/>
  <c r="V886" i="1"/>
  <c r="Q886" i="1"/>
  <c r="O886" i="1"/>
  <c r="P886" i="1" s="1"/>
  <c r="I886" i="1"/>
  <c r="G886" i="1"/>
  <c r="F886" i="1"/>
  <c r="Z885" i="1"/>
  <c r="V885" i="1"/>
  <c r="Q885" i="1"/>
  <c r="O885" i="1"/>
  <c r="P885" i="1" s="1"/>
  <c r="I885" i="1"/>
  <c r="G885" i="1"/>
  <c r="F885" i="1"/>
  <c r="Z884" i="1"/>
  <c r="V884" i="1"/>
  <c r="Q884" i="1"/>
  <c r="O884" i="1"/>
  <c r="P884" i="1" s="1"/>
  <c r="G884" i="1"/>
  <c r="F884" i="1"/>
  <c r="Z883" i="1"/>
  <c r="V883" i="1"/>
  <c r="Q883" i="1"/>
  <c r="O883" i="1"/>
  <c r="P883" i="1" s="1"/>
  <c r="G883" i="1"/>
  <c r="F883" i="1"/>
  <c r="Z882" i="1"/>
  <c r="V882" i="1"/>
  <c r="Q882" i="1"/>
  <c r="O882" i="1"/>
  <c r="P882" i="1" s="1"/>
  <c r="G882" i="1"/>
  <c r="F882" i="1"/>
  <c r="Z881" i="1"/>
  <c r="V881" i="1"/>
  <c r="Q881" i="1"/>
  <c r="O881" i="1"/>
  <c r="P881" i="1" s="1"/>
  <c r="G881" i="1"/>
  <c r="F881" i="1"/>
  <c r="Z880" i="1"/>
  <c r="V880" i="1"/>
  <c r="Q880" i="1"/>
  <c r="O880" i="1"/>
  <c r="P880" i="1" s="1"/>
  <c r="G880" i="1"/>
  <c r="F880" i="1"/>
  <c r="Z879" i="1"/>
  <c r="V879" i="1"/>
  <c r="Q879" i="1"/>
  <c r="O879" i="1"/>
  <c r="P879" i="1" s="1"/>
  <c r="G879" i="1"/>
  <c r="F879" i="1"/>
  <c r="Z878" i="1"/>
  <c r="V878" i="1"/>
  <c r="Q878" i="1"/>
  <c r="O878" i="1"/>
  <c r="P878" i="1" s="1"/>
  <c r="G878" i="1"/>
  <c r="F878" i="1"/>
  <c r="Z877" i="1"/>
  <c r="V877" i="1"/>
  <c r="Q877" i="1"/>
  <c r="O877" i="1"/>
  <c r="P877" i="1" s="1"/>
  <c r="G877" i="1"/>
  <c r="F877" i="1"/>
  <c r="Z876" i="1"/>
  <c r="V876" i="1"/>
  <c r="Q876" i="1"/>
  <c r="O876" i="1"/>
  <c r="P876" i="1" s="1"/>
  <c r="G876" i="1"/>
  <c r="F876" i="1"/>
  <c r="Z875" i="1"/>
  <c r="V875" i="1"/>
  <c r="Q875" i="1"/>
  <c r="O875" i="1"/>
  <c r="P875" i="1" s="1"/>
  <c r="G875" i="1"/>
  <c r="F875" i="1"/>
  <c r="Z874" i="1"/>
  <c r="V874" i="1"/>
  <c r="Q874" i="1"/>
  <c r="O874" i="1"/>
  <c r="P874" i="1" s="1"/>
  <c r="G874" i="1"/>
  <c r="F874" i="1"/>
  <c r="Z873" i="1"/>
  <c r="V873" i="1"/>
  <c r="Q873" i="1"/>
  <c r="O873" i="1"/>
  <c r="P873" i="1" s="1"/>
  <c r="G873" i="1"/>
  <c r="F873" i="1"/>
  <c r="Z872" i="1"/>
  <c r="V872" i="1"/>
  <c r="Q872" i="1"/>
  <c r="O872" i="1"/>
  <c r="P872" i="1" s="1"/>
  <c r="G872" i="1"/>
  <c r="F872" i="1"/>
  <c r="Z871" i="1"/>
  <c r="V871" i="1"/>
  <c r="Q871" i="1"/>
  <c r="O871" i="1"/>
  <c r="P871" i="1" s="1"/>
  <c r="G871" i="1"/>
  <c r="F871" i="1"/>
  <c r="Z870" i="1"/>
  <c r="V870" i="1"/>
  <c r="Q870" i="1"/>
  <c r="O870" i="1"/>
  <c r="P870" i="1" s="1"/>
  <c r="G870" i="1"/>
  <c r="F870" i="1"/>
  <c r="Z869" i="1"/>
  <c r="V869" i="1"/>
  <c r="Q869" i="1"/>
  <c r="O869" i="1"/>
  <c r="P869" i="1" s="1"/>
  <c r="I869" i="1"/>
  <c r="G869" i="1"/>
  <c r="F869" i="1"/>
  <c r="Z868" i="1"/>
  <c r="V868" i="1"/>
  <c r="Q868" i="1"/>
  <c r="O868" i="1"/>
  <c r="P868" i="1" s="1"/>
  <c r="I868" i="1"/>
  <c r="G868" i="1"/>
  <c r="F868" i="1"/>
  <c r="Z867" i="1"/>
  <c r="V867" i="1"/>
  <c r="Q867" i="1"/>
  <c r="O867" i="1"/>
  <c r="P867" i="1" s="1"/>
  <c r="I867" i="1"/>
  <c r="G867" i="1"/>
  <c r="F867" i="1"/>
  <c r="Z866" i="1"/>
  <c r="V866" i="1"/>
  <c r="Q866" i="1"/>
  <c r="O866" i="1"/>
  <c r="P866" i="1" s="1"/>
  <c r="I866" i="1"/>
  <c r="G866" i="1"/>
  <c r="F866" i="1"/>
  <c r="Z865" i="1"/>
  <c r="V865" i="1"/>
  <c r="Q865" i="1"/>
  <c r="O865" i="1"/>
  <c r="P865" i="1" s="1"/>
  <c r="G865" i="1"/>
  <c r="F865" i="1"/>
  <c r="Z864" i="1"/>
  <c r="V864" i="1"/>
  <c r="Q864" i="1"/>
  <c r="O864" i="1"/>
  <c r="P864" i="1" s="1"/>
  <c r="I864" i="1"/>
  <c r="G864" i="1"/>
  <c r="F864" i="1"/>
  <c r="Z863" i="1"/>
  <c r="V863" i="1"/>
  <c r="Q863" i="1"/>
  <c r="O863" i="1"/>
  <c r="P863" i="1" s="1"/>
  <c r="I863" i="1"/>
  <c r="G863" i="1"/>
  <c r="F863" i="1"/>
  <c r="Z862" i="1"/>
  <c r="V862" i="1"/>
  <c r="Q862" i="1"/>
  <c r="O862" i="1"/>
  <c r="P862" i="1" s="1"/>
  <c r="G862" i="1"/>
  <c r="F862" i="1"/>
  <c r="Z861" i="1"/>
  <c r="V861" i="1"/>
  <c r="Q861" i="1"/>
  <c r="O861" i="1"/>
  <c r="P861" i="1" s="1"/>
  <c r="G861" i="1"/>
  <c r="F861" i="1"/>
  <c r="Z860" i="1"/>
  <c r="V860" i="1"/>
  <c r="Q860" i="1"/>
  <c r="O860" i="1"/>
  <c r="P860" i="1" s="1"/>
  <c r="G860" i="1"/>
  <c r="F860" i="1"/>
  <c r="Z859" i="1"/>
  <c r="V859" i="1"/>
  <c r="Q859" i="1"/>
  <c r="O859" i="1"/>
  <c r="P859" i="1" s="1"/>
  <c r="G859" i="1"/>
  <c r="F859" i="1"/>
  <c r="Z858" i="1"/>
  <c r="V858" i="1"/>
  <c r="Q858" i="1"/>
  <c r="O858" i="1"/>
  <c r="P858" i="1" s="1"/>
  <c r="G858" i="1"/>
  <c r="F858" i="1"/>
  <c r="Z857" i="1"/>
  <c r="V857" i="1"/>
  <c r="Q857" i="1"/>
  <c r="O857" i="1"/>
  <c r="P857" i="1" s="1"/>
  <c r="G857" i="1"/>
  <c r="F857" i="1"/>
  <c r="Z856" i="1"/>
  <c r="V856" i="1"/>
  <c r="Q856" i="1"/>
  <c r="O856" i="1"/>
  <c r="P856" i="1" s="1"/>
  <c r="G856" i="1"/>
  <c r="F856" i="1"/>
  <c r="Z855" i="1"/>
  <c r="V855" i="1"/>
  <c r="Q855" i="1"/>
  <c r="O855" i="1"/>
  <c r="P855" i="1" s="1"/>
  <c r="I855" i="1"/>
  <c r="G855" i="1"/>
  <c r="F855" i="1"/>
  <c r="Z854" i="1"/>
  <c r="V854" i="1"/>
  <c r="Q854" i="1"/>
  <c r="O854" i="1"/>
  <c r="P854" i="1" s="1"/>
  <c r="I854" i="1"/>
  <c r="G854" i="1"/>
  <c r="F854" i="1"/>
  <c r="Z853" i="1"/>
  <c r="V853" i="1"/>
  <c r="Q853" i="1"/>
  <c r="O853" i="1"/>
  <c r="P853" i="1" s="1"/>
  <c r="I853" i="1"/>
  <c r="G853" i="1"/>
  <c r="F853" i="1"/>
  <c r="Z852" i="1"/>
  <c r="V852" i="1"/>
  <c r="Q852" i="1"/>
  <c r="O852" i="1"/>
  <c r="P852" i="1" s="1"/>
  <c r="I852" i="1"/>
  <c r="G852" i="1"/>
  <c r="F852" i="1"/>
  <c r="Z851" i="1"/>
  <c r="W851" i="1"/>
  <c r="V851" i="1"/>
  <c r="Q851" i="1"/>
  <c r="O851" i="1"/>
  <c r="P851" i="1" s="1"/>
  <c r="I851" i="1"/>
  <c r="G851" i="1"/>
  <c r="F851" i="1"/>
  <c r="Z850" i="1"/>
  <c r="V850" i="1"/>
  <c r="Q850" i="1"/>
  <c r="O850" i="1"/>
  <c r="P850" i="1" s="1"/>
  <c r="I850" i="1"/>
  <c r="G850" i="1"/>
  <c r="F850" i="1"/>
  <c r="Z849" i="1"/>
  <c r="V849" i="1"/>
  <c r="Q849" i="1"/>
  <c r="O849" i="1"/>
  <c r="P849" i="1" s="1"/>
  <c r="I849" i="1"/>
  <c r="G849" i="1"/>
  <c r="F849" i="1"/>
  <c r="Z848" i="1"/>
  <c r="V848" i="1"/>
  <c r="Q848" i="1"/>
  <c r="O848" i="1"/>
  <c r="P848" i="1" s="1"/>
  <c r="I848" i="1"/>
  <c r="G848" i="1"/>
  <c r="F848" i="1"/>
  <c r="Z847" i="1"/>
  <c r="V847" i="1"/>
  <c r="Q847" i="1"/>
  <c r="O847" i="1"/>
  <c r="P847" i="1" s="1"/>
  <c r="G847" i="1"/>
  <c r="F847" i="1"/>
  <c r="Z846" i="1"/>
  <c r="V846" i="1"/>
  <c r="Q846" i="1"/>
  <c r="O846" i="1"/>
  <c r="P846" i="1" s="1"/>
  <c r="G846" i="1"/>
  <c r="F846" i="1"/>
  <c r="Z845" i="1"/>
  <c r="V845" i="1"/>
  <c r="Q845" i="1"/>
  <c r="O845" i="1"/>
  <c r="P845" i="1" s="1"/>
  <c r="G845" i="1"/>
  <c r="F845" i="1"/>
  <c r="Z844" i="1"/>
  <c r="V844" i="1"/>
  <c r="Q844" i="1"/>
  <c r="O844" i="1"/>
  <c r="P844" i="1" s="1"/>
  <c r="I844" i="1"/>
  <c r="G844" i="1"/>
  <c r="F844" i="1"/>
  <c r="Z843" i="1"/>
  <c r="V843" i="1"/>
  <c r="Q843" i="1"/>
  <c r="O843" i="1"/>
  <c r="P843" i="1" s="1"/>
  <c r="G843" i="1"/>
  <c r="F843" i="1"/>
  <c r="Z842" i="1"/>
  <c r="V842" i="1"/>
  <c r="Q842" i="1"/>
  <c r="O842" i="1"/>
  <c r="P842" i="1" s="1"/>
  <c r="I842" i="1"/>
  <c r="G842" i="1"/>
  <c r="F842" i="1"/>
  <c r="Z841" i="1"/>
  <c r="V841" i="1"/>
  <c r="Q841" i="1"/>
  <c r="O841" i="1"/>
  <c r="P841" i="1" s="1"/>
  <c r="I841" i="1"/>
  <c r="G841" i="1"/>
  <c r="F841" i="1"/>
  <c r="Z840" i="1"/>
  <c r="V840" i="1"/>
  <c r="O840" i="1"/>
  <c r="P840" i="1" s="1"/>
  <c r="G840" i="1"/>
  <c r="F840" i="1"/>
  <c r="Z839" i="1"/>
  <c r="V839" i="1"/>
  <c r="O839" i="1"/>
  <c r="P839" i="1" s="1"/>
  <c r="G839" i="1"/>
  <c r="F839" i="1"/>
  <c r="Z838" i="1"/>
  <c r="V838" i="1"/>
  <c r="O838" i="1"/>
  <c r="P838" i="1" s="1"/>
  <c r="G838" i="1"/>
  <c r="F838" i="1"/>
  <c r="Z837" i="1"/>
  <c r="V837" i="1"/>
  <c r="Q837" i="1"/>
  <c r="O837" i="1"/>
  <c r="P837" i="1" s="1"/>
  <c r="I837" i="1"/>
  <c r="G837" i="1"/>
  <c r="F837" i="1"/>
  <c r="Z836" i="1"/>
  <c r="V836" i="1"/>
  <c r="Q836" i="1"/>
  <c r="O836" i="1"/>
  <c r="P836" i="1" s="1"/>
  <c r="I836" i="1"/>
  <c r="G836" i="1"/>
  <c r="F836" i="1"/>
  <c r="Z835" i="1"/>
  <c r="V835" i="1"/>
  <c r="Q835" i="1"/>
  <c r="O835" i="1"/>
  <c r="P835" i="1" s="1"/>
  <c r="I835" i="1"/>
  <c r="G835" i="1"/>
  <c r="F835" i="1"/>
  <c r="Z834" i="1"/>
  <c r="W834" i="1"/>
  <c r="V834" i="1"/>
  <c r="O834" i="1"/>
  <c r="P834" i="1" s="1"/>
  <c r="G834" i="1"/>
  <c r="F834" i="1"/>
  <c r="Z833" i="1"/>
  <c r="W833" i="1"/>
  <c r="V833" i="1"/>
  <c r="O833" i="1"/>
  <c r="P833" i="1" s="1"/>
  <c r="G833" i="1"/>
  <c r="F833" i="1"/>
  <c r="Z832" i="1"/>
  <c r="V832" i="1"/>
  <c r="Q832" i="1"/>
  <c r="O832" i="1"/>
  <c r="P832" i="1" s="1"/>
  <c r="I832" i="1"/>
  <c r="G832" i="1"/>
  <c r="F832" i="1"/>
  <c r="Z831" i="1"/>
  <c r="V831" i="1"/>
  <c r="Q831" i="1"/>
  <c r="O831" i="1"/>
  <c r="P831" i="1" s="1"/>
  <c r="I831" i="1"/>
  <c r="G831" i="1"/>
  <c r="F831" i="1"/>
  <c r="Z830" i="1"/>
  <c r="W830" i="1"/>
  <c r="V830" i="1"/>
  <c r="Q830" i="1"/>
  <c r="O830" i="1"/>
  <c r="P830" i="1" s="1"/>
  <c r="I830" i="1"/>
  <c r="G830" i="1"/>
  <c r="F830" i="1"/>
  <c r="Z829" i="1"/>
  <c r="W829" i="1"/>
  <c r="V829" i="1"/>
  <c r="Q829" i="1"/>
  <c r="O829" i="1"/>
  <c r="P829" i="1" s="1"/>
  <c r="I829" i="1"/>
  <c r="G829" i="1"/>
  <c r="F829" i="1"/>
  <c r="Z828" i="1"/>
  <c r="W828" i="1"/>
  <c r="V828" i="1"/>
  <c r="Q828" i="1"/>
  <c r="O828" i="1"/>
  <c r="P828" i="1" s="1"/>
  <c r="I828" i="1"/>
  <c r="G828" i="1"/>
  <c r="F828" i="1"/>
  <c r="Z827" i="1"/>
  <c r="V827" i="1"/>
  <c r="Q827" i="1"/>
  <c r="O827" i="1"/>
  <c r="P827" i="1" s="1"/>
  <c r="I827" i="1"/>
  <c r="G827" i="1"/>
  <c r="F827" i="1"/>
  <c r="Z826" i="1"/>
  <c r="V826" i="1"/>
  <c r="Q826" i="1"/>
  <c r="O826" i="1"/>
  <c r="P826" i="1" s="1"/>
  <c r="G826" i="1"/>
  <c r="F826" i="1"/>
  <c r="Z825" i="1"/>
  <c r="V825" i="1"/>
  <c r="Q825" i="1"/>
  <c r="O825" i="1"/>
  <c r="P825" i="1" s="1"/>
  <c r="I825" i="1"/>
  <c r="G825" i="1"/>
  <c r="F825" i="1"/>
  <c r="Z824" i="1"/>
  <c r="W824" i="1"/>
  <c r="V824" i="1"/>
  <c r="Q824" i="1"/>
  <c r="O824" i="1"/>
  <c r="P824" i="1" s="1"/>
  <c r="I824" i="1"/>
  <c r="G824" i="1"/>
  <c r="F824" i="1"/>
  <c r="Z823" i="1"/>
  <c r="V823" i="1"/>
  <c r="Q823" i="1"/>
  <c r="O823" i="1"/>
  <c r="P823" i="1" s="1"/>
  <c r="G823" i="1"/>
  <c r="F823" i="1"/>
  <c r="Z822" i="1"/>
  <c r="V822" i="1"/>
  <c r="Q822" i="1"/>
  <c r="O822" i="1"/>
  <c r="P822" i="1" s="1"/>
  <c r="I822" i="1"/>
  <c r="G822" i="1"/>
  <c r="F822" i="1"/>
  <c r="Z821" i="1"/>
  <c r="V821" i="1"/>
  <c r="Q821" i="1"/>
  <c r="O821" i="1"/>
  <c r="P821" i="1" s="1"/>
  <c r="G821" i="1"/>
  <c r="F821" i="1"/>
  <c r="Z820" i="1"/>
  <c r="V820" i="1"/>
  <c r="Q820" i="1"/>
  <c r="O820" i="1"/>
  <c r="P820" i="1" s="1"/>
  <c r="G820" i="1"/>
  <c r="F820" i="1"/>
  <c r="Z819" i="1"/>
  <c r="V819" i="1"/>
  <c r="Q819" i="1"/>
  <c r="O819" i="1"/>
  <c r="P819" i="1" s="1"/>
  <c r="I819" i="1"/>
  <c r="G819" i="1"/>
  <c r="F819" i="1"/>
  <c r="Z818" i="1"/>
  <c r="V818" i="1"/>
  <c r="Q818" i="1"/>
  <c r="O818" i="1"/>
  <c r="P818" i="1" s="1"/>
  <c r="I818" i="1"/>
  <c r="G818" i="1"/>
  <c r="F818" i="1"/>
  <c r="Z817" i="1"/>
  <c r="V817" i="1"/>
  <c r="Q817" i="1"/>
  <c r="O817" i="1"/>
  <c r="P817" i="1" s="1"/>
  <c r="I817" i="1"/>
  <c r="G817" i="1"/>
  <c r="F817" i="1"/>
  <c r="Z816" i="1"/>
  <c r="V816" i="1"/>
  <c r="Q816" i="1"/>
  <c r="O816" i="1"/>
  <c r="P816" i="1" s="1"/>
  <c r="I816" i="1"/>
  <c r="G816" i="1"/>
  <c r="F816" i="1"/>
  <c r="Z815" i="1"/>
  <c r="V815" i="1"/>
  <c r="Q815" i="1"/>
  <c r="O815" i="1"/>
  <c r="P815" i="1" s="1"/>
  <c r="I815" i="1"/>
  <c r="G815" i="1"/>
  <c r="F815" i="1"/>
  <c r="Z814" i="1"/>
  <c r="V814" i="1"/>
  <c r="Q814" i="1"/>
  <c r="O814" i="1"/>
  <c r="P814" i="1" s="1"/>
  <c r="I814" i="1"/>
  <c r="G814" i="1"/>
  <c r="F814" i="1"/>
  <c r="Z813" i="1"/>
  <c r="V813" i="1"/>
  <c r="Q813" i="1"/>
  <c r="O813" i="1"/>
  <c r="P813" i="1" s="1"/>
  <c r="I813" i="1"/>
  <c r="G813" i="1"/>
  <c r="F813" i="1"/>
  <c r="Z812" i="1"/>
  <c r="W812" i="1"/>
  <c r="V812" i="1"/>
  <c r="O812" i="1"/>
  <c r="P812" i="1" s="1"/>
  <c r="I812" i="1"/>
  <c r="G812" i="1"/>
  <c r="F812" i="1"/>
  <c r="Z811" i="1"/>
  <c r="V811" i="1"/>
  <c r="Q811" i="1"/>
  <c r="O811" i="1"/>
  <c r="P811" i="1" s="1"/>
  <c r="I811" i="1"/>
  <c r="G811" i="1"/>
  <c r="F811" i="1"/>
  <c r="Z810" i="1"/>
  <c r="W810" i="1"/>
  <c r="V810" i="1"/>
  <c r="Q810" i="1"/>
  <c r="O810" i="1"/>
  <c r="P810" i="1" s="1"/>
  <c r="I810" i="1"/>
  <c r="G810" i="1"/>
  <c r="F810" i="1"/>
  <c r="Z809" i="1"/>
  <c r="W809" i="1"/>
  <c r="V809" i="1"/>
  <c r="O809" i="1"/>
  <c r="P809" i="1" s="1"/>
  <c r="G809" i="1"/>
  <c r="F809" i="1"/>
  <c r="Z808" i="1"/>
  <c r="W808" i="1"/>
  <c r="V808" i="1"/>
  <c r="Q808" i="1"/>
  <c r="O808" i="1"/>
  <c r="P808" i="1" s="1"/>
  <c r="I808" i="1"/>
  <c r="G808" i="1"/>
  <c r="F808" i="1"/>
  <c r="Z807" i="1"/>
  <c r="W807" i="1"/>
  <c r="V807" i="1"/>
  <c r="Q807" i="1"/>
  <c r="O807" i="1"/>
  <c r="P807" i="1" s="1"/>
  <c r="I807" i="1"/>
  <c r="G807" i="1"/>
  <c r="F807" i="1"/>
  <c r="Z806" i="1"/>
  <c r="W806" i="1"/>
  <c r="V806" i="1"/>
  <c r="O806" i="1"/>
  <c r="P806" i="1" s="1"/>
  <c r="G806" i="1"/>
  <c r="F806" i="1"/>
  <c r="Z805" i="1"/>
  <c r="V805" i="1"/>
  <c r="Q805" i="1"/>
  <c r="O805" i="1"/>
  <c r="P805" i="1" s="1"/>
  <c r="G805" i="1"/>
  <c r="F805" i="1"/>
  <c r="Z804" i="1"/>
  <c r="V804" i="1"/>
  <c r="O804" i="1"/>
  <c r="P804" i="1" s="1"/>
  <c r="G804" i="1"/>
  <c r="F804" i="1"/>
  <c r="Z803" i="1"/>
  <c r="V803" i="1"/>
  <c r="O803" i="1"/>
  <c r="P803" i="1" s="1"/>
  <c r="G803" i="1"/>
  <c r="F803" i="1"/>
  <c r="Z802" i="1"/>
  <c r="W802" i="1"/>
  <c r="V802" i="1"/>
  <c r="O802" i="1"/>
  <c r="P802" i="1" s="1"/>
  <c r="G802" i="1"/>
  <c r="F802" i="1"/>
  <c r="Z801" i="1"/>
  <c r="W801" i="1"/>
  <c r="V801" i="1"/>
  <c r="Q801" i="1"/>
  <c r="O801" i="1"/>
  <c r="P801" i="1" s="1"/>
  <c r="G801" i="1"/>
  <c r="F801" i="1"/>
  <c r="Z800" i="1"/>
  <c r="W800" i="1"/>
  <c r="V800" i="1"/>
  <c r="Q800" i="1"/>
  <c r="O800" i="1"/>
  <c r="P800" i="1" s="1"/>
  <c r="G800" i="1"/>
  <c r="F800" i="1"/>
  <c r="Z799" i="1"/>
  <c r="W799" i="1"/>
  <c r="V799" i="1"/>
  <c r="Q799" i="1"/>
  <c r="O799" i="1"/>
  <c r="P799" i="1" s="1"/>
  <c r="G799" i="1"/>
  <c r="F799" i="1"/>
  <c r="Z798" i="1"/>
  <c r="W798" i="1"/>
  <c r="V798" i="1"/>
  <c r="Q798" i="1"/>
  <c r="O798" i="1"/>
  <c r="P798" i="1" s="1"/>
  <c r="G798" i="1"/>
  <c r="F798" i="1"/>
  <c r="Z797" i="1"/>
  <c r="W797" i="1"/>
  <c r="V797" i="1"/>
  <c r="Q797" i="1"/>
  <c r="O797" i="1"/>
  <c r="P797" i="1" s="1"/>
  <c r="G797" i="1"/>
  <c r="F797" i="1"/>
  <c r="Z796" i="1"/>
  <c r="W796" i="1"/>
  <c r="V796" i="1"/>
  <c r="Q796" i="1"/>
  <c r="O796" i="1"/>
  <c r="P796" i="1" s="1"/>
  <c r="G796" i="1"/>
  <c r="F796" i="1"/>
  <c r="Z795" i="1"/>
  <c r="W795" i="1"/>
  <c r="V795" i="1"/>
  <c r="Q795" i="1"/>
  <c r="O795" i="1"/>
  <c r="P795" i="1" s="1"/>
  <c r="G795" i="1"/>
  <c r="F795" i="1"/>
  <c r="Z794" i="1"/>
  <c r="W794" i="1"/>
  <c r="V794" i="1"/>
  <c r="Q794" i="1"/>
  <c r="O794" i="1"/>
  <c r="P794" i="1" s="1"/>
  <c r="G794" i="1"/>
  <c r="F794" i="1"/>
  <c r="Z793" i="1"/>
  <c r="W793" i="1"/>
  <c r="V793" i="1"/>
  <c r="Q793" i="1"/>
  <c r="O793" i="1"/>
  <c r="P793" i="1" s="1"/>
  <c r="G793" i="1"/>
  <c r="F793" i="1"/>
  <c r="V792" i="1"/>
  <c r="Q792" i="1"/>
  <c r="Z792" i="1" s="1"/>
  <c r="O792" i="1"/>
  <c r="P792" i="1" s="1"/>
  <c r="G792" i="1"/>
  <c r="F792" i="1"/>
  <c r="V791" i="1"/>
  <c r="Q791" i="1"/>
  <c r="Z791" i="1" s="1"/>
  <c r="N791" i="1"/>
  <c r="O791" i="1" s="1"/>
  <c r="P791" i="1" s="1"/>
  <c r="G791" i="1"/>
  <c r="F791" i="1"/>
  <c r="Z790" i="1"/>
  <c r="W790" i="1"/>
  <c r="V790" i="1"/>
  <c r="Q790" i="1"/>
  <c r="O790" i="1"/>
  <c r="P790" i="1" s="1"/>
  <c r="G790" i="1"/>
  <c r="F790" i="1"/>
  <c r="Z789" i="1"/>
  <c r="W789" i="1"/>
  <c r="V789" i="1"/>
  <c r="O789" i="1"/>
  <c r="P789" i="1" s="1"/>
  <c r="I789" i="1"/>
  <c r="G789" i="1"/>
  <c r="F789" i="1"/>
  <c r="Z788" i="1"/>
  <c r="V788" i="1"/>
  <c r="Q788" i="1"/>
  <c r="N788" i="1"/>
  <c r="W788" i="1" s="1"/>
  <c r="I788" i="1"/>
  <c r="F788" i="1"/>
  <c r="Z787" i="1"/>
  <c r="W787" i="1"/>
  <c r="V787" i="1"/>
  <c r="Q787" i="1"/>
  <c r="O787" i="1"/>
  <c r="P787" i="1" s="1"/>
  <c r="I787" i="1"/>
  <c r="G787" i="1"/>
  <c r="F787" i="1"/>
  <c r="Z786" i="1"/>
  <c r="W786" i="1"/>
  <c r="V786" i="1"/>
  <c r="Q786" i="1"/>
  <c r="O786" i="1"/>
  <c r="P786" i="1" s="1"/>
  <c r="I786" i="1"/>
  <c r="G786" i="1"/>
  <c r="F786" i="1"/>
  <c r="Z785" i="1"/>
  <c r="W785" i="1"/>
  <c r="V785" i="1"/>
  <c r="Q785" i="1"/>
  <c r="O785" i="1"/>
  <c r="P785" i="1" s="1"/>
  <c r="I785" i="1"/>
  <c r="G785" i="1"/>
  <c r="F785" i="1"/>
  <c r="Z784" i="1"/>
  <c r="W784" i="1"/>
  <c r="V784" i="1"/>
  <c r="Q784" i="1"/>
  <c r="O784" i="1"/>
  <c r="P784" i="1" s="1"/>
  <c r="I784" i="1"/>
  <c r="G784" i="1"/>
  <c r="F784" i="1"/>
  <c r="Z783" i="1"/>
  <c r="W783" i="1"/>
  <c r="V783" i="1"/>
  <c r="Q783" i="1"/>
  <c r="O783" i="1"/>
  <c r="P783" i="1" s="1"/>
  <c r="I783" i="1"/>
  <c r="G783" i="1"/>
  <c r="F783" i="1"/>
  <c r="Z782" i="1"/>
  <c r="V782" i="1"/>
  <c r="Q782" i="1"/>
  <c r="O782" i="1"/>
  <c r="P782" i="1" s="1"/>
  <c r="G782" i="1"/>
  <c r="F782" i="1"/>
  <c r="Z781" i="1"/>
  <c r="W781" i="1"/>
  <c r="V781" i="1"/>
  <c r="Q781" i="1"/>
  <c r="O781" i="1"/>
  <c r="P781" i="1" s="1"/>
  <c r="I781" i="1"/>
  <c r="G781" i="1"/>
  <c r="F781" i="1"/>
  <c r="Z780" i="1"/>
  <c r="V780" i="1"/>
  <c r="Q780" i="1"/>
  <c r="O780" i="1"/>
  <c r="P780" i="1" s="1"/>
  <c r="G780" i="1"/>
  <c r="F780" i="1"/>
  <c r="Z779" i="1"/>
  <c r="V779" i="1"/>
  <c r="Q779" i="1"/>
  <c r="N779" i="1"/>
  <c r="O779" i="1" s="1"/>
  <c r="P779" i="1" s="1"/>
  <c r="G779" i="1"/>
  <c r="F779" i="1"/>
  <c r="Z778" i="1"/>
  <c r="V778" i="1"/>
  <c r="Q778" i="1"/>
  <c r="N778" i="1"/>
  <c r="O778" i="1" s="1"/>
  <c r="P778" i="1" s="1"/>
  <c r="G778" i="1"/>
  <c r="F778" i="1"/>
  <c r="Z777" i="1"/>
  <c r="V777" i="1"/>
  <c r="Q777" i="1"/>
  <c r="N777" i="1"/>
  <c r="O777" i="1" s="1"/>
  <c r="P777" i="1" s="1"/>
  <c r="G777" i="1"/>
  <c r="F777" i="1"/>
  <c r="Z776" i="1"/>
  <c r="V776" i="1"/>
  <c r="Q776" i="1"/>
  <c r="N776" i="1"/>
  <c r="O776" i="1" s="1"/>
  <c r="P776" i="1" s="1"/>
  <c r="G776" i="1"/>
  <c r="F776" i="1"/>
  <c r="Z775" i="1"/>
  <c r="V775" i="1"/>
  <c r="Q775" i="1"/>
  <c r="N775" i="1"/>
  <c r="O775" i="1" s="1"/>
  <c r="P775" i="1" s="1"/>
  <c r="G775" i="1"/>
  <c r="F775" i="1"/>
  <c r="Z774" i="1"/>
  <c r="V774" i="1"/>
  <c r="Q774" i="1"/>
  <c r="N774" i="1"/>
  <c r="O774" i="1" s="1"/>
  <c r="P774" i="1" s="1"/>
  <c r="G774" i="1"/>
  <c r="F774" i="1"/>
  <c r="Z773" i="1"/>
  <c r="V773" i="1"/>
  <c r="Q773" i="1"/>
  <c r="N773" i="1"/>
  <c r="O773" i="1" s="1"/>
  <c r="P773" i="1" s="1"/>
  <c r="G773" i="1"/>
  <c r="F773" i="1"/>
  <c r="Z772" i="1"/>
  <c r="V772" i="1"/>
  <c r="Q772" i="1"/>
  <c r="N772" i="1"/>
  <c r="O772" i="1" s="1"/>
  <c r="P772" i="1" s="1"/>
  <c r="G772" i="1"/>
  <c r="F772" i="1"/>
  <c r="Z771" i="1"/>
  <c r="V771" i="1"/>
  <c r="Q771" i="1"/>
  <c r="N771" i="1"/>
  <c r="O771" i="1" s="1"/>
  <c r="P771" i="1" s="1"/>
  <c r="G771" i="1"/>
  <c r="F771" i="1"/>
  <c r="Z770" i="1"/>
  <c r="W770" i="1"/>
  <c r="V770" i="1"/>
  <c r="Q770" i="1"/>
  <c r="O770" i="1"/>
  <c r="P770" i="1" s="1"/>
  <c r="I770" i="1"/>
  <c r="G770" i="1"/>
  <c r="F770" i="1"/>
  <c r="Z769" i="1"/>
  <c r="V769" i="1"/>
  <c r="Q769" i="1"/>
  <c r="N769" i="1"/>
  <c r="O769" i="1" s="1"/>
  <c r="P769" i="1" s="1"/>
  <c r="G769" i="1"/>
  <c r="F769" i="1"/>
  <c r="Z768" i="1"/>
  <c r="V768" i="1"/>
  <c r="Q768" i="1"/>
  <c r="N768" i="1"/>
  <c r="O768" i="1" s="1"/>
  <c r="P768" i="1" s="1"/>
  <c r="G768" i="1"/>
  <c r="F768" i="1"/>
  <c r="Z767" i="1"/>
  <c r="W767" i="1"/>
  <c r="V767" i="1"/>
  <c r="Q767" i="1"/>
  <c r="O767" i="1"/>
  <c r="P767" i="1" s="1"/>
  <c r="G767" i="1"/>
  <c r="F767" i="1"/>
  <c r="Z766" i="1"/>
  <c r="V766" i="1"/>
  <c r="Q766" i="1"/>
  <c r="O766" i="1"/>
  <c r="P766" i="1" s="1"/>
  <c r="I766" i="1"/>
  <c r="G766" i="1"/>
  <c r="F766" i="1"/>
  <c r="Z765" i="1"/>
  <c r="V765" i="1"/>
  <c r="O765" i="1"/>
  <c r="P765" i="1" s="1"/>
  <c r="G765" i="1"/>
  <c r="F765" i="1"/>
  <c r="Z764" i="1"/>
  <c r="W764" i="1"/>
  <c r="V764" i="1"/>
  <c r="O764" i="1"/>
  <c r="P764" i="1" s="1"/>
  <c r="G764" i="1"/>
  <c r="F764" i="1"/>
  <c r="Z763" i="1"/>
  <c r="V763" i="1"/>
  <c r="Q763" i="1"/>
  <c r="O763" i="1"/>
  <c r="P763" i="1" s="1"/>
  <c r="G763" i="1"/>
  <c r="F763" i="1"/>
  <c r="Z762" i="1"/>
  <c r="V762" i="1"/>
  <c r="Q762" i="1"/>
  <c r="O762" i="1"/>
  <c r="P762" i="1" s="1"/>
  <c r="I762" i="1"/>
  <c r="G762" i="1"/>
  <c r="F762" i="1"/>
  <c r="Z761" i="1"/>
  <c r="V761" i="1"/>
  <c r="Q761" i="1"/>
  <c r="O761" i="1"/>
  <c r="P761" i="1" s="1"/>
  <c r="G761" i="1"/>
  <c r="F761" i="1"/>
  <c r="Z760" i="1"/>
  <c r="V760" i="1"/>
  <c r="Q760" i="1"/>
  <c r="O760" i="1"/>
  <c r="P760" i="1" s="1"/>
  <c r="G760" i="1"/>
  <c r="F760" i="1"/>
  <c r="Z759" i="1"/>
  <c r="V759" i="1"/>
  <c r="Q759" i="1"/>
  <c r="O759" i="1"/>
  <c r="P759" i="1" s="1"/>
  <c r="G759" i="1"/>
  <c r="F759" i="1"/>
  <c r="Z758" i="1"/>
  <c r="V758" i="1"/>
  <c r="Q758" i="1"/>
  <c r="O758" i="1"/>
  <c r="P758" i="1" s="1"/>
  <c r="G758" i="1"/>
  <c r="F758" i="1"/>
  <c r="Z757" i="1"/>
  <c r="V757" i="1"/>
  <c r="Q757" i="1"/>
  <c r="O757" i="1"/>
  <c r="P757" i="1" s="1"/>
  <c r="G757" i="1"/>
  <c r="F757" i="1"/>
  <c r="Z756" i="1"/>
  <c r="V756" i="1"/>
  <c r="Q756" i="1"/>
  <c r="O756" i="1"/>
  <c r="P756" i="1" s="1"/>
  <c r="I756" i="1"/>
  <c r="G756" i="1"/>
  <c r="F756" i="1"/>
  <c r="Z755" i="1"/>
  <c r="V755" i="1"/>
  <c r="Q755" i="1"/>
  <c r="O755" i="1"/>
  <c r="P755" i="1" s="1"/>
  <c r="F755" i="1"/>
  <c r="Z754" i="1"/>
  <c r="V754" i="1"/>
  <c r="Q754" i="1"/>
  <c r="O754" i="1"/>
  <c r="P754" i="1" s="1"/>
  <c r="F754" i="1"/>
  <c r="Z753" i="1"/>
  <c r="V753" i="1"/>
  <c r="Q753" i="1"/>
  <c r="O753" i="1"/>
  <c r="P753" i="1" s="1"/>
  <c r="F753" i="1"/>
  <c r="Z752" i="1"/>
  <c r="V752" i="1"/>
  <c r="Q752" i="1"/>
  <c r="O752" i="1"/>
  <c r="P752" i="1" s="1"/>
  <c r="F752" i="1"/>
  <c r="Z751" i="1"/>
  <c r="V751" i="1"/>
  <c r="Q751" i="1"/>
  <c r="O751" i="1"/>
  <c r="P751" i="1" s="1"/>
  <c r="Z750" i="1"/>
  <c r="V750" i="1"/>
  <c r="Q750" i="1"/>
  <c r="O750" i="1"/>
  <c r="P750" i="1" s="1"/>
  <c r="G750" i="1"/>
  <c r="F750" i="1"/>
  <c r="Z749" i="1"/>
  <c r="V749" i="1"/>
  <c r="Q749" i="1"/>
  <c r="O749" i="1"/>
  <c r="P749" i="1" s="1"/>
  <c r="G749" i="1"/>
  <c r="F749" i="1"/>
  <c r="Z748" i="1"/>
  <c r="V748" i="1"/>
  <c r="Q748" i="1"/>
  <c r="O748" i="1"/>
  <c r="P748" i="1" s="1"/>
  <c r="G748" i="1"/>
  <c r="F748" i="1"/>
  <c r="Z747" i="1"/>
  <c r="V747" i="1"/>
  <c r="Q747" i="1"/>
  <c r="O747" i="1"/>
  <c r="P747" i="1" s="1"/>
  <c r="G747" i="1"/>
  <c r="F747" i="1"/>
  <c r="Z746" i="1"/>
  <c r="V746" i="1"/>
  <c r="Q746" i="1"/>
  <c r="O746" i="1"/>
  <c r="P746" i="1" s="1"/>
  <c r="G746" i="1"/>
  <c r="F746" i="1"/>
  <c r="Z745" i="1"/>
  <c r="V745" i="1"/>
  <c r="Q745" i="1"/>
  <c r="O745" i="1"/>
  <c r="P745" i="1" s="1"/>
  <c r="G745" i="1"/>
  <c r="F745" i="1"/>
  <c r="Z744" i="1"/>
  <c r="V744" i="1"/>
  <c r="Q744" i="1"/>
  <c r="O744" i="1"/>
  <c r="P744" i="1" s="1"/>
  <c r="G744" i="1"/>
  <c r="F744" i="1"/>
  <c r="Z743" i="1"/>
  <c r="V743" i="1"/>
  <c r="Q743" i="1"/>
  <c r="O743" i="1"/>
  <c r="P743" i="1" s="1"/>
  <c r="G743" i="1"/>
  <c r="F743" i="1"/>
  <c r="Z742" i="1"/>
  <c r="V742" i="1"/>
  <c r="Q742" i="1"/>
  <c r="O742" i="1"/>
  <c r="P742" i="1" s="1"/>
  <c r="G742" i="1"/>
  <c r="F742" i="1"/>
  <c r="Z741" i="1"/>
  <c r="V741" i="1"/>
  <c r="Q741" i="1"/>
  <c r="O741" i="1"/>
  <c r="P741" i="1" s="1"/>
  <c r="G741" i="1"/>
  <c r="F741" i="1"/>
  <c r="Z740" i="1"/>
  <c r="V740" i="1"/>
  <c r="Q740" i="1"/>
  <c r="O740" i="1"/>
  <c r="P740" i="1" s="1"/>
  <c r="G740" i="1"/>
  <c r="F740" i="1"/>
  <c r="Z739" i="1"/>
  <c r="V739" i="1"/>
  <c r="Q739" i="1"/>
  <c r="O739" i="1"/>
  <c r="P739" i="1" s="1"/>
  <c r="G739" i="1"/>
  <c r="F739" i="1"/>
  <c r="Z738" i="1"/>
  <c r="V738" i="1"/>
  <c r="Q738" i="1"/>
  <c r="O738" i="1"/>
  <c r="P738" i="1" s="1"/>
  <c r="G738" i="1"/>
  <c r="F738" i="1"/>
  <c r="Z737" i="1"/>
  <c r="V737" i="1"/>
  <c r="Q737" i="1"/>
  <c r="O737" i="1"/>
  <c r="P737" i="1" s="1"/>
  <c r="G737" i="1"/>
  <c r="F737" i="1"/>
  <c r="Z736" i="1"/>
  <c r="V736" i="1"/>
  <c r="Q736" i="1"/>
  <c r="O736" i="1"/>
  <c r="P736" i="1" s="1"/>
  <c r="G736" i="1"/>
  <c r="F736" i="1"/>
  <c r="Z735" i="1"/>
  <c r="V735" i="1"/>
  <c r="Q735" i="1"/>
  <c r="O735" i="1"/>
  <c r="P735" i="1" s="1"/>
  <c r="Z734" i="1"/>
  <c r="V734" i="1"/>
  <c r="Q734" i="1"/>
  <c r="O734" i="1"/>
  <c r="P734" i="1" s="1"/>
  <c r="G734" i="1"/>
  <c r="F734" i="1"/>
  <c r="Z733" i="1"/>
  <c r="V733" i="1"/>
  <c r="Q733" i="1"/>
  <c r="O733" i="1"/>
  <c r="P733" i="1" s="1"/>
  <c r="G733" i="1"/>
  <c r="F733" i="1"/>
  <c r="Z732" i="1"/>
  <c r="V732" i="1"/>
  <c r="Q732" i="1"/>
  <c r="O732" i="1"/>
  <c r="P732" i="1" s="1"/>
  <c r="G732" i="1"/>
  <c r="F732" i="1"/>
  <c r="Z731" i="1"/>
  <c r="V731" i="1"/>
  <c r="Q731" i="1"/>
  <c r="O731" i="1"/>
  <c r="P731" i="1" s="1"/>
  <c r="G731" i="1"/>
  <c r="F731" i="1"/>
  <c r="Z730" i="1"/>
  <c r="V730" i="1"/>
  <c r="Q730" i="1"/>
  <c r="O730" i="1"/>
  <c r="P730" i="1" s="1"/>
  <c r="G730" i="1"/>
  <c r="F730" i="1"/>
  <c r="Z729" i="1"/>
  <c r="V729" i="1"/>
  <c r="Q729" i="1"/>
  <c r="O729" i="1"/>
  <c r="P729" i="1" s="1"/>
  <c r="G729" i="1"/>
  <c r="F729" i="1"/>
  <c r="Z728" i="1"/>
  <c r="V728" i="1"/>
  <c r="Q728" i="1"/>
  <c r="O728" i="1"/>
  <c r="P728" i="1" s="1"/>
  <c r="G728" i="1"/>
  <c r="F728" i="1"/>
  <c r="Z727" i="1"/>
  <c r="V727" i="1"/>
  <c r="Q727" i="1"/>
  <c r="O727" i="1"/>
  <c r="P727" i="1" s="1"/>
  <c r="G727" i="1"/>
  <c r="F727" i="1"/>
  <c r="Z726" i="1"/>
  <c r="V726" i="1"/>
  <c r="Q726" i="1"/>
  <c r="O726" i="1"/>
  <c r="P726" i="1" s="1"/>
  <c r="G726" i="1"/>
  <c r="F726" i="1"/>
  <c r="Z725" i="1"/>
  <c r="V725" i="1"/>
  <c r="Q725" i="1"/>
  <c r="O725" i="1"/>
  <c r="P725" i="1" s="1"/>
  <c r="G725" i="1"/>
  <c r="F725" i="1"/>
  <c r="Z724" i="1"/>
  <c r="V724" i="1"/>
  <c r="Q724" i="1"/>
  <c r="N724" i="1"/>
  <c r="O724" i="1" s="1"/>
  <c r="P724" i="1" s="1"/>
  <c r="G724" i="1"/>
  <c r="F724" i="1"/>
  <c r="Z723" i="1"/>
  <c r="V723" i="1"/>
  <c r="Q723" i="1"/>
  <c r="N723" i="1"/>
  <c r="O723" i="1" s="1"/>
  <c r="P723" i="1" s="1"/>
  <c r="G723" i="1"/>
  <c r="F723" i="1"/>
  <c r="Z722" i="1"/>
  <c r="V722" i="1"/>
  <c r="Q722" i="1"/>
  <c r="N722" i="1"/>
  <c r="O722" i="1" s="1"/>
  <c r="P722" i="1" s="1"/>
  <c r="G722" i="1"/>
  <c r="F722" i="1"/>
  <c r="Z721" i="1"/>
  <c r="Q721" i="1"/>
  <c r="O721" i="1"/>
  <c r="P721" i="1" s="1"/>
  <c r="G721" i="1"/>
  <c r="F721" i="1"/>
  <c r="Z720" i="1"/>
  <c r="V720" i="1"/>
  <c r="Q720" i="1"/>
  <c r="O720" i="1"/>
  <c r="P720" i="1" s="1"/>
  <c r="G720" i="1"/>
  <c r="F720" i="1"/>
  <c r="Z719" i="1"/>
  <c r="V719" i="1"/>
  <c r="Q719" i="1"/>
  <c r="O719" i="1"/>
  <c r="P719" i="1" s="1"/>
  <c r="G719" i="1"/>
  <c r="F719" i="1"/>
  <c r="Z718" i="1"/>
  <c r="V718" i="1"/>
  <c r="Q718" i="1"/>
  <c r="O718" i="1"/>
  <c r="P718" i="1" s="1"/>
  <c r="G718" i="1"/>
  <c r="F718" i="1"/>
  <c r="Z717" i="1"/>
  <c r="V717" i="1"/>
  <c r="Q717" i="1"/>
  <c r="O717" i="1"/>
  <c r="P717" i="1" s="1"/>
  <c r="G717" i="1"/>
  <c r="F717" i="1"/>
  <c r="Z716" i="1"/>
  <c r="V716" i="1"/>
  <c r="Q716" i="1"/>
  <c r="O716" i="1"/>
  <c r="P716" i="1" s="1"/>
  <c r="G716" i="1"/>
  <c r="F716" i="1"/>
  <c r="Z715" i="1"/>
  <c r="V715" i="1"/>
  <c r="Q715" i="1"/>
  <c r="O715" i="1"/>
  <c r="P715" i="1" s="1"/>
  <c r="G715" i="1"/>
  <c r="F715" i="1"/>
  <c r="Z714" i="1"/>
  <c r="V714" i="1"/>
  <c r="Q714" i="1"/>
  <c r="O714" i="1"/>
  <c r="P714" i="1" s="1"/>
  <c r="G714" i="1"/>
  <c r="F714" i="1"/>
  <c r="Z713" i="1"/>
  <c r="V713" i="1"/>
  <c r="Q713" i="1"/>
  <c r="O713" i="1"/>
  <c r="P713" i="1" s="1"/>
  <c r="G713" i="1"/>
  <c r="F713" i="1"/>
  <c r="Z712" i="1"/>
  <c r="V712" i="1"/>
  <c r="Q712" i="1"/>
  <c r="O712" i="1"/>
  <c r="P712" i="1" s="1"/>
  <c r="G712" i="1"/>
  <c r="Z711" i="1"/>
  <c r="V711" i="1"/>
  <c r="Q711" i="1"/>
  <c r="O711" i="1"/>
  <c r="P711" i="1" s="1"/>
  <c r="G711" i="1"/>
  <c r="F711" i="1"/>
  <c r="Z710" i="1"/>
  <c r="V710" i="1"/>
  <c r="Q710" i="1"/>
  <c r="O710" i="1"/>
  <c r="P710" i="1" s="1"/>
  <c r="G710" i="1"/>
  <c r="F710" i="1"/>
  <c r="Z709" i="1"/>
  <c r="V709" i="1"/>
  <c r="Q709" i="1"/>
  <c r="O709" i="1"/>
  <c r="P709" i="1" s="1"/>
  <c r="G709" i="1"/>
  <c r="F709" i="1"/>
  <c r="Z708" i="1"/>
  <c r="V708" i="1"/>
  <c r="Q708" i="1"/>
  <c r="O708" i="1"/>
  <c r="P708" i="1" s="1"/>
  <c r="G708" i="1"/>
  <c r="F708" i="1"/>
  <c r="Z707" i="1"/>
  <c r="V707" i="1"/>
  <c r="Q707" i="1"/>
  <c r="O707" i="1"/>
  <c r="P707" i="1" s="1"/>
  <c r="G707" i="1"/>
  <c r="F707" i="1"/>
  <c r="Z706" i="1"/>
  <c r="V706" i="1"/>
  <c r="Q706" i="1"/>
  <c r="O706" i="1"/>
  <c r="P706" i="1" s="1"/>
  <c r="G706" i="1"/>
  <c r="F706" i="1"/>
  <c r="Z705" i="1"/>
  <c r="V705" i="1"/>
  <c r="Q705" i="1"/>
  <c r="O705" i="1"/>
  <c r="P705" i="1" s="1"/>
  <c r="G705" i="1"/>
  <c r="F705" i="1"/>
  <c r="Z704" i="1"/>
  <c r="V704" i="1"/>
  <c r="Q704" i="1"/>
  <c r="O704" i="1"/>
  <c r="P704" i="1" s="1"/>
  <c r="G704" i="1"/>
  <c r="F704" i="1"/>
  <c r="Z703" i="1"/>
  <c r="V703" i="1"/>
  <c r="Q703" i="1"/>
  <c r="O703" i="1"/>
  <c r="P703" i="1" s="1"/>
  <c r="G703" i="1"/>
  <c r="F703" i="1"/>
  <c r="Z702" i="1"/>
  <c r="V702" i="1"/>
  <c r="Q702" i="1"/>
  <c r="O702" i="1"/>
  <c r="P702" i="1" s="1"/>
  <c r="G702" i="1"/>
  <c r="F702" i="1"/>
  <c r="Z701" i="1"/>
  <c r="V701" i="1"/>
  <c r="Q701" i="1"/>
  <c r="O701" i="1"/>
  <c r="P701" i="1" s="1"/>
  <c r="G701" i="1"/>
  <c r="F701" i="1"/>
  <c r="Z700" i="1"/>
  <c r="V700" i="1"/>
  <c r="Q700" i="1"/>
  <c r="O700" i="1"/>
  <c r="P700" i="1" s="1"/>
  <c r="G700" i="1"/>
  <c r="F700" i="1"/>
  <c r="Z699" i="1"/>
  <c r="V699" i="1"/>
  <c r="Q699" i="1"/>
  <c r="O699" i="1"/>
  <c r="P699" i="1" s="1"/>
  <c r="G699" i="1"/>
  <c r="F699" i="1"/>
  <c r="Z698" i="1"/>
  <c r="V698" i="1"/>
  <c r="Q698" i="1"/>
  <c r="O698" i="1"/>
  <c r="P698" i="1" s="1"/>
  <c r="G698" i="1"/>
  <c r="F698" i="1"/>
  <c r="Z697" i="1"/>
  <c r="V697" i="1"/>
  <c r="Q697" i="1"/>
  <c r="O697" i="1"/>
  <c r="P697" i="1" s="1"/>
  <c r="G697" i="1"/>
  <c r="F697" i="1"/>
  <c r="Z696" i="1"/>
  <c r="V696" i="1"/>
  <c r="Q696" i="1"/>
  <c r="O696" i="1"/>
  <c r="P696" i="1" s="1"/>
  <c r="G696" i="1"/>
  <c r="F696" i="1"/>
  <c r="Z695" i="1"/>
  <c r="V695" i="1"/>
  <c r="Q695" i="1"/>
  <c r="O695" i="1"/>
  <c r="P695" i="1" s="1"/>
  <c r="G695" i="1"/>
  <c r="F695" i="1"/>
  <c r="Z694" i="1"/>
  <c r="V694" i="1"/>
  <c r="Q694" i="1"/>
  <c r="O694" i="1"/>
  <c r="P694" i="1" s="1"/>
  <c r="G694" i="1"/>
  <c r="F694" i="1"/>
  <c r="Z693" i="1"/>
  <c r="V693" i="1"/>
  <c r="Q693" i="1"/>
  <c r="O693" i="1"/>
  <c r="P693" i="1" s="1"/>
  <c r="G693" i="1"/>
  <c r="F693" i="1"/>
  <c r="Z692" i="1"/>
  <c r="V692" i="1"/>
  <c r="Q692" i="1"/>
  <c r="O692" i="1"/>
  <c r="P692" i="1" s="1"/>
  <c r="G692" i="1"/>
  <c r="F692" i="1"/>
  <c r="Z691" i="1"/>
  <c r="V691" i="1"/>
  <c r="Q691" i="1"/>
  <c r="O691" i="1"/>
  <c r="P691" i="1" s="1"/>
  <c r="G691" i="1"/>
  <c r="F691" i="1"/>
  <c r="Z690" i="1"/>
  <c r="V690" i="1"/>
  <c r="Q690" i="1"/>
  <c r="O690" i="1"/>
  <c r="P690" i="1" s="1"/>
  <c r="G690" i="1"/>
  <c r="F690" i="1"/>
  <c r="Z689" i="1"/>
  <c r="V689" i="1"/>
  <c r="Q689" i="1"/>
  <c r="O689" i="1"/>
  <c r="P689" i="1" s="1"/>
  <c r="G689" i="1"/>
  <c r="F689" i="1"/>
  <c r="Z688" i="1"/>
  <c r="V688" i="1"/>
  <c r="Q688" i="1"/>
  <c r="O688" i="1"/>
  <c r="P688" i="1" s="1"/>
  <c r="G688" i="1"/>
  <c r="F688" i="1"/>
  <c r="Z687" i="1"/>
  <c r="V687" i="1"/>
  <c r="Q687" i="1"/>
  <c r="O687" i="1"/>
  <c r="P687" i="1" s="1"/>
  <c r="G687" i="1"/>
  <c r="F687" i="1"/>
  <c r="Z686" i="1"/>
  <c r="V686" i="1"/>
  <c r="Q686" i="1"/>
  <c r="O686" i="1"/>
  <c r="P686" i="1" s="1"/>
  <c r="G686" i="1"/>
  <c r="F686" i="1"/>
  <c r="Z685" i="1"/>
  <c r="V685" i="1"/>
  <c r="Q685" i="1"/>
  <c r="O685" i="1"/>
  <c r="P685" i="1" s="1"/>
  <c r="G685" i="1"/>
  <c r="F685" i="1"/>
  <c r="Z684" i="1"/>
  <c r="V684" i="1"/>
  <c r="Q684" i="1"/>
  <c r="O684" i="1"/>
  <c r="P684" i="1" s="1"/>
  <c r="G684" i="1"/>
  <c r="F684" i="1"/>
  <c r="Z683" i="1"/>
  <c r="V683" i="1"/>
  <c r="Q683" i="1"/>
  <c r="O683" i="1"/>
  <c r="P683" i="1" s="1"/>
  <c r="G683" i="1"/>
  <c r="Z682" i="1"/>
  <c r="V682" i="1"/>
  <c r="Q682" i="1"/>
  <c r="O682" i="1"/>
  <c r="P682" i="1" s="1"/>
  <c r="G682" i="1"/>
  <c r="F682" i="1"/>
  <c r="Z681" i="1"/>
  <c r="V681" i="1"/>
  <c r="Q681" i="1"/>
  <c r="O681" i="1"/>
  <c r="P681" i="1" s="1"/>
  <c r="G681" i="1"/>
  <c r="F681" i="1"/>
  <c r="Z680" i="1"/>
  <c r="V680" i="1"/>
  <c r="Q680" i="1"/>
  <c r="O680" i="1"/>
  <c r="P680" i="1" s="1"/>
  <c r="G680" i="1"/>
  <c r="F680" i="1"/>
  <c r="Z679" i="1"/>
  <c r="V679" i="1"/>
  <c r="Q679" i="1"/>
  <c r="O679" i="1"/>
  <c r="P679" i="1" s="1"/>
  <c r="G679" i="1"/>
  <c r="F679" i="1"/>
  <c r="Z678" i="1"/>
  <c r="V678" i="1"/>
  <c r="Q678" i="1"/>
  <c r="O678" i="1"/>
  <c r="P678" i="1" s="1"/>
  <c r="G678" i="1"/>
  <c r="F678" i="1"/>
  <c r="Z677" i="1"/>
  <c r="V677" i="1"/>
  <c r="Q677" i="1"/>
  <c r="O677" i="1"/>
  <c r="P677" i="1" s="1"/>
  <c r="G677" i="1"/>
  <c r="F677" i="1"/>
  <c r="Z676" i="1"/>
  <c r="V676" i="1"/>
  <c r="Q676" i="1"/>
  <c r="O676" i="1"/>
  <c r="P676" i="1" s="1"/>
  <c r="G676" i="1"/>
  <c r="F676" i="1"/>
  <c r="Z675" i="1"/>
  <c r="V675" i="1"/>
  <c r="Q675" i="1"/>
  <c r="O675" i="1"/>
  <c r="P675" i="1" s="1"/>
  <c r="G675" i="1"/>
  <c r="F675" i="1"/>
  <c r="Z674" i="1"/>
  <c r="V674" i="1"/>
  <c r="Q674" i="1"/>
  <c r="O674" i="1"/>
  <c r="P674" i="1" s="1"/>
  <c r="G674" i="1"/>
  <c r="F674" i="1"/>
  <c r="Z673" i="1"/>
  <c r="V673" i="1"/>
  <c r="Q673" i="1"/>
  <c r="O673" i="1"/>
  <c r="P673" i="1" s="1"/>
  <c r="G673" i="1"/>
  <c r="F673" i="1"/>
  <c r="Z672" i="1"/>
  <c r="V672" i="1"/>
  <c r="Q672" i="1"/>
  <c r="O672" i="1"/>
  <c r="P672" i="1" s="1"/>
  <c r="G672" i="1"/>
  <c r="F672" i="1"/>
  <c r="Z671" i="1"/>
  <c r="V671" i="1"/>
  <c r="Q671" i="1"/>
  <c r="O671" i="1"/>
  <c r="P671" i="1" s="1"/>
  <c r="G671" i="1"/>
  <c r="F671" i="1"/>
  <c r="Z670" i="1"/>
  <c r="V670" i="1"/>
  <c r="Q670" i="1"/>
  <c r="O670" i="1"/>
  <c r="P670" i="1" s="1"/>
  <c r="G670" i="1"/>
  <c r="F670" i="1"/>
  <c r="Z669" i="1"/>
  <c r="V669" i="1"/>
  <c r="Q669" i="1"/>
  <c r="O669" i="1"/>
  <c r="P669" i="1" s="1"/>
  <c r="G669" i="1"/>
  <c r="F669" i="1"/>
  <c r="Z668" i="1"/>
  <c r="V668" i="1"/>
  <c r="Q668" i="1"/>
  <c r="O668" i="1"/>
  <c r="P668" i="1" s="1"/>
  <c r="G668" i="1"/>
  <c r="F668" i="1"/>
  <c r="Z667" i="1"/>
  <c r="V667" i="1"/>
  <c r="Q667" i="1"/>
  <c r="O667" i="1"/>
  <c r="P667" i="1" s="1"/>
  <c r="G667" i="1"/>
  <c r="F667" i="1"/>
  <c r="Z666" i="1"/>
  <c r="V666" i="1"/>
  <c r="Q666" i="1"/>
  <c r="O666" i="1"/>
  <c r="P666" i="1" s="1"/>
  <c r="G666" i="1"/>
  <c r="F666" i="1"/>
  <c r="Z665" i="1"/>
  <c r="V665" i="1"/>
  <c r="Q665" i="1"/>
  <c r="O665" i="1"/>
  <c r="P665" i="1" s="1"/>
  <c r="G665" i="1"/>
  <c r="F665" i="1"/>
  <c r="Z664" i="1"/>
  <c r="V664" i="1"/>
  <c r="Q664" i="1"/>
  <c r="O664" i="1"/>
  <c r="P664" i="1" s="1"/>
  <c r="G664" i="1"/>
  <c r="F664" i="1"/>
  <c r="Z663" i="1"/>
  <c r="V663" i="1"/>
  <c r="Q663" i="1"/>
  <c r="O663" i="1"/>
  <c r="P663" i="1" s="1"/>
  <c r="G663" i="1"/>
  <c r="F663" i="1"/>
  <c r="Z662" i="1"/>
  <c r="V662" i="1"/>
  <c r="Q662" i="1"/>
  <c r="O662" i="1"/>
  <c r="P662" i="1" s="1"/>
  <c r="G662" i="1"/>
  <c r="F662" i="1"/>
  <c r="Z661" i="1"/>
  <c r="V661" i="1"/>
  <c r="Q661" i="1"/>
  <c r="O661" i="1"/>
  <c r="P661" i="1" s="1"/>
  <c r="G661" i="1"/>
  <c r="F661" i="1"/>
  <c r="Z660" i="1"/>
  <c r="V660" i="1"/>
  <c r="Q660" i="1"/>
  <c r="O660" i="1"/>
  <c r="P660" i="1" s="1"/>
  <c r="G660" i="1"/>
  <c r="F660" i="1"/>
  <c r="Z659" i="1"/>
  <c r="V659" i="1"/>
  <c r="Q659" i="1"/>
  <c r="O659" i="1"/>
  <c r="P659" i="1" s="1"/>
  <c r="G659" i="1"/>
  <c r="F659" i="1"/>
  <c r="Z658" i="1"/>
  <c r="V658" i="1"/>
  <c r="Q658" i="1"/>
  <c r="O658" i="1"/>
  <c r="P658" i="1" s="1"/>
  <c r="G658" i="1"/>
  <c r="F658" i="1"/>
  <c r="Z657" i="1"/>
  <c r="V657" i="1"/>
  <c r="Q657" i="1"/>
  <c r="O657" i="1"/>
  <c r="P657" i="1" s="1"/>
  <c r="G657" i="1"/>
  <c r="F657" i="1"/>
  <c r="Z656" i="1"/>
  <c r="V656" i="1"/>
  <c r="Q656" i="1"/>
  <c r="O656" i="1"/>
  <c r="P656" i="1" s="1"/>
  <c r="G656" i="1"/>
  <c r="F656" i="1"/>
  <c r="Z655" i="1"/>
  <c r="V655" i="1"/>
  <c r="Q655" i="1"/>
  <c r="O655" i="1"/>
  <c r="P655" i="1" s="1"/>
  <c r="G655" i="1"/>
  <c r="F655" i="1"/>
  <c r="Z654" i="1"/>
  <c r="V654" i="1"/>
  <c r="Q654" i="1"/>
  <c r="O654" i="1"/>
  <c r="P654" i="1" s="1"/>
  <c r="G654" i="1"/>
  <c r="F654" i="1"/>
  <c r="Z653" i="1"/>
  <c r="V653" i="1"/>
  <c r="Q653" i="1"/>
  <c r="O653" i="1"/>
  <c r="P653" i="1" s="1"/>
  <c r="G653" i="1"/>
  <c r="F653" i="1"/>
  <c r="Z652" i="1"/>
  <c r="V652" i="1"/>
  <c r="Q652" i="1"/>
  <c r="O652" i="1"/>
  <c r="P652" i="1" s="1"/>
  <c r="G652" i="1"/>
  <c r="F652" i="1"/>
  <c r="Z651" i="1"/>
  <c r="V651" i="1"/>
  <c r="Q651" i="1"/>
  <c r="O651" i="1"/>
  <c r="P651" i="1" s="1"/>
  <c r="G651" i="1"/>
  <c r="F651" i="1"/>
  <c r="Z650" i="1"/>
  <c r="V650" i="1"/>
  <c r="Q650" i="1"/>
  <c r="O650" i="1"/>
  <c r="P650" i="1" s="1"/>
  <c r="G650" i="1"/>
  <c r="F650" i="1"/>
  <c r="Z649" i="1"/>
  <c r="V649" i="1"/>
  <c r="Q649" i="1"/>
  <c r="O649" i="1"/>
  <c r="P649" i="1" s="1"/>
  <c r="G649" i="1"/>
  <c r="F649" i="1"/>
  <c r="Z648" i="1"/>
  <c r="V648" i="1"/>
  <c r="Q648" i="1"/>
  <c r="O648" i="1"/>
  <c r="P648" i="1" s="1"/>
  <c r="G648" i="1"/>
  <c r="F648" i="1"/>
  <c r="Z647" i="1"/>
  <c r="V647" i="1"/>
  <c r="Q647" i="1"/>
  <c r="O647" i="1"/>
  <c r="P647" i="1" s="1"/>
  <c r="G647" i="1"/>
  <c r="F647" i="1"/>
  <c r="Z646" i="1"/>
  <c r="V646" i="1"/>
  <c r="Q646" i="1"/>
  <c r="O646" i="1"/>
  <c r="P646" i="1" s="1"/>
  <c r="G646" i="1"/>
  <c r="F646" i="1"/>
  <c r="Z645" i="1"/>
  <c r="V645" i="1"/>
  <c r="Q645" i="1"/>
  <c r="O645" i="1"/>
  <c r="P645" i="1" s="1"/>
  <c r="G645" i="1"/>
  <c r="F645" i="1"/>
  <c r="Z644" i="1"/>
  <c r="V644" i="1"/>
  <c r="Q644" i="1"/>
  <c r="O644" i="1"/>
  <c r="P644" i="1" s="1"/>
  <c r="G644" i="1"/>
  <c r="F644" i="1"/>
  <c r="Z643" i="1"/>
  <c r="V643" i="1"/>
  <c r="Q643" i="1"/>
  <c r="O643" i="1"/>
  <c r="P643" i="1" s="1"/>
  <c r="G643" i="1"/>
  <c r="F643" i="1"/>
  <c r="Z642" i="1"/>
  <c r="V642" i="1"/>
  <c r="Q642" i="1"/>
  <c r="O642" i="1"/>
  <c r="P642" i="1" s="1"/>
  <c r="G642" i="1"/>
  <c r="F642" i="1"/>
  <c r="Z641" i="1"/>
  <c r="V641" i="1"/>
  <c r="Q641" i="1"/>
  <c r="O641" i="1"/>
  <c r="P641" i="1" s="1"/>
  <c r="G641" i="1"/>
  <c r="F641" i="1"/>
  <c r="Z640" i="1"/>
  <c r="V640" i="1"/>
  <c r="Q640" i="1"/>
  <c r="O640" i="1"/>
  <c r="P640" i="1" s="1"/>
  <c r="G640" i="1"/>
  <c r="Z639" i="1"/>
  <c r="V639" i="1"/>
  <c r="Q639" i="1"/>
  <c r="O639" i="1"/>
  <c r="P639" i="1" s="1"/>
  <c r="G639" i="1"/>
  <c r="Z638" i="1"/>
  <c r="V638" i="1"/>
  <c r="Q638" i="1"/>
  <c r="O638" i="1"/>
  <c r="P638" i="1" s="1"/>
  <c r="G638" i="1"/>
  <c r="Z637" i="1"/>
  <c r="V637" i="1"/>
  <c r="Q637" i="1"/>
  <c r="O637" i="1"/>
  <c r="P637" i="1" s="1"/>
  <c r="G637" i="1"/>
  <c r="Z636" i="1"/>
  <c r="V636" i="1"/>
  <c r="Q636" i="1"/>
  <c r="O636" i="1"/>
  <c r="P636" i="1" s="1"/>
  <c r="G636" i="1"/>
  <c r="Z635" i="1"/>
  <c r="V635" i="1"/>
  <c r="Q635" i="1"/>
  <c r="O635" i="1"/>
  <c r="P635" i="1" s="1"/>
  <c r="G635" i="1"/>
  <c r="Z634" i="1"/>
  <c r="V634" i="1"/>
  <c r="Q634" i="1"/>
  <c r="O634" i="1"/>
  <c r="P634" i="1" s="1"/>
  <c r="G634" i="1"/>
  <c r="Z633" i="1"/>
  <c r="V633" i="1"/>
  <c r="Q633" i="1"/>
  <c r="O633" i="1"/>
  <c r="P633" i="1" s="1"/>
  <c r="G633" i="1"/>
  <c r="Z632" i="1"/>
  <c r="V632" i="1"/>
  <c r="Q632" i="1"/>
  <c r="O632" i="1"/>
  <c r="P632" i="1" s="1"/>
  <c r="G632" i="1"/>
  <c r="Z631" i="1"/>
  <c r="V631" i="1"/>
  <c r="Q631" i="1"/>
  <c r="O631" i="1"/>
  <c r="P631" i="1" s="1"/>
  <c r="G631" i="1"/>
  <c r="Z630" i="1"/>
  <c r="V630" i="1"/>
  <c r="Q630" i="1"/>
  <c r="O630" i="1"/>
  <c r="P630" i="1" s="1"/>
  <c r="G630" i="1"/>
  <c r="Z629" i="1"/>
  <c r="V629" i="1"/>
  <c r="Q629" i="1"/>
  <c r="O629" i="1"/>
  <c r="P629" i="1" s="1"/>
  <c r="G629" i="1"/>
  <c r="Z628" i="1"/>
  <c r="V628" i="1"/>
  <c r="Q628" i="1"/>
  <c r="O628" i="1"/>
  <c r="P628" i="1" s="1"/>
  <c r="G628" i="1"/>
  <c r="Z627" i="1"/>
  <c r="V627" i="1"/>
  <c r="Q627" i="1"/>
  <c r="O627" i="1"/>
  <c r="P627" i="1" s="1"/>
  <c r="G627" i="1"/>
  <c r="Z626" i="1"/>
  <c r="V626" i="1"/>
  <c r="Q626" i="1"/>
  <c r="O626" i="1"/>
  <c r="P626" i="1" s="1"/>
  <c r="G626" i="1"/>
  <c r="Z625" i="1"/>
  <c r="V625" i="1"/>
  <c r="Q625" i="1"/>
  <c r="O625" i="1"/>
  <c r="P625" i="1" s="1"/>
  <c r="G625" i="1"/>
  <c r="Z624" i="1"/>
  <c r="V624" i="1"/>
  <c r="Q624" i="1"/>
  <c r="O624" i="1"/>
  <c r="P624" i="1" s="1"/>
  <c r="G624" i="1"/>
  <c r="Z623" i="1"/>
  <c r="V623" i="1"/>
  <c r="Q623" i="1"/>
  <c r="O623" i="1"/>
  <c r="P623" i="1" s="1"/>
  <c r="G623" i="1"/>
  <c r="Z622" i="1"/>
  <c r="V622" i="1"/>
  <c r="Q622" i="1"/>
  <c r="O622" i="1"/>
  <c r="P622" i="1" s="1"/>
  <c r="G622" i="1"/>
  <c r="Z621" i="1"/>
  <c r="V621" i="1"/>
  <c r="Q621" i="1"/>
  <c r="O621" i="1"/>
  <c r="P621" i="1" s="1"/>
  <c r="G621" i="1"/>
  <c r="Z620" i="1"/>
  <c r="V620" i="1"/>
  <c r="Q620" i="1"/>
  <c r="O620" i="1"/>
  <c r="P620" i="1" s="1"/>
  <c r="G620" i="1"/>
  <c r="Z619" i="1"/>
  <c r="V619" i="1"/>
  <c r="Q619" i="1"/>
  <c r="O619" i="1"/>
  <c r="P619" i="1" s="1"/>
  <c r="G619" i="1"/>
  <c r="Z618" i="1"/>
  <c r="V618" i="1"/>
  <c r="Q618" i="1"/>
  <c r="O618" i="1"/>
  <c r="P618" i="1" s="1"/>
  <c r="G618" i="1"/>
  <c r="Z617" i="1"/>
  <c r="V617" i="1"/>
  <c r="Q617" i="1"/>
  <c r="O617" i="1"/>
  <c r="P617" i="1" s="1"/>
  <c r="G617" i="1"/>
  <c r="Z616" i="1"/>
  <c r="V616" i="1"/>
  <c r="Q616" i="1"/>
  <c r="O616" i="1"/>
  <c r="P616" i="1" s="1"/>
  <c r="G616" i="1"/>
  <c r="Z615" i="1"/>
  <c r="V615" i="1"/>
  <c r="Q615" i="1"/>
  <c r="O615" i="1"/>
  <c r="P615" i="1" s="1"/>
  <c r="G615" i="1"/>
  <c r="Z614" i="1"/>
  <c r="V614" i="1"/>
  <c r="Q614" i="1"/>
  <c r="O614" i="1"/>
  <c r="P614" i="1" s="1"/>
  <c r="G614" i="1"/>
  <c r="Z613" i="1"/>
  <c r="V613" i="1"/>
  <c r="Q613" i="1"/>
  <c r="O613" i="1"/>
  <c r="P613" i="1" s="1"/>
  <c r="G613" i="1"/>
  <c r="Z612" i="1"/>
  <c r="V612" i="1"/>
  <c r="Q612" i="1"/>
  <c r="O612" i="1"/>
  <c r="P612" i="1" s="1"/>
  <c r="G612" i="1"/>
  <c r="Z611" i="1"/>
  <c r="V611" i="1"/>
  <c r="Q611" i="1"/>
  <c r="O611" i="1"/>
  <c r="P611" i="1" s="1"/>
  <c r="G611" i="1"/>
  <c r="Z610" i="1"/>
  <c r="V610" i="1"/>
  <c r="Q610" i="1"/>
  <c r="O610" i="1"/>
  <c r="P610" i="1" s="1"/>
  <c r="G610" i="1"/>
  <c r="Z609" i="1"/>
  <c r="V609" i="1"/>
  <c r="Q609" i="1"/>
  <c r="O609" i="1"/>
  <c r="P609" i="1" s="1"/>
  <c r="G609" i="1"/>
  <c r="Z608" i="1"/>
  <c r="V608" i="1"/>
  <c r="Q608" i="1"/>
  <c r="O608" i="1"/>
  <c r="P608" i="1" s="1"/>
  <c r="G608" i="1"/>
  <c r="Z607" i="1"/>
  <c r="V607" i="1"/>
  <c r="Q607" i="1"/>
  <c r="O607" i="1"/>
  <c r="P607" i="1" s="1"/>
  <c r="G607" i="1"/>
  <c r="Z606" i="1"/>
  <c r="V606" i="1"/>
  <c r="Q606" i="1"/>
  <c r="O606" i="1"/>
  <c r="P606" i="1" s="1"/>
  <c r="G606" i="1"/>
  <c r="Z605" i="1"/>
  <c r="V605" i="1"/>
  <c r="Q605" i="1"/>
  <c r="O605" i="1"/>
  <c r="P605" i="1" s="1"/>
  <c r="G605" i="1"/>
  <c r="Z604" i="1"/>
  <c r="V604" i="1"/>
  <c r="Q604" i="1"/>
  <c r="O604" i="1"/>
  <c r="P604" i="1" s="1"/>
  <c r="G604" i="1"/>
  <c r="Z603" i="1"/>
  <c r="V603" i="1"/>
  <c r="Q603" i="1"/>
  <c r="O603" i="1"/>
  <c r="P603" i="1" s="1"/>
  <c r="G603" i="1"/>
  <c r="Z602" i="1"/>
  <c r="V602" i="1"/>
  <c r="Q602" i="1"/>
  <c r="O602" i="1"/>
  <c r="P602" i="1" s="1"/>
  <c r="G602" i="1"/>
  <c r="Z601" i="1"/>
  <c r="V601" i="1"/>
  <c r="Q601" i="1"/>
  <c r="O601" i="1"/>
  <c r="P601" i="1" s="1"/>
  <c r="G601" i="1"/>
  <c r="Z600" i="1"/>
  <c r="V600" i="1"/>
  <c r="Q600" i="1"/>
  <c r="O600" i="1"/>
  <c r="P600" i="1" s="1"/>
  <c r="G600" i="1"/>
  <c r="Z599" i="1"/>
  <c r="V599" i="1"/>
  <c r="Q599" i="1"/>
  <c r="O599" i="1"/>
  <c r="P599" i="1" s="1"/>
  <c r="G599" i="1"/>
  <c r="Z598" i="1"/>
  <c r="V598" i="1"/>
  <c r="Q598" i="1"/>
  <c r="O598" i="1"/>
  <c r="P598" i="1" s="1"/>
  <c r="G598" i="1"/>
  <c r="Z597" i="1"/>
  <c r="V597" i="1"/>
  <c r="Q597" i="1"/>
  <c r="O597" i="1"/>
  <c r="P597" i="1" s="1"/>
  <c r="G597" i="1"/>
  <c r="Z596" i="1"/>
  <c r="V596" i="1"/>
  <c r="Q596" i="1"/>
  <c r="O596" i="1"/>
  <c r="P596" i="1" s="1"/>
  <c r="G596" i="1"/>
  <c r="Z595" i="1"/>
  <c r="V595" i="1"/>
  <c r="Q595" i="1"/>
  <c r="O595" i="1"/>
  <c r="P595" i="1" s="1"/>
  <c r="G595" i="1"/>
  <c r="Z594" i="1"/>
  <c r="V594" i="1"/>
  <c r="Q594" i="1"/>
  <c r="O594" i="1"/>
  <c r="P594" i="1" s="1"/>
  <c r="G594" i="1"/>
  <c r="Z593" i="1"/>
  <c r="V593" i="1"/>
  <c r="Q593" i="1"/>
  <c r="O593" i="1"/>
  <c r="P593" i="1" s="1"/>
  <c r="G593" i="1"/>
  <c r="Z592" i="1"/>
  <c r="V592" i="1"/>
  <c r="Q592" i="1"/>
  <c r="O592" i="1"/>
  <c r="P592" i="1" s="1"/>
  <c r="G592" i="1"/>
  <c r="Z591" i="1"/>
  <c r="V591" i="1"/>
  <c r="Q591" i="1"/>
  <c r="O591" i="1"/>
  <c r="P591" i="1" s="1"/>
  <c r="G591" i="1"/>
  <c r="Z590" i="1"/>
  <c r="V590" i="1"/>
  <c r="Q590" i="1"/>
  <c r="O590" i="1"/>
  <c r="P590" i="1" s="1"/>
  <c r="G590" i="1"/>
  <c r="Z589" i="1"/>
  <c r="V589" i="1"/>
  <c r="Q589" i="1"/>
  <c r="O589" i="1"/>
  <c r="P589" i="1" s="1"/>
  <c r="G589" i="1"/>
  <c r="Z588" i="1"/>
  <c r="V588" i="1"/>
  <c r="Q588" i="1"/>
  <c r="O588" i="1"/>
  <c r="P588" i="1" s="1"/>
  <c r="G588" i="1"/>
  <c r="Z587" i="1"/>
  <c r="V587" i="1"/>
  <c r="Q587" i="1"/>
  <c r="O587" i="1"/>
  <c r="P587" i="1" s="1"/>
  <c r="G587" i="1"/>
  <c r="Z586" i="1"/>
  <c r="V586" i="1"/>
  <c r="Q586" i="1"/>
  <c r="O586" i="1"/>
  <c r="P586" i="1" s="1"/>
  <c r="G586" i="1"/>
  <c r="Z585" i="1"/>
  <c r="V585" i="1"/>
  <c r="Q585" i="1"/>
  <c r="O585" i="1"/>
  <c r="P585" i="1" s="1"/>
  <c r="G585" i="1"/>
  <c r="Z584" i="1"/>
  <c r="V584" i="1"/>
  <c r="Q584" i="1"/>
  <c r="O584" i="1"/>
  <c r="P584" i="1" s="1"/>
  <c r="G584" i="1"/>
  <c r="Z583" i="1"/>
  <c r="V583" i="1"/>
  <c r="Q583" i="1"/>
  <c r="O583" i="1"/>
  <c r="P583" i="1" s="1"/>
  <c r="G583" i="1"/>
  <c r="Z582" i="1"/>
  <c r="V582" i="1"/>
  <c r="Q582" i="1"/>
  <c r="O582" i="1"/>
  <c r="P582" i="1" s="1"/>
  <c r="G582" i="1"/>
  <c r="Z581" i="1"/>
  <c r="V581" i="1"/>
  <c r="Q581" i="1"/>
  <c r="O581" i="1"/>
  <c r="P581" i="1" s="1"/>
  <c r="G581" i="1"/>
  <c r="Z580" i="1"/>
  <c r="V580" i="1"/>
  <c r="Q580" i="1"/>
  <c r="O580" i="1"/>
  <c r="P580" i="1" s="1"/>
  <c r="G580" i="1"/>
  <c r="Z579" i="1"/>
  <c r="V579" i="1"/>
  <c r="Q579" i="1"/>
  <c r="O579" i="1"/>
  <c r="P579" i="1" s="1"/>
  <c r="G579" i="1"/>
  <c r="Z578" i="1"/>
  <c r="V578" i="1"/>
  <c r="Q578" i="1"/>
  <c r="O578" i="1"/>
  <c r="P578" i="1" s="1"/>
  <c r="G578" i="1"/>
  <c r="Z577" i="1"/>
  <c r="V577" i="1"/>
  <c r="Q577" i="1"/>
  <c r="O577" i="1"/>
  <c r="P577" i="1" s="1"/>
  <c r="G577" i="1"/>
  <c r="Z576" i="1"/>
  <c r="V576" i="1"/>
  <c r="Q576" i="1"/>
  <c r="O576" i="1"/>
  <c r="P576" i="1" s="1"/>
  <c r="G576" i="1"/>
  <c r="Z575" i="1"/>
  <c r="V575" i="1"/>
  <c r="Q575" i="1"/>
  <c r="O575" i="1"/>
  <c r="P575" i="1" s="1"/>
  <c r="G575" i="1"/>
  <c r="Z574" i="1"/>
  <c r="V574" i="1"/>
  <c r="Q574" i="1"/>
  <c r="O574" i="1"/>
  <c r="P574" i="1" s="1"/>
  <c r="G574" i="1"/>
  <c r="F574" i="1"/>
  <c r="Z573" i="1"/>
  <c r="V573" i="1"/>
  <c r="Q573" i="1"/>
  <c r="O573" i="1"/>
  <c r="P573" i="1" s="1"/>
  <c r="G573" i="1"/>
  <c r="F573" i="1"/>
  <c r="Z572" i="1"/>
  <c r="V572" i="1"/>
  <c r="Q572" i="1"/>
  <c r="O572" i="1"/>
  <c r="P572" i="1" s="1"/>
  <c r="G572" i="1"/>
  <c r="F572" i="1"/>
  <c r="Z571" i="1"/>
  <c r="V571" i="1"/>
  <c r="Q571" i="1"/>
  <c r="O571" i="1"/>
  <c r="P571" i="1" s="1"/>
  <c r="G571" i="1"/>
  <c r="F571" i="1"/>
  <c r="Z570" i="1"/>
  <c r="V570" i="1"/>
  <c r="Q570" i="1"/>
  <c r="O570" i="1"/>
  <c r="P570" i="1" s="1"/>
  <c r="G570" i="1"/>
  <c r="F570" i="1"/>
  <c r="Z569" i="1"/>
  <c r="V569" i="1"/>
  <c r="Q569" i="1"/>
  <c r="O569" i="1"/>
  <c r="P569" i="1" s="1"/>
  <c r="G569" i="1"/>
  <c r="F569" i="1"/>
  <c r="Z568" i="1"/>
  <c r="V568" i="1"/>
  <c r="O568" i="1"/>
  <c r="P568" i="1" s="1"/>
  <c r="G568" i="1"/>
  <c r="F568" i="1"/>
  <c r="Z567" i="1"/>
  <c r="V567" i="1"/>
  <c r="Q567" i="1"/>
  <c r="O567" i="1"/>
  <c r="P567" i="1" s="1"/>
  <c r="G567" i="1"/>
  <c r="F567" i="1"/>
  <c r="Z566" i="1"/>
  <c r="V566" i="1"/>
  <c r="Q566" i="1"/>
  <c r="O566" i="1"/>
  <c r="P566" i="1" s="1"/>
  <c r="G566" i="1"/>
  <c r="F566" i="1"/>
  <c r="Z565" i="1"/>
  <c r="V565" i="1"/>
  <c r="Q565" i="1"/>
  <c r="O565" i="1"/>
  <c r="P565" i="1" s="1"/>
  <c r="G565" i="1"/>
  <c r="F565" i="1"/>
  <c r="Z564" i="1"/>
  <c r="V564" i="1"/>
  <c r="Q564" i="1"/>
  <c r="O564" i="1"/>
  <c r="P564" i="1" s="1"/>
  <c r="G564" i="1"/>
  <c r="F564" i="1"/>
  <c r="Z563" i="1"/>
  <c r="V563" i="1"/>
  <c r="Q563" i="1"/>
  <c r="O563" i="1"/>
  <c r="P563" i="1" s="1"/>
  <c r="G563" i="1"/>
  <c r="F563" i="1"/>
  <c r="Z562" i="1"/>
  <c r="V562" i="1"/>
  <c r="Q562" i="1"/>
  <c r="O562" i="1"/>
  <c r="P562" i="1" s="1"/>
  <c r="G562" i="1"/>
  <c r="F562" i="1"/>
  <c r="Z561" i="1"/>
  <c r="V561" i="1"/>
  <c r="Q561" i="1"/>
  <c r="O561" i="1"/>
  <c r="P561" i="1" s="1"/>
  <c r="G561" i="1"/>
  <c r="F561" i="1"/>
  <c r="Z560" i="1"/>
  <c r="V560" i="1"/>
  <c r="Q560" i="1"/>
  <c r="O560" i="1"/>
  <c r="P560" i="1" s="1"/>
  <c r="G560" i="1"/>
  <c r="F560" i="1"/>
  <c r="Z559" i="1"/>
  <c r="V559" i="1"/>
  <c r="Q559" i="1"/>
  <c r="O559" i="1"/>
  <c r="P559" i="1" s="1"/>
  <c r="G559" i="1"/>
  <c r="F559" i="1"/>
  <c r="Z558" i="1"/>
  <c r="V558" i="1"/>
  <c r="Q558" i="1"/>
  <c r="O558" i="1"/>
  <c r="P558" i="1" s="1"/>
  <c r="G558" i="1"/>
  <c r="F558" i="1"/>
  <c r="Z557" i="1"/>
  <c r="V557" i="1"/>
  <c r="O557" i="1"/>
  <c r="P557" i="1" s="1"/>
  <c r="G557" i="1"/>
  <c r="F557" i="1"/>
  <c r="Z556" i="1"/>
  <c r="V556" i="1"/>
  <c r="O556" i="1"/>
  <c r="P556" i="1" s="1"/>
  <c r="G556" i="1"/>
  <c r="F556" i="1"/>
  <c r="Z555" i="1"/>
  <c r="V555" i="1"/>
  <c r="O555" i="1"/>
  <c r="P555" i="1" s="1"/>
  <c r="G555" i="1"/>
  <c r="F555" i="1"/>
  <c r="Z554" i="1"/>
  <c r="V554" i="1"/>
  <c r="O554" i="1"/>
  <c r="P554" i="1" s="1"/>
  <c r="G554" i="1"/>
  <c r="F554" i="1"/>
  <c r="Z553" i="1"/>
  <c r="V553" i="1"/>
  <c r="Q553" i="1"/>
  <c r="O553" i="1"/>
  <c r="P553" i="1" s="1"/>
  <c r="G553" i="1"/>
  <c r="F553" i="1"/>
  <c r="Z552" i="1"/>
  <c r="V552" i="1"/>
  <c r="Q552" i="1"/>
  <c r="O552" i="1"/>
  <c r="P552" i="1" s="1"/>
  <c r="G552" i="1"/>
  <c r="F552" i="1"/>
  <c r="Z551" i="1"/>
  <c r="V551" i="1"/>
  <c r="Q551" i="1"/>
  <c r="O551" i="1"/>
  <c r="P551" i="1" s="1"/>
  <c r="G551" i="1"/>
  <c r="F551" i="1"/>
  <c r="Z550" i="1"/>
  <c r="V550" i="1"/>
  <c r="Q550" i="1"/>
  <c r="O550" i="1"/>
  <c r="P550" i="1" s="1"/>
  <c r="G550" i="1"/>
  <c r="F550" i="1"/>
  <c r="Z549" i="1"/>
  <c r="V549" i="1"/>
  <c r="Q549" i="1"/>
  <c r="O549" i="1"/>
  <c r="P549" i="1" s="1"/>
  <c r="G549" i="1"/>
  <c r="F549" i="1"/>
  <c r="Z548" i="1"/>
  <c r="V548" i="1"/>
  <c r="Q548" i="1"/>
  <c r="O548" i="1"/>
  <c r="P548" i="1" s="1"/>
  <c r="G548" i="1"/>
  <c r="F548" i="1"/>
  <c r="Z547" i="1"/>
  <c r="V547" i="1"/>
  <c r="Q547" i="1"/>
  <c r="O547" i="1"/>
  <c r="P547" i="1" s="1"/>
  <c r="G547" i="1"/>
  <c r="F547" i="1"/>
  <c r="Z546" i="1"/>
  <c r="V546" i="1"/>
  <c r="Q546" i="1"/>
  <c r="O546" i="1"/>
  <c r="P546" i="1" s="1"/>
  <c r="G546" i="1"/>
  <c r="F546" i="1"/>
  <c r="Z545" i="1"/>
  <c r="V545" i="1"/>
  <c r="Q545" i="1"/>
  <c r="O545" i="1"/>
  <c r="P545" i="1" s="1"/>
  <c r="G545" i="1"/>
  <c r="F545" i="1"/>
  <c r="Z544" i="1"/>
  <c r="V544" i="1"/>
  <c r="Q544" i="1"/>
  <c r="O544" i="1"/>
  <c r="P544" i="1" s="1"/>
  <c r="G544" i="1"/>
  <c r="F544" i="1"/>
  <c r="Z543" i="1"/>
  <c r="V543" i="1"/>
  <c r="Q543" i="1"/>
  <c r="O543" i="1"/>
  <c r="P543" i="1" s="1"/>
  <c r="G543" i="1"/>
  <c r="F543" i="1"/>
  <c r="Z542" i="1"/>
  <c r="V542" i="1"/>
  <c r="Q542" i="1"/>
  <c r="O542" i="1"/>
  <c r="P542" i="1" s="1"/>
  <c r="G542" i="1"/>
  <c r="F542" i="1"/>
  <c r="Z541" i="1"/>
  <c r="V541" i="1"/>
  <c r="Q541" i="1"/>
  <c r="O541" i="1"/>
  <c r="P541" i="1" s="1"/>
  <c r="G541" i="1"/>
  <c r="F541" i="1"/>
  <c r="Z540" i="1"/>
  <c r="V540" i="1"/>
  <c r="Q540" i="1"/>
  <c r="O540" i="1"/>
  <c r="P540" i="1" s="1"/>
  <c r="G540" i="1"/>
  <c r="F540" i="1"/>
  <c r="Z539" i="1"/>
  <c r="V539" i="1"/>
  <c r="Q539" i="1"/>
  <c r="O539" i="1"/>
  <c r="P539" i="1" s="1"/>
  <c r="G539" i="1"/>
  <c r="F539" i="1"/>
  <c r="Z538" i="1"/>
  <c r="V538" i="1"/>
  <c r="Q538" i="1"/>
  <c r="O538" i="1"/>
  <c r="P538" i="1" s="1"/>
  <c r="G538" i="1"/>
  <c r="F538" i="1"/>
  <c r="Z537" i="1"/>
  <c r="V537" i="1"/>
  <c r="Q537" i="1"/>
  <c r="O537" i="1"/>
  <c r="P537" i="1" s="1"/>
  <c r="G537" i="1"/>
  <c r="F537" i="1"/>
  <c r="Z536" i="1"/>
  <c r="V536" i="1"/>
  <c r="Q536" i="1"/>
  <c r="O536" i="1"/>
  <c r="P536" i="1" s="1"/>
  <c r="G536" i="1"/>
  <c r="F536" i="1"/>
  <c r="Z535" i="1"/>
  <c r="V535" i="1"/>
  <c r="Q535" i="1"/>
  <c r="O535" i="1"/>
  <c r="P535" i="1" s="1"/>
  <c r="G535" i="1"/>
  <c r="F535" i="1"/>
  <c r="Z534" i="1"/>
  <c r="V534" i="1"/>
  <c r="Q534" i="1"/>
  <c r="O534" i="1"/>
  <c r="P534" i="1" s="1"/>
  <c r="G534" i="1"/>
  <c r="F534" i="1"/>
  <c r="Z533" i="1"/>
  <c r="V533" i="1"/>
  <c r="Q533" i="1"/>
  <c r="O533" i="1"/>
  <c r="P533" i="1" s="1"/>
  <c r="G533" i="1"/>
  <c r="F533" i="1"/>
  <c r="Z532" i="1"/>
  <c r="V532" i="1"/>
  <c r="O532" i="1"/>
  <c r="P532" i="1" s="1"/>
  <c r="G532" i="1"/>
  <c r="F532" i="1"/>
  <c r="Z531" i="1"/>
  <c r="W531" i="1"/>
  <c r="V531" i="1"/>
  <c r="O531" i="1"/>
  <c r="P531" i="1" s="1"/>
  <c r="G531" i="1"/>
  <c r="F531" i="1"/>
  <c r="Z530" i="1"/>
  <c r="V530" i="1"/>
  <c r="O530" i="1"/>
  <c r="P530" i="1" s="1"/>
  <c r="G530" i="1"/>
  <c r="F530" i="1"/>
  <c r="Z529" i="1"/>
  <c r="V529" i="1"/>
  <c r="O529" i="1"/>
  <c r="P529" i="1" s="1"/>
  <c r="G529" i="1"/>
  <c r="F529" i="1"/>
  <c r="Z528" i="1"/>
  <c r="V528" i="1"/>
  <c r="Q528" i="1"/>
  <c r="O528" i="1"/>
  <c r="P528" i="1" s="1"/>
  <c r="G528" i="1"/>
  <c r="F528" i="1"/>
  <c r="Z527" i="1"/>
  <c r="V527" i="1"/>
  <c r="Q527" i="1"/>
  <c r="O527" i="1"/>
  <c r="P527" i="1" s="1"/>
  <c r="G527" i="1"/>
  <c r="F527" i="1"/>
  <c r="Z526" i="1"/>
  <c r="V526" i="1"/>
  <c r="Q526" i="1"/>
  <c r="O526" i="1"/>
  <c r="P526" i="1" s="1"/>
  <c r="G526" i="1"/>
  <c r="F526" i="1"/>
  <c r="Z525" i="1"/>
  <c r="V525" i="1"/>
  <c r="Q525" i="1"/>
  <c r="O525" i="1"/>
  <c r="P525" i="1" s="1"/>
  <c r="G525" i="1"/>
  <c r="F525" i="1"/>
  <c r="Z524" i="1"/>
  <c r="V524" i="1"/>
  <c r="Q524" i="1"/>
  <c r="O524" i="1"/>
  <c r="P524" i="1" s="1"/>
  <c r="G524" i="1"/>
  <c r="F524" i="1"/>
  <c r="Z523" i="1"/>
  <c r="V523" i="1"/>
  <c r="Q523" i="1"/>
  <c r="O523" i="1"/>
  <c r="P523" i="1" s="1"/>
  <c r="G523" i="1"/>
  <c r="F523" i="1"/>
  <c r="Z522" i="1"/>
  <c r="V522" i="1"/>
  <c r="Q522" i="1"/>
  <c r="O522" i="1"/>
  <c r="P522" i="1" s="1"/>
  <c r="G522" i="1"/>
  <c r="F522" i="1"/>
  <c r="Z521" i="1"/>
  <c r="V521" i="1"/>
  <c r="Q521" i="1"/>
  <c r="O521" i="1"/>
  <c r="P521" i="1" s="1"/>
  <c r="G521" i="1"/>
  <c r="F521" i="1"/>
  <c r="Z520" i="1"/>
  <c r="V520" i="1"/>
  <c r="Q520" i="1"/>
  <c r="O520" i="1"/>
  <c r="P520" i="1" s="1"/>
  <c r="G520" i="1"/>
  <c r="Z519" i="1"/>
  <c r="V519" i="1"/>
  <c r="Q519" i="1"/>
  <c r="O519" i="1"/>
  <c r="P519" i="1" s="1"/>
  <c r="G519" i="1"/>
  <c r="Z518" i="1"/>
  <c r="V518" i="1"/>
  <c r="Q518" i="1"/>
  <c r="O518" i="1"/>
  <c r="P518" i="1" s="1"/>
  <c r="G518" i="1"/>
  <c r="Z517" i="1"/>
  <c r="W517" i="1"/>
  <c r="V517" i="1"/>
  <c r="Q517" i="1"/>
  <c r="O517" i="1"/>
  <c r="P517" i="1" s="1"/>
  <c r="G517" i="1"/>
  <c r="F517" i="1"/>
  <c r="Z516" i="1"/>
  <c r="W516" i="1"/>
  <c r="V516" i="1"/>
  <c r="Q516" i="1"/>
  <c r="O516" i="1"/>
  <c r="P516" i="1" s="1"/>
  <c r="G516" i="1"/>
  <c r="F516" i="1"/>
  <c r="Z515" i="1"/>
  <c r="W515" i="1"/>
  <c r="V515" i="1"/>
  <c r="Q515" i="1"/>
  <c r="O515" i="1"/>
  <c r="P515" i="1" s="1"/>
  <c r="G515" i="1"/>
  <c r="F515" i="1"/>
  <c r="Z514" i="1"/>
  <c r="V514" i="1"/>
  <c r="O514" i="1"/>
  <c r="P514" i="1" s="1"/>
  <c r="G514" i="1"/>
  <c r="F514" i="1"/>
  <c r="Z513" i="1"/>
  <c r="V513" i="1"/>
  <c r="Q513" i="1"/>
  <c r="O513" i="1"/>
  <c r="P513" i="1" s="1"/>
  <c r="G513" i="1"/>
  <c r="F513" i="1"/>
  <c r="Z512" i="1"/>
  <c r="V512" i="1"/>
  <c r="Q512" i="1"/>
  <c r="O512" i="1"/>
  <c r="P512" i="1" s="1"/>
  <c r="G512" i="1"/>
  <c r="F512" i="1"/>
  <c r="Z511" i="1"/>
  <c r="V511" i="1"/>
  <c r="Q511" i="1"/>
  <c r="O511" i="1"/>
  <c r="P511" i="1" s="1"/>
  <c r="G511" i="1"/>
  <c r="Z510" i="1"/>
  <c r="V510" i="1"/>
  <c r="Q510" i="1"/>
  <c r="O510" i="1"/>
  <c r="P510" i="1" s="1"/>
  <c r="G510" i="1"/>
  <c r="Z509" i="1"/>
  <c r="V509" i="1"/>
  <c r="Q509" i="1"/>
  <c r="O509" i="1"/>
  <c r="P509" i="1" s="1"/>
  <c r="I509" i="1"/>
  <c r="G509" i="1"/>
  <c r="F509" i="1"/>
  <c r="Z508" i="1"/>
  <c r="V508" i="1"/>
  <c r="Q508" i="1"/>
  <c r="O508" i="1"/>
  <c r="P508" i="1" s="1"/>
  <c r="I508" i="1"/>
  <c r="G508" i="1"/>
  <c r="F508" i="1"/>
  <c r="Z507" i="1"/>
  <c r="V507" i="1"/>
  <c r="Q507" i="1"/>
  <c r="O507" i="1"/>
  <c r="P507" i="1" s="1"/>
  <c r="I507" i="1"/>
  <c r="G507" i="1"/>
  <c r="F507" i="1"/>
  <c r="Z506" i="1"/>
  <c r="V506" i="1"/>
  <c r="Q506" i="1"/>
  <c r="O506" i="1"/>
  <c r="P506" i="1" s="1"/>
  <c r="Z505" i="1"/>
  <c r="V505" i="1"/>
  <c r="Q505" i="1"/>
  <c r="O505" i="1"/>
  <c r="P505" i="1" s="1"/>
  <c r="G505" i="1"/>
  <c r="F505" i="1"/>
  <c r="Z504" i="1"/>
  <c r="V504" i="1"/>
  <c r="Q504" i="1"/>
  <c r="O504" i="1"/>
  <c r="P504" i="1" s="1"/>
  <c r="G504" i="1"/>
  <c r="F504" i="1"/>
  <c r="Z503" i="1"/>
  <c r="V503" i="1"/>
  <c r="O503" i="1"/>
  <c r="P503" i="1" s="1"/>
  <c r="G503" i="1"/>
  <c r="F503" i="1"/>
  <c r="Z502" i="1"/>
  <c r="V502" i="1"/>
  <c r="Q502" i="1"/>
  <c r="O502" i="1"/>
  <c r="P502" i="1" s="1"/>
  <c r="G502" i="1"/>
  <c r="F502" i="1"/>
  <c r="Z501" i="1"/>
  <c r="V501" i="1"/>
  <c r="Q501" i="1"/>
  <c r="O501" i="1"/>
  <c r="P501" i="1" s="1"/>
  <c r="G501" i="1"/>
  <c r="F501" i="1"/>
  <c r="Z500" i="1"/>
  <c r="V500" i="1"/>
  <c r="Q500" i="1"/>
  <c r="O500" i="1"/>
  <c r="P500" i="1" s="1"/>
  <c r="G500" i="1"/>
  <c r="F500" i="1"/>
  <c r="Z499" i="1"/>
  <c r="V499" i="1"/>
  <c r="Q499" i="1"/>
  <c r="O499" i="1"/>
  <c r="P499" i="1" s="1"/>
  <c r="G499" i="1"/>
  <c r="F499" i="1"/>
  <c r="Z498" i="1"/>
  <c r="V498" i="1"/>
  <c r="Q498" i="1"/>
  <c r="O498" i="1"/>
  <c r="P498" i="1" s="1"/>
  <c r="G498" i="1"/>
  <c r="F498" i="1"/>
  <c r="Z497" i="1"/>
  <c r="V497" i="1"/>
  <c r="Q497" i="1"/>
  <c r="O497" i="1"/>
  <c r="P497" i="1" s="1"/>
  <c r="G497" i="1"/>
  <c r="F497" i="1"/>
  <c r="Z496" i="1"/>
  <c r="V496" i="1"/>
  <c r="Q496" i="1"/>
  <c r="O496" i="1"/>
  <c r="P496" i="1" s="1"/>
  <c r="G496" i="1"/>
  <c r="F496" i="1"/>
  <c r="Z495" i="1"/>
  <c r="V495" i="1"/>
  <c r="O495" i="1"/>
  <c r="P495" i="1" s="1"/>
  <c r="G495" i="1"/>
  <c r="F495" i="1"/>
  <c r="Z494" i="1"/>
  <c r="V494" i="1"/>
  <c r="O494" i="1"/>
  <c r="P494" i="1" s="1"/>
  <c r="G494" i="1"/>
  <c r="F494" i="1"/>
  <c r="Z493" i="1"/>
  <c r="V493" i="1"/>
  <c r="O493" i="1"/>
  <c r="P493" i="1" s="1"/>
  <c r="G493" i="1"/>
  <c r="F493" i="1"/>
  <c r="Z492" i="1"/>
  <c r="V492" i="1"/>
  <c r="O492" i="1"/>
  <c r="P492" i="1" s="1"/>
  <c r="G492" i="1"/>
  <c r="F492" i="1"/>
  <c r="Z491" i="1"/>
  <c r="V491" i="1"/>
  <c r="O491" i="1"/>
  <c r="P491" i="1" s="1"/>
  <c r="G491" i="1"/>
  <c r="F491" i="1"/>
  <c r="V490" i="1"/>
  <c r="Q490" i="1"/>
  <c r="Z490" i="1" s="1"/>
  <c r="O490" i="1"/>
  <c r="P490" i="1" s="1"/>
  <c r="G490" i="1"/>
  <c r="F490" i="1"/>
  <c r="Z489" i="1"/>
  <c r="V489" i="1"/>
  <c r="O489" i="1"/>
  <c r="P489" i="1" s="1"/>
  <c r="Z488" i="1"/>
  <c r="V488" i="1"/>
  <c r="O488" i="1"/>
  <c r="P488" i="1" s="1"/>
  <c r="G488" i="1"/>
  <c r="F488" i="1"/>
  <c r="Z487" i="1"/>
  <c r="V487" i="1"/>
  <c r="Q487" i="1"/>
  <c r="O487" i="1"/>
  <c r="P487" i="1" s="1"/>
  <c r="G487" i="1"/>
  <c r="F487" i="1"/>
  <c r="Z486" i="1"/>
  <c r="V486" i="1"/>
  <c r="Q486" i="1"/>
  <c r="O486" i="1"/>
  <c r="P486" i="1" s="1"/>
  <c r="G486" i="1"/>
  <c r="F486" i="1"/>
  <c r="Z485" i="1"/>
  <c r="V485" i="1"/>
  <c r="Q485" i="1"/>
  <c r="O485" i="1"/>
  <c r="P485" i="1" s="1"/>
  <c r="G485" i="1"/>
  <c r="F485" i="1"/>
  <c r="Z484" i="1"/>
  <c r="V484" i="1"/>
  <c r="Q484" i="1"/>
  <c r="O484" i="1"/>
  <c r="P484" i="1" s="1"/>
  <c r="G484" i="1"/>
  <c r="F484" i="1"/>
  <c r="Z483" i="1"/>
  <c r="V483" i="1"/>
  <c r="Q483" i="1"/>
  <c r="O483" i="1"/>
  <c r="P483" i="1" s="1"/>
  <c r="G483" i="1"/>
  <c r="F483" i="1"/>
  <c r="Z482" i="1"/>
  <c r="V482" i="1"/>
  <c r="Q482" i="1"/>
  <c r="O482" i="1"/>
  <c r="P482" i="1" s="1"/>
  <c r="G482" i="1"/>
  <c r="F482" i="1"/>
  <c r="Z481" i="1"/>
  <c r="V481" i="1"/>
  <c r="Q481" i="1"/>
  <c r="O481" i="1"/>
  <c r="P481" i="1" s="1"/>
  <c r="G481" i="1"/>
  <c r="F481" i="1"/>
  <c r="Z480" i="1"/>
  <c r="V480" i="1"/>
  <c r="Q480" i="1"/>
  <c r="O480" i="1"/>
  <c r="P480" i="1" s="1"/>
  <c r="Z479" i="1"/>
  <c r="V479" i="1"/>
  <c r="Q479" i="1"/>
  <c r="O479" i="1"/>
  <c r="P479" i="1" s="1"/>
  <c r="Z478" i="1"/>
  <c r="V478" i="1"/>
  <c r="Q478" i="1"/>
  <c r="O478" i="1"/>
  <c r="P478" i="1" s="1"/>
  <c r="Z477" i="1"/>
  <c r="V477" i="1"/>
  <c r="Q477" i="1"/>
  <c r="O477" i="1"/>
  <c r="P477" i="1" s="1"/>
  <c r="Z476" i="1"/>
  <c r="V476" i="1"/>
  <c r="Q476" i="1"/>
  <c r="O476" i="1"/>
  <c r="P476" i="1" s="1"/>
  <c r="Z475" i="1"/>
  <c r="V475" i="1"/>
  <c r="Q475" i="1"/>
  <c r="O475" i="1"/>
  <c r="P475" i="1" s="1"/>
  <c r="G475" i="1"/>
  <c r="F475" i="1"/>
  <c r="Z474" i="1"/>
  <c r="V474" i="1"/>
  <c r="Q474" i="1"/>
  <c r="O474" i="1"/>
  <c r="P474" i="1" s="1"/>
  <c r="I474" i="1"/>
  <c r="G474" i="1"/>
  <c r="F474" i="1"/>
  <c r="Z473" i="1"/>
  <c r="V473" i="1"/>
  <c r="Q473" i="1"/>
  <c r="O473" i="1"/>
  <c r="P473" i="1" s="1"/>
  <c r="G473" i="1"/>
  <c r="F473" i="1"/>
  <c r="Z472" i="1"/>
  <c r="V472" i="1"/>
  <c r="Q472" i="1"/>
  <c r="O472" i="1"/>
  <c r="P472" i="1" s="1"/>
  <c r="G472" i="1"/>
  <c r="F472" i="1"/>
  <c r="Z471" i="1"/>
  <c r="V471" i="1"/>
  <c r="Q471" i="1"/>
  <c r="O471" i="1"/>
  <c r="P471" i="1" s="1"/>
  <c r="G471" i="1"/>
  <c r="F471" i="1"/>
  <c r="Z470" i="1"/>
  <c r="W470" i="1"/>
  <c r="V470" i="1"/>
  <c r="O470" i="1"/>
  <c r="P470" i="1" s="1"/>
  <c r="G470" i="1"/>
  <c r="F470" i="1"/>
  <c r="Z469" i="1"/>
  <c r="V469" i="1"/>
  <c r="Q469" i="1"/>
  <c r="O469" i="1"/>
  <c r="P469" i="1" s="1"/>
  <c r="I469" i="1"/>
  <c r="G469" i="1"/>
  <c r="F469" i="1"/>
  <c r="Z468" i="1"/>
  <c r="V468" i="1"/>
  <c r="O468" i="1"/>
  <c r="P468" i="1" s="1"/>
  <c r="G468" i="1"/>
  <c r="F468" i="1"/>
  <c r="Z467" i="1"/>
  <c r="V467" i="1"/>
  <c r="Q467" i="1"/>
  <c r="O467" i="1"/>
  <c r="P467" i="1" s="1"/>
  <c r="G467" i="1"/>
  <c r="Z466" i="1"/>
  <c r="V466" i="1"/>
  <c r="Q466" i="1"/>
  <c r="O466" i="1"/>
  <c r="P466" i="1" s="1"/>
  <c r="G466" i="1"/>
  <c r="Z465" i="1"/>
  <c r="V465" i="1"/>
  <c r="Q465" i="1"/>
  <c r="O465" i="1"/>
  <c r="P465" i="1" s="1"/>
  <c r="G465" i="1"/>
  <c r="Z464" i="1"/>
  <c r="Q464" i="1"/>
  <c r="O464" i="1"/>
  <c r="P464" i="1" s="1"/>
  <c r="G464" i="1"/>
  <c r="F464" i="1"/>
  <c r="Z463" i="1"/>
  <c r="V463" i="1"/>
  <c r="Q463" i="1"/>
  <c r="O463" i="1"/>
  <c r="P463" i="1" s="1"/>
  <c r="G463" i="1"/>
  <c r="F463" i="1"/>
  <c r="Z462" i="1"/>
  <c r="V462" i="1"/>
  <c r="P462" i="1"/>
  <c r="G462" i="1"/>
  <c r="F462" i="1"/>
  <c r="Z461" i="1"/>
  <c r="V461" i="1"/>
  <c r="Q461" i="1"/>
  <c r="O461" i="1"/>
  <c r="P461" i="1" s="1"/>
  <c r="G461" i="1"/>
  <c r="Z460" i="1"/>
  <c r="V460" i="1"/>
  <c r="Q460" i="1"/>
  <c r="O460" i="1"/>
  <c r="P460" i="1" s="1"/>
  <c r="G460" i="1"/>
  <c r="Z459" i="1"/>
  <c r="V459" i="1"/>
  <c r="Q459" i="1"/>
  <c r="O459" i="1"/>
  <c r="P459" i="1" s="1"/>
  <c r="G459" i="1"/>
  <c r="Z458" i="1"/>
  <c r="V458" i="1"/>
  <c r="O458" i="1"/>
  <c r="P458" i="1" s="1"/>
  <c r="G458" i="1"/>
  <c r="F458" i="1"/>
  <c r="Z457" i="1"/>
  <c r="W457" i="1"/>
  <c r="V457" i="1"/>
  <c r="O457" i="1"/>
  <c r="P457" i="1" s="1"/>
  <c r="G457" i="1"/>
  <c r="F457" i="1"/>
  <c r="Z456" i="1"/>
  <c r="V456" i="1"/>
  <c r="Q456" i="1"/>
  <c r="O456" i="1"/>
  <c r="P456" i="1" s="1"/>
  <c r="G456" i="1"/>
  <c r="F456" i="1"/>
  <c r="Z455" i="1"/>
  <c r="V455" i="1"/>
  <c r="Q455" i="1"/>
  <c r="O455" i="1"/>
  <c r="P455" i="1" s="1"/>
  <c r="G455" i="1"/>
  <c r="F455" i="1"/>
  <c r="Z454" i="1"/>
  <c r="V454" i="1"/>
  <c r="Q454" i="1"/>
  <c r="O454" i="1"/>
  <c r="P454" i="1" s="1"/>
  <c r="I454" i="1"/>
  <c r="G454" i="1"/>
  <c r="F454" i="1"/>
  <c r="Z453" i="1"/>
  <c r="V453" i="1"/>
  <c r="Q453" i="1"/>
  <c r="O453" i="1"/>
  <c r="P453" i="1" s="1"/>
  <c r="G453" i="1"/>
  <c r="Z452" i="1"/>
  <c r="V452" i="1"/>
  <c r="Q452" i="1"/>
  <c r="O452" i="1"/>
  <c r="P452" i="1" s="1"/>
  <c r="G452" i="1"/>
  <c r="Z451" i="1"/>
  <c r="V451" i="1"/>
  <c r="Q451" i="1"/>
  <c r="O451" i="1"/>
  <c r="P451" i="1" s="1"/>
  <c r="G451" i="1"/>
  <c r="F451" i="1"/>
  <c r="Z450" i="1"/>
  <c r="V450" i="1"/>
  <c r="Q450" i="1"/>
  <c r="O450" i="1"/>
  <c r="P450" i="1" s="1"/>
  <c r="G450" i="1"/>
  <c r="F450" i="1"/>
  <c r="Z449" i="1"/>
  <c r="V449" i="1"/>
  <c r="Q449" i="1"/>
  <c r="O449" i="1"/>
  <c r="P449" i="1" s="1"/>
  <c r="G449" i="1"/>
  <c r="F449" i="1"/>
  <c r="Z448" i="1"/>
  <c r="V448" i="1"/>
  <c r="Q448" i="1"/>
  <c r="O448" i="1"/>
  <c r="P448" i="1" s="1"/>
  <c r="G448" i="1"/>
  <c r="F448" i="1"/>
  <c r="Z447" i="1"/>
  <c r="V447" i="1"/>
  <c r="Q447" i="1"/>
  <c r="O447" i="1"/>
  <c r="P447" i="1" s="1"/>
  <c r="G447" i="1"/>
  <c r="F447" i="1"/>
  <c r="Z446" i="1"/>
  <c r="V446" i="1"/>
  <c r="Q446" i="1"/>
  <c r="O446" i="1"/>
  <c r="P446" i="1" s="1"/>
  <c r="G446" i="1"/>
  <c r="F446" i="1"/>
  <c r="Z445" i="1"/>
  <c r="V445" i="1"/>
  <c r="Q445" i="1"/>
  <c r="O445" i="1"/>
  <c r="P445" i="1" s="1"/>
  <c r="G445" i="1"/>
  <c r="F445" i="1"/>
  <c r="Z444" i="1"/>
  <c r="V444" i="1"/>
  <c r="Q444" i="1"/>
  <c r="O444" i="1"/>
  <c r="P444" i="1" s="1"/>
  <c r="Z443" i="1"/>
  <c r="V443" i="1"/>
  <c r="Q443" i="1"/>
  <c r="O443" i="1"/>
  <c r="P443" i="1" s="1"/>
  <c r="I443" i="1"/>
  <c r="G443" i="1"/>
  <c r="F443" i="1"/>
  <c r="Z442" i="1"/>
  <c r="V442" i="1"/>
  <c r="Q442" i="1"/>
  <c r="O442" i="1"/>
  <c r="P442" i="1" s="1"/>
  <c r="I442" i="1"/>
  <c r="G442" i="1"/>
  <c r="F442" i="1"/>
  <c r="Z441" i="1"/>
  <c r="V441" i="1"/>
  <c r="Q441" i="1"/>
  <c r="O441" i="1"/>
  <c r="P441" i="1" s="1"/>
  <c r="I441" i="1"/>
  <c r="G441" i="1"/>
  <c r="F441" i="1"/>
  <c r="Z440" i="1"/>
  <c r="V440" i="1"/>
  <c r="Q440" i="1"/>
  <c r="O440" i="1"/>
  <c r="P440" i="1" s="1"/>
  <c r="G440" i="1"/>
  <c r="F440" i="1"/>
  <c r="Z439" i="1"/>
  <c r="V439" i="1"/>
  <c r="Q439" i="1"/>
  <c r="O439" i="1"/>
  <c r="P439" i="1" s="1"/>
  <c r="G439" i="1"/>
  <c r="F439" i="1"/>
  <c r="Z438" i="1"/>
  <c r="V438" i="1"/>
  <c r="Q438" i="1"/>
  <c r="O438" i="1"/>
  <c r="P438" i="1" s="1"/>
  <c r="G438" i="1"/>
  <c r="F438" i="1"/>
  <c r="Z437" i="1"/>
  <c r="V437" i="1"/>
  <c r="Q437" i="1"/>
  <c r="O437" i="1"/>
  <c r="P437" i="1" s="1"/>
  <c r="G437" i="1"/>
  <c r="F437" i="1"/>
  <c r="Z436" i="1"/>
  <c r="V436" i="1"/>
  <c r="Q436" i="1"/>
  <c r="O436" i="1"/>
  <c r="P436" i="1" s="1"/>
  <c r="G436" i="1"/>
  <c r="F436" i="1"/>
  <c r="Z435" i="1"/>
  <c r="V435" i="1"/>
  <c r="Q435" i="1"/>
  <c r="O435" i="1"/>
  <c r="P435" i="1" s="1"/>
  <c r="G435" i="1"/>
  <c r="F435" i="1"/>
  <c r="Z434" i="1"/>
  <c r="V434" i="1"/>
  <c r="Q434" i="1"/>
  <c r="O434" i="1"/>
  <c r="P434" i="1" s="1"/>
  <c r="G434" i="1"/>
  <c r="F434" i="1"/>
  <c r="Z433" i="1"/>
  <c r="V433" i="1"/>
  <c r="Q433" i="1"/>
  <c r="O433" i="1"/>
  <c r="P433" i="1" s="1"/>
  <c r="G433" i="1"/>
  <c r="F433" i="1"/>
  <c r="Z432" i="1"/>
  <c r="V432" i="1"/>
  <c r="Q432" i="1"/>
  <c r="O432" i="1"/>
  <c r="P432" i="1" s="1"/>
  <c r="G432" i="1"/>
  <c r="Z431" i="1"/>
  <c r="V431" i="1"/>
  <c r="Q431" i="1"/>
  <c r="O431" i="1"/>
  <c r="P431" i="1" s="1"/>
  <c r="G431" i="1"/>
  <c r="F431" i="1"/>
  <c r="Z430" i="1"/>
  <c r="V430" i="1"/>
  <c r="O430" i="1"/>
  <c r="P430" i="1" s="1"/>
  <c r="G430" i="1"/>
  <c r="F430" i="1"/>
  <c r="Z429" i="1"/>
  <c r="V429" i="1"/>
  <c r="Q429" i="1"/>
  <c r="O429" i="1"/>
  <c r="P429" i="1" s="1"/>
  <c r="G429" i="1"/>
  <c r="F429" i="1"/>
  <c r="Z428" i="1"/>
  <c r="V428" i="1"/>
  <c r="Q428" i="1"/>
  <c r="O428" i="1"/>
  <c r="P428" i="1" s="1"/>
  <c r="G428" i="1"/>
  <c r="F428" i="1"/>
  <c r="Z427" i="1"/>
  <c r="V427" i="1"/>
  <c r="Q427" i="1"/>
  <c r="O427" i="1"/>
  <c r="P427" i="1" s="1"/>
  <c r="G427" i="1"/>
  <c r="F427" i="1"/>
  <c r="Z426" i="1"/>
  <c r="V426" i="1"/>
  <c r="Q426" i="1"/>
  <c r="O426" i="1"/>
  <c r="P426" i="1" s="1"/>
  <c r="G426" i="1"/>
  <c r="F426" i="1"/>
  <c r="Z425" i="1"/>
  <c r="V425" i="1"/>
  <c r="Q425" i="1"/>
  <c r="O425" i="1"/>
  <c r="P425" i="1" s="1"/>
  <c r="G425" i="1"/>
  <c r="F425" i="1"/>
  <c r="Z424" i="1"/>
  <c r="V424" i="1"/>
  <c r="Q424" i="1"/>
  <c r="O424" i="1"/>
  <c r="P424" i="1" s="1"/>
  <c r="G424" i="1"/>
  <c r="F424" i="1"/>
  <c r="Z423" i="1"/>
  <c r="V423" i="1"/>
  <c r="Q423" i="1"/>
  <c r="O423" i="1"/>
  <c r="P423" i="1" s="1"/>
  <c r="G423" i="1"/>
  <c r="F423" i="1"/>
  <c r="Z422" i="1"/>
  <c r="V422" i="1"/>
  <c r="Q422" i="1"/>
  <c r="O422" i="1"/>
  <c r="P422" i="1" s="1"/>
  <c r="G422" i="1"/>
  <c r="F422" i="1"/>
  <c r="Z421" i="1"/>
  <c r="V421" i="1"/>
  <c r="Q421" i="1"/>
  <c r="O421" i="1"/>
  <c r="P421" i="1" s="1"/>
  <c r="G421" i="1"/>
  <c r="F421" i="1"/>
  <c r="Z420" i="1"/>
  <c r="V420" i="1"/>
  <c r="Q420" i="1"/>
  <c r="O420" i="1"/>
  <c r="P420" i="1" s="1"/>
  <c r="G420" i="1"/>
  <c r="F420" i="1"/>
  <c r="Z419" i="1"/>
  <c r="V419" i="1"/>
  <c r="Q419" i="1"/>
  <c r="O419" i="1"/>
  <c r="P419" i="1" s="1"/>
  <c r="G419" i="1"/>
  <c r="F419" i="1"/>
  <c r="Z418" i="1"/>
  <c r="V418" i="1"/>
  <c r="Q418" i="1"/>
  <c r="O418" i="1"/>
  <c r="P418" i="1" s="1"/>
  <c r="G418" i="1"/>
  <c r="F418" i="1"/>
  <c r="Z417" i="1"/>
  <c r="V417" i="1"/>
  <c r="Q417" i="1"/>
  <c r="O417" i="1"/>
  <c r="P417" i="1" s="1"/>
  <c r="G417" i="1"/>
  <c r="F417" i="1"/>
  <c r="Z416" i="1"/>
  <c r="V416" i="1"/>
  <c r="Q416" i="1"/>
  <c r="O416" i="1"/>
  <c r="P416" i="1" s="1"/>
  <c r="G416" i="1"/>
  <c r="F416" i="1"/>
  <c r="Z415" i="1"/>
  <c r="V415" i="1"/>
  <c r="Q415" i="1"/>
  <c r="O415" i="1"/>
  <c r="P415" i="1" s="1"/>
  <c r="G415" i="1"/>
  <c r="F415" i="1"/>
  <c r="Z414" i="1"/>
  <c r="V414" i="1"/>
  <c r="Q414" i="1"/>
  <c r="O414" i="1"/>
  <c r="P414" i="1" s="1"/>
  <c r="G414" i="1"/>
  <c r="F414" i="1"/>
  <c r="Z413" i="1"/>
  <c r="V413" i="1"/>
  <c r="Q413" i="1"/>
  <c r="O413" i="1"/>
  <c r="P413" i="1" s="1"/>
  <c r="G413" i="1"/>
  <c r="F413" i="1"/>
  <c r="Z412" i="1"/>
  <c r="W412" i="1"/>
  <c r="V412" i="1"/>
  <c r="Q412" i="1"/>
  <c r="O412" i="1"/>
  <c r="P412" i="1" s="1"/>
  <c r="G412" i="1"/>
  <c r="F412" i="1"/>
  <c r="Z411" i="1"/>
  <c r="V411" i="1"/>
  <c r="Q411" i="1"/>
  <c r="O411" i="1"/>
  <c r="P411" i="1" s="1"/>
  <c r="G411" i="1"/>
  <c r="F411" i="1"/>
  <c r="Z410" i="1"/>
  <c r="V410" i="1"/>
  <c r="Q410" i="1"/>
  <c r="O410" i="1"/>
  <c r="P410" i="1" s="1"/>
  <c r="G410" i="1"/>
  <c r="F410" i="1"/>
  <c r="Z409" i="1"/>
  <c r="V409" i="1"/>
  <c r="Q409" i="1"/>
  <c r="O409" i="1"/>
  <c r="P409" i="1" s="1"/>
  <c r="G409" i="1"/>
  <c r="F409" i="1"/>
  <c r="Z408" i="1"/>
  <c r="V408" i="1"/>
  <c r="Q408" i="1"/>
  <c r="O408" i="1"/>
  <c r="P408" i="1" s="1"/>
  <c r="G408" i="1"/>
  <c r="F408" i="1"/>
  <c r="Z407" i="1"/>
  <c r="V407" i="1"/>
  <c r="Q407" i="1"/>
  <c r="O407" i="1"/>
  <c r="P407" i="1" s="1"/>
  <c r="G407" i="1"/>
  <c r="F407" i="1"/>
  <c r="Z406" i="1"/>
  <c r="V406" i="1"/>
  <c r="Q406" i="1"/>
  <c r="O406" i="1"/>
  <c r="P406" i="1" s="1"/>
  <c r="G406" i="1"/>
  <c r="F406" i="1"/>
  <c r="Z405" i="1"/>
  <c r="V405" i="1"/>
  <c r="Q405" i="1"/>
  <c r="O405" i="1"/>
  <c r="P405" i="1" s="1"/>
  <c r="G405" i="1"/>
  <c r="F405" i="1"/>
  <c r="Z404" i="1"/>
  <c r="V404" i="1"/>
  <c r="Q404" i="1"/>
  <c r="O404" i="1"/>
  <c r="P404" i="1" s="1"/>
  <c r="G404" i="1"/>
  <c r="F404" i="1"/>
  <c r="Z403" i="1"/>
  <c r="V403" i="1"/>
  <c r="Q403" i="1"/>
  <c r="O403" i="1"/>
  <c r="P403" i="1" s="1"/>
  <c r="G403" i="1"/>
  <c r="F403" i="1"/>
  <c r="Z402" i="1"/>
  <c r="V402" i="1"/>
  <c r="Q402" i="1"/>
  <c r="O402" i="1"/>
  <c r="P402" i="1" s="1"/>
  <c r="G402" i="1"/>
  <c r="F402" i="1"/>
  <c r="Z401" i="1"/>
  <c r="V401" i="1"/>
  <c r="Q401" i="1"/>
  <c r="O401" i="1"/>
  <c r="P401" i="1" s="1"/>
  <c r="I401" i="1"/>
  <c r="G401" i="1"/>
  <c r="F401" i="1"/>
  <c r="Z400" i="1"/>
  <c r="V400" i="1"/>
  <c r="Q400" i="1"/>
  <c r="O400" i="1"/>
  <c r="P400" i="1" s="1"/>
  <c r="G400" i="1"/>
  <c r="F400" i="1"/>
  <c r="Z399" i="1"/>
  <c r="V399" i="1"/>
  <c r="Q399" i="1"/>
  <c r="O399" i="1"/>
  <c r="P399" i="1" s="1"/>
  <c r="G399" i="1"/>
  <c r="F399" i="1"/>
  <c r="Z398" i="1"/>
  <c r="V398" i="1"/>
  <c r="Q398" i="1"/>
  <c r="O398" i="1"/>
  <c r="P398" i="1" s="1"/>
  <c r="G398" i="1"/>
  <c r="F398" i="1"/>
  <c r="Z397" i="1"/>
  <c r="V397" i="1"/>
  <c r="Q397" i="1"/>
  <c r="O397" i="1"/>
  <c r="P397" i="1" s="1"/>
  <c r="G397" i="1"/>
  <c r="F397" i="1"/>
  <c r="Z396" i="1"/>
  <c r="V396" i="1"/>
  <c r="Q396" i="1"/>
  <c r="O396" i="1"/>
  <c r="P396" i="1" s="1"/>
  <c r="G396" i="1"/>
  <c r="F396" i="1"/>
  <c r="Z395" i="1"/>
  <c r="V395" i="1"/>
  <c r="Q395" i="1"/>
  <c r="O395" i="1"/>
  <c r="P395" i="1" s="1"/>
  <c r="G395" i="1"/>
  <c r="F395" i="1"/>
  <c r="Z394" i="1"/>
  <c r="V394" i="1"/>
  <c r="Q394" i="1"/>
  <c r="O394" i="1"/>
  <c r="P394" i="1" s="1"/>
  <c r="G394" i="1"/>
  <c r="F394" i="1"/>
  <c r="Z393" i="1"/>
  <c r="V393" i="1"/>
  <c r="Q393" i="1"/>
  <c r="O393" i="1"/>
  <c r="P393" i="1" s="1"/>
  <c r="G393" i="1"/>
  <c r="F393" i="1"/>
  <c r="Z392" i="1"/>
  <c r="V392" i="1"/>
  <c r="Q392" i="1"/>
  <c r="O392" i="1"/>
  <c r="P392" i="1" s="1"/>
  <c r="G392" i="1"/>
  <c r="F392" i="1"/>
  <c r="Z391" i="1"/>
  <c r="V391" i="1"/>
  <c r="Q391" i="1"/>
  <c r="O391" i="1"/>
  <c r="P391" i="1" s="1"/>
  <c r="G391" i="1"/>
  <c r="F391" i="1"/>
  <c r="Z390" i="1"/>
  <c r="V390" i="1"/>
  <c r="Q390" i="1"/>
  <c r="O390" i="1"/>
  <c r="P390" i="1" s="1"/>
  <c r="G390" i="1"/>
  <c r="F390" i="1"/>
  <c r="Z389" i="1"/>
  <c r="V389" i="1"/>
  <c r="Q389" i="1"/>
  <c r="O389" i="1"/>
  <c r="P389" i="1" s="1"/>
  <c r="G389" i="1"/>
  <c r="F389" i="1"/>
  <c r="Z388" i="1"/>
  <c r="V388" i="1"/>
  <c r="Q388" i="1"/>
  <c r="O388" i="1"/>
  <c r="P388" i="1" s="1"/>
  <c r="G388" i="1"/>
  <c r="F388" i="1"/>
  <c r="Z387" i="1"/>
  <c r="V387" i="1"/>
  <c r="Q387" i="1"/>
  <c r="O387" i="1"/>
  <c r="P387" i="1" s="1"/>
  <c r="G387" i="1"/>
  <c r="F387" i="1"/>
  <c r="Z386" i="1"/>
  <c r="V386" i="1"/>
  <c r="Q386" i="1"/>
  <c r="O386" i="1"/>
  <c r="P386" i="1" s="1"/>
  <c r="G386" i="1"/>
  <c r="F386" i="1"/>
  <c r="Z385" i="1"/>
  <c r="V385" i="1"/>
  <c r="Q385" i="1"/>
  <c r="O385" i="1"/>
  <c r="P385" i="1" s="1"/>
  <c r="G385" i="1"/>
  <c r="F385" i="1"/>
  <c r="Z384" i="1"/>
  <c r="W384" i="1"/>
  <c r="V384" i="1"/>
  <c r="Q384" i="1"/>
  <c r="O384" i="1"/>
  <c r="P384" i="1" s="1"/>
  <c r="G384" i="1"/>
  <c r="F384" i="1"/>
  <c r="Z383" i="1"/>
  <c r="V383" i="1"/>
  <c r="Q383" i="1"/>
  <c r="O383" i="1"/>
  <c r="P383" i="1" s="1"/>
  <c r="G383" i="1"/>
  <c r="F383" i="1"/>
  <c r="Z382" i="1"/>
  <c r="V382" i="1"/>
  <c r="Q382" i="1"/>
  <c r="O382" i="1"/>
  <c r="P382" i="1" s="1"/>
  <c r="G382" i="1"/>
  <c r="F382" i="1"/>
  <c r="Z381" i="1"/>
  <c r="V381" i="1"/>
  <c r="Q381" i="1"/>
  <c r="O381" i="1"/>
  <c r="P381" i="1" s="1"/>
  <c r="G381" i="1"/>
  <c r="F381" i="1"/>
  <c r="Z380" i="1"/>
  <c r="V380" i="1"/>
  <c r="Q380" i="1"/>
  <c r="O380" i="1"/>
  <c r="P380" i="1" s="1"/>
  <c r="G380" i="1"/>
  <c r="F380" i="1"/>
  <c r="Z379" i="1"/>
  <c r="V379" i="1"/>
  <c r="Q379" i="1"/>
  <c r="O379" i="1"/>
  <c r="P379" i="1" s="1"/>
  <c r="G379" i="1"/>
  <c r="F379" i="1"/>
  <c r="Z378" i="1"/>
  <c r="V378" i="1"/>
  <c r="Q378" i="1"/>
  <c r="O378" i="1"/>
  <c r="P378" i="1" s="1"/>
  <c r="G378" i="1"/>
  <c r="F378" i="1"/>
  <c r="Z377" i="1"/>
  <c r="V377" i="1"/>
  <c r="Q377" i="1"/>
  <c r="O377" i="1"/>
  <c r="P377" i="1" s="1"/>
  <c r="G377" i="1"/>
  <c r="F377" i="1"/>
  <c r="Z376" i="1"/>
  <c r="V376" i="1"/>
  <c r="P376" i="1"/>
  <c r="G376" i="1"/>
  <c r="F376" i="1"/>
  <c r="Z375" i="1"/>
  <c r="V375" i="1"/>
  <c r="Q375" i="1"/>
  <c r="O375" i="1"/>
  <c r="P375" i="1" s="1"/>
  <c r="G375" i="1"/>
  <c r="F375" i="1"/>
  <c r="Z374" i="1"/>
  <c r="V374" i="1"/>
  <c r="Q374" i="1"/>
  <c r="O374" i="1"/>
  <c r="P374" i="1" s="1"/>
  <c r="G374" i="1"/>
  <c r="F374" i="1"/>
  <c r="Z373" i="1"/>
  <c r="V373" i="1"/>
  <c r="Q373" i="1"/>
  <c r="O373" i="1"/>
  <c r="P373" i="1" s="1"/>
  <c r="G373" i="1"/>
  <c r="F373" i="1"/>
  <c r="Z372" i="1"/>
  <c r="V372" i="1"/>
  <c r="O372" i="1"/>
  <c r="P372" i="1" s="1"/>
  <c r="Z371" i="1"/>
  <c r="V371" i="1"/>
  <c r="Q371" i="1"/>
  <c r="O371" i="1"/>
  <c r="P371" i="1" s="1"/>
  <c r="G371" i="1"/>
  <c r="F371" i="1"/>
  <c r="Z370" i="1"/>
  <c r="V370" i="1"/>
  <c r="O370" i="1"/>
  <c r="P370" i="1" s="1"/>
  <c r="G370" i="1"/>
  <c r="F370" i="1"/>
  <c r="Z369" i="1"/>
  <c r="W369" i="1"/>
  <c r="V369" i="1"/>
  <c r="Q369" i="1"/>
  <c r="O369" i="1"/>
  <c r="P369" i="1" s="1"/>
  <c r="G369" i="1"/>
  <c r="F369" i="1"/>
  <c r="Z368" i="1"/>
  <c r="V368" i="1"/>
  <c r="Q368" i="1"/>
  <c r="O368" i="1"/>
  <c r="P368" i="1" s="1"/>
  <c r="G368" i="1"/>
  <c r="F368" i="1"/>
  <c r="Z367" i="1"/>
  <c r="V367" i="1"/>
  <c r="Q367" i="1"/>
  <c r="O367" i="1"/>
  <c r="P367" i="1" s="1"/>
  <c r="G367" i="1"/>
  <c r="F367" i="1"/>
  <c r="Z366" i="1"/>
  <c r="V366" i="1"/>
  <c r="Q366" i="1"/>
  <c r="O366" i="1"/>
  <c r="P366" i="1" s="1"/>
  <c r="G366" i="1"/>
  <c r="F366" i="1"/>
  <c r="Z365" i="1"/>
  <c r="V365" i="1"/>
  <c r="Q365" i="1"/>
  <c r="O365" i="1"/>
  <c r="P365" i="1" s="1"/>
  <c r="G365" i="1"/>
  <c r="F365" i="1"/>
  <c r="Z364" i="1"/>
  <c r="V364" i="1"/>
  <c r="Q364" i="1"/>
  <c r="O364" i="1"/>
  <c r="P364" i="1" s="1"/>
  <c r="G364" i="1"/>
  <c r="F364" i="1"/>
  <c r="Z363" i="1"/>
  <c r="V363" i="1"/>
  <c r="Q363" i="1"/>
  <c r="O363" i="1"/>
  <c r="P363" i="1" s="1"/>
  <c r="G363" i="1"/>
  <c r="F363" i="1"/>
  <c r="Z362" i="1"/>
  <c r="V362" i="1"/>
  <c r="O362" i="1"/>
  <c r="P362" i="1" s="1"/>
  <c r="G362" i="1"/>
  <c r="F362" i="1"/>
  <c r="Z361" i="1"/>
  <c r="V361" i="1"/>
  <c r="Q361" i="1"/>
  <c r="O361" i="1"/>
  <c r="P361" i="1" s="1"/>
  <c r="G361" i="1"/>
  <c r="F361" i="1"/>
  <c r="Z360" i="1"/>
  <c r="V360" i="1"/>
  <c r="Q360" i="1"/>
  <c r="O360" i="1"/>
  <c r="P360" i="1" s="1"/>
  <c r="G360" i="1"/>
  <c r="F360" i="1"/>
  <c r="Z359" i="1"/>
  <c r="V359" i="1"/>
  <c r="Q359" i="1"/>
  <c r="O359" i="1"/>
  <c r="P359" i="1" s="1"/>
  <c r="G359" i="1"/>
  <c r="F359" i="1"/>
  <c r="Z358" i="1"/>
  <c r="V358" i="1"/>
  <c r="Q358" i="1"/>
  <c r="O358" i="1"/>
  <c r="P358" i="1" s="1"/>
  <c r="G358" i="1"/>
  <c r="F358" i="1"/>
  <c r="Z357" i="1"/>
  <c r="V357" i="1"/>
  <c r="Q357" i="1"/>
  <c r="O357" i="1"/>
  <c r="P357" i="1" s="1"/>
  <c r="G357" i="1"/>
  <c r="F357" i="1"/>
  <c r="Z356" i="1"/>
  <c r="V356" i="1"/>
  <c r="Q356" i="1"/>
  <c r="O356" i="1"/>
  <c r="P356" i="1" s="1"/>
  <c r="G356" i="1"/>
  <c r="F356" i="1"/>
  <c r="Z355" i="1"/>
  <c r="V355" i="1"/>
  <c r="Q355" i="1"/>
  <c r="O355" i="1"/>
  <c r="P355" i="1" s="1"/>
  <c r="G355" i="1"/>
  <c r="F355" i="1"/>
  <c r="Z354" i="1"/>
  <c r="V354" i="1"/>
  <c r="Q354" i="1"/>
  <c r="O354" i="1"/>
  <c r="P354" i="1" s="1"/>
  <c r="G354" i="1"/>
  <c r="F354" i="1"/>
  <c r="Z353" i="1"/>
  <c r="V353" i="1"/>
  <c r="Q353" i="1"/>
  <c r="O353" i="1"/>
  <c r="P353" i="1" s="1"/>
  <c r="G353" i="1"/>
  <c r="F353" i="1"/>
  <c r="Z352" i="1"/>
  <c r="V352" i="1"/>
  <c r="Q352" i="1"/>
  <c r="O352" i="1"/>
  <c r="P352" i="1" s="1"/>
  <c r="G352" i="1"/>
  <c r="F352" i="1"/>
  <c r="Z351" i="1"/>
  <c r="V351" i="1"/>
  <c r="Q351" i="1"/>
  <c r="O351" i="1"/>
  <c r="P351" i="1" s="1"/>
  <c r="G351" i="1"/>
  <c r="F351" i="1"/>
  <c r="Z350" i="1"/>
  <c r="V350" i="1"/>
  <c r="Q350" i="1"/>
  <c r="O350" i="1"/>
  <c r="P350" i="1" s="1"/>
  <c r="G350" i="1"/>
  <c r="F350" i="1"/>
  <c r="Z349" i="1"/>
  <c r="V349" i="1"/>
  <c r="Q349" i="1"/>
  <c r="O349" i="1"/>
  <c r="P349" i="1" s="1"/>
  <c r="G349" i="1"/>
  <c r="F349" i="1"/>
  <c r="Z348" i="1"/>
  <c r="V348" i="1"/>
  <c r="Q348" i="1"/>
  <c r="O348" i="1"/>
  <c r="P348" i="1" s="1"/>
  <c r="G348" i="1"/>
  <c r="F348" i="1"/>
  <c r="Z347" i="1"/>
  <c r="V347" i="1"/>
  <c r="Q347" i="1"/>
  <c r="O347" i="1"/>
  <c r="P347" i="1" s="1"/>
  <c r="G347" i="1"/>
  <c r="F347" i="1"/>
  <c r="Z346" i="1"/>
  <c r="V346" i="1"/>
  <c r="Q346" i="1"/>
  <c r="O346" i="1"/>
  <c r="P346" i="1" s="1"/>
  <c r="G346" i="1"/>
  <c r="F346" i="1"/>
  <c r="Z345" i="1"/>
  <c r="V345" i="1"/>
  <c r="Q345" i="1"/>
  <c r="O345" i="1"/>
  <c r="P345" i="1" s="1"/>
  <c r="G345" i="1"/>
  <c r="F345" i="1"/>
  <c r="Z344" i="1"/>
  <c r="V344" i="1"/>
  <c r="Q344" i="1"/>
  <c r="O344" i="1"/>
  <c r="P344" i="1" s="1"/>
  <c r="G344" i="1"/>
  <c r="F344" i="1"/>
  <c r="Z343" i="1"/>
  <c r="V343" i="1"/>
  <c r="O343" i="1"/>
  <c r="P343" i="1" s="1"/>
  <c r="G343" i="1"/>
  <c r="F343" i="1"/>
  <c r="Z342" i="1"/>
  <c r="V342" i="1"/>
  <c r="Q342" i="1"/>
  <c r="O342" i="1"/>
  <c r="P342" i="1" s="1"/>
  <c r="G342" i="1"/>
  <c r="F342" i="1"/>
  <c r="Z341" i="1"/>
  <c r="V341" i="1"/>
  <c r="Q341" i="1"/>
  <c r="O341" i="1"/>
  <c r="P341" i="1" s="1"/>
  <c r="G341" i="1"/>
  <c r="F341" i="1"/>
  <c r="Z340" i="1"/>
  <c r="V340" i="1"/>
  <c r="Q340" i="1"/>
  <c r="O340" i="1"/>
  <c r="P340" i="1" s="1"/>
  <c r="G340" i="1"/>
  <c r="F340" i="1"/>
  <c r="Z339" i="1"/>
  <c r="V339" i="1"/>
  <c r="Q339" i="1"/>
  <c r="O339" i="1"/>
  <c r="P339" i="1" s="1"/>
  <c r="G339" i="1"/>
  <c r="F339" i="1"/>
  <c r="Z338" i="1"/>
  <c r="V338" i="1"/>
  <c r="Q338" i="1"/>
  <c r="O338" i="1"/>
  <c r="P338" i="1" s="1"/>
  <c r="G338" i="1"/>
  <c r="F338" i="1"/>
  <c r="Z337" i="1"/>
  <c r="V337" i="1"/>
  <c r="P337" i="1"/>
  <c r="G337" i="1"/>
  <c r="F337" i="1"/>
  <c r="Z336" i="1"/>
  <c r="V336" i="1"/>
  <c r="P336" i="1"/>
  <c r="G336" i="1"/>
  <c r="F336" i="1"/>
  <c r="Z335" i="1"/>
  <c r="V335" i="1"/>
  <c r="Q335" i="1"/>
  <c r="O335" i="1"/>
  <c r="P335" i="1" s="1"/>
  <c r="G335" i="1"/>
  <c r="Z334" i="1"/>
  <c r="V334" i="1"/>
  <c r="Q334" i="1"/>
  <c r="O334" i="1"/>
  <c r="P334" i="1" s="1"/>
  <c r="G334" i="1"/>
  <c r="F334" i="1"/>
  <c r="Z333" i="1"/>
  <c r="W333" i="1"/>
  <c r="V333" i="1"/>
  <c r="O333" i="1"/>
  <c r="P333" i="1" s="1"/>
  <c r="G333" i="1"/>
  <c r="F333" i="1"/>
  <c r="Z332" i="1"/>
  <c r="W332" i="1"/>
  <c r="V332" i="1"/>
  <c r="Q332" i="1"/>
  <c r="O332" i="1"/>
  <c r="P332" i="1" s="1"/>
  <c r="G332" i="1"/>
  <c r="F332" i="1"/>
  <c r="Z331" i="1"/>
  <c r="V331" i="1"/>
  <c r="Q331" i="1"/>
  <c r="O331" i="1"/>
  <c r="P331" i="1" s="1"/>
  <c r="G331" i="1"/>
  <c r="F331" i="1"/>
  <c r="Z330" i="1"/>
  <c r="V330" i="1"/>
  <c r="Q330" i="1"/>
  <c r="O330" i="1"/>
  <c r="P330" i="1" s="1"/>
  <c r="G330" i="1"/>
  <c r="F330" i="1"/>
  <c r="Z329" i="1"/>
  <c r="V329" i="1"/>
  <c r="Q329" i="1"/>
  <c r="O329" i="1"/>
  <c r="P329" i="1" s="1"/>
  <c r="G329" i="1"/>
  <c r="F329" i="1"/>
  <c r="Z328" i="1"/>
  <c r="V328" i="1"/>
  <c r="Q328" i="1"/>
  <c r="O328" i="1"/>
  <c r="P328" i="1" s="1"/>
  <c r="G328" i="1"/>
  <c r="F328" i="1"/>
  <c r="Z327" i="1"/>
  <c r="V327" i="1"/>
  <c r="Q327" i="1"/>
  <c r="O327" i="1"/>
  <c r="P327" i="1" s="1"/>
  <c r="G327" i="1"/>
  <c r="F327" i="1"/>
  <c r="Z326" i="1"/>
  <c r="W326" i="1"/>
  <c r="V326" i="1"/>
  <c r="Q326" i="1"/>
  <c r="O326" i="1"/>
  <c r="P326" i="1" s="1"/>
  <c r="G326" i="1"/>
  <c r="F326" i="1"/>
  <c r="Z325" i="1"/>
  <c r="V325" i="1"/>
  <c r="Q325" i="1"/>
  <c r="O325" i="1"/>
  <c r="P325" i="1" s="1"/>
  <c r="G325" i="1"/>
  <c r="F325" i="1"/>
  <c r="Z324" i="1"/>
  <c r="V324" i="1"/>
  <c r="Q324" i="1"/>
  <c r="O324" i="1"/>
  <c r="P324" i="1" s="1"/>
  <c r="G324" i="1"/>
  <c r="F324" i="1"/>
  <c r="Z323" i="1"/>
  <c r="V323" i="1"/>
  <c r="Q323" i="1"/>
  <c r="O323" i="1"/>
  <c r="P323" i="1" s="1"/>
  <c r="G323" i="1"/>
  <c r="F323" i="1"/>
  <c r="Z322" i="1"/>
  <c r="V322" i="1"/>
  <c r="Q322" i="1"/>
  <c r="O322" i="1"/>
  <c r="P322" i="1" s="1"/>
  <c r="G322" i="1"/>
  <c r="F322" i="1"/>
  <c r="Z321" i="1"/>
  <c r="V321" i="1"/>
  <c r="Q321" i="1"/>
  <c r="O321" i="1"/>
  <c r="P321" i="1" s="1"/>
  <c r="G321" i="1"/>
  <c r="F321" i="1"/>
  <c r="Z320" i="1"/>
  <c r="V320" i="1"/>
  <c r="Q320" i="1"/>
  <c r="O320" i="1"/>
  <c r="P320" i="1" s="1"/>
  <c r="G320" i="1"/>
  <c r="F320" i="1"/>
  <c r="Z319" i="1"/>
  <c r="V319" i="1"/>
  <c r="Q319" i="1"/>
  <c r="O319" i="1"/>
  <c r="P319" i="1" s="1"/>
  <c r="Z318" i="1"/>
  <c r="V318" i="1"/>
  <c r="Q318" i="1"/>
  <c r="O318" i="1"/>
  <c r="P318" i="1" s="1"/>
  <c r="G318" i="1"/>
  <c r="F318" i="1"/>
  <c r="Z317" i="1"/>
  <c r="V317" i="1"/>
  <c r="Q317" i="1"/>
  <c r="O317" i="1"/>
  <c r="P317" i="1" s="1"/>
  <c r="G317" i="1"/>
  <c r="F317" i="1"/>
  <c r="Z316" i="1"/>
  <c r="V316" i="1"/>
  <c r="Q316" i="1"/>
  <c r="O316" i="1"/>
  <c r="P316" i="1" s="1"/>
  <c r="G316" i="1"/>
  <c r="F316" i="1"/>
  <c r="Z315" i="1"/>
  <c r="V315" i="1"/>
  <c r="O315" i="1"/>
  <c r="P315" i="1" s="1"/>
  <c r="G315" i="1"/>
  <c r="F315" i="1"/>
  <c r="Z314" i="1"/>
  <c r="V314" i="1"/>
  <c r="Q314" i="1"/>
  <c r="O314" i="1"/>
  <c r="P314" i="1" s="1"/>
  <c r="G314" i="1"/>
  <c r="F314" i="1"/>
  <c r="Z313" i="1"/>
  <c r="V313" i="1"/>
  <c r="Q313" i="1"/>
  <c r="O313" i="1"/>
  <c r="P313" i="1" s="1"/>
  <c r="G313" i="1"/>
  <c r="F313" i="1"/>
  <c r="Z312" i="1"/>
  <c r="V312" i="1"/>
  <c r="Q312" i="1"/>
  <c r="O312" i="1"/>
  <c r="P312" i="1" s="1"/>
  <c r="G312" i="1"/>
  <c r="F312" i="1"/>
  <c r="Z311" i="1"/>
  <c r="V311" i="1"/>
  <c r="Q311" i="1"/>
  <c r="O311" i="1"/>
  <c r="P311" i="1" s="1"/>
  <c r="G311" i="1"/>
  <c r="F311" i="1"/>
  <c r="Z310" i="1"/>
  <c r="V310" i="1"/>
  <c r="Q310" i="1"/>
  <c r="O310" i="1"/>
  <c r="P310" i="1" s="1"/>
  <c r="G310" i="1"/>
  <c r="F310" i="1"/>
  <c r="Z309" i="1"/>
  <c r="V309" i="1"/>
  <c r="Q309" i="1"/>
  <c r="O309" i="1"/>
  <c r="P309" i="1" s="1"/>
  <c r="G309" i="1"/>
  <c r="F309" i="1"/>
  <c r="Z308" i="1"/>
  <c r="V308" i="1"/>
  <c r="Q308" i="1"/>
  <c r="O308" i="1"/>
  <c r="P308" i="1" s="1"/>
  <c r="G308" i="1"/>
  <c r="F308" i="1"/>
  <c r="Z307" i="1"/>
  <c r="V307" i="1"/>
  <c r="Q307" i="1"/>
  <c r="O307" i="1"/>
  <c r="P307" i="1" s="1"/>
  <c r="G307" i="1"/>
  <c r="F307" i="1"/>
  <c r="Z306" i="1"/>
  <c r="V306" i="1"/>
  <c r="Q306" i="1"/>
  <c r="O306" i="1"/>
  <c r="P306" i="1" s="1"/>
  <c r="G306" i="1"/>
  <c r="F306" i="1"/>
  <c r="Z305" i="1"/>
  <c r="V305" i="1"/>
  <c r="Q305" i="1"/>
  <c r="O305" i="1"/>
  <c r="P305" i="1" s="1"/>
  <c r="G305" i="1"/>
  <c r="F305" i="1"/>
  <c r="Z304" i="1"/>
  <c r="V304" i="1"/>
  <c r="Q304" i="1"/>
  <c r="O304" i="1"/>
  <c r="P304" i="1" s="1"/>
  <c r="G304" i="1"/>
  <c r="F304" i="1"/>
  <c r="Z303" i="1"/>
  <c r="V303" i="1"/>
  <c r="Q303" i="1"/>
  <c r="O303" i="1"/>
  <c r="P303" i="1" s="1"/>
  <c r="G303" i="1"/>
  <c r="F303" i="1"/>
  <c r="Z302" i="1"/>
  <c r="V302" i="1"/>
  <c r="Q302" i="1"/>
  <c r="O302" i="1"/>
  <c r="P302" i="1" s="1"/>
  <c r="G302" i="1"/>
  <c r="F302" i="1"/>
  <c r="Z301" i="1"/>
  <c r="V301" i="1"/>
  <c r="Q301" i="1"/>
  <c r="O301" i="1"/>
  <c r="P301" i="1" s="1"/>
  <c r="G301" i="1"/>
  <c r="F301" i="1"/>
  <c r="Z300" i="1"/>
  <c r="V300" i="1"/>
  <c r="Q300" i="1"/>
  <c r="O300" i="1"/>
  <c r="P300" i="1" s="1"/>
  <c r="G300" i="1"/>
  <c r="F300" i="1"/>
  <c r="Z299" i="1"/>
  <c r="V299" i="1"/>
  <c r="Q299" i="1"/>
  <c r="O299" i="1"/>
  <c r="P299" i="1" s="1"/>
  <c r="G299" i="1"/>
  <c r="F299" i="1"/>
  <c r="Z298" i="1"/>
  <c r="V298" i="1"/>
  <c r="Q298" i="1"/>
  <c r="O298" i="1"/>
  <c r="P298" i="1" s="1"/>
  <c r="G298" i="1"/>
  <c r="F298" i="1"/>
  <c r="Z297" i="1"/>
  <c r="V297" i="1"/>
  <c r="Q297" i="1"/>
  <c r="O297" i="1"/>
  <c r="P297" i="1" s="1"/>
  <c r="G297" i="1"/>
  <c r="F297" i="1"/>
  <c r="Z296" i="1"/>
  <c r="V296" i="1"/>
  <c r="Q296" i="1"/>
  <c r="O296" i="1"/>
  <c r="P296" i="1" s="1"/>
  <c r="G296" i="1"/>
  <c r="F296" i="1"/>
  <c r="Z295" i="1"/>
  <c r="V295" i="1"/>
  <c r="Q295" i="1"/>
  <c r="N295" i="1"/>
  <c r="O295" i="1" s="1"/>
  <c r="P295" i="1" s="1"/>
  <c r="G295" i="1"/>
  <c r="F295" i="1"/>
  <c r="Z294" i="1"/>
  <c r="V294" i="1"/>
  <c r="Q294" i="1"/>
  <c r="O294" i="1"/>
  <c r="P294" i="1" s="1"/>
  <c r="G294" i="1"/>
  <c r="F294" i="1"/>
  <c r="Z293" i="1"/>
  <c r="V293" i="1"/>
  <c r="Q293" i="1"/>
  <c r="O293" i="1"/>
  <c r="P293" i="1" s="1"/>
  <c r="G293" i="1"/>
  <c r="F293" i="1"/>
  <c r="Z292" i="1"/>
  <c r="V292" i="1"/>
  <c r="Q292" i="1"/>
  <c r="O292" i="1"/>
  <c r="P292" i="1" s="1"/>
  <c r="G292" i="1"/>
  <c r="F292" i="1"/>
  <c r="Z291" i="1"/>
  <c r="V291" i="1"/>
  <c r="Q291" i="1"/>
  <c r="O291" i="1"/>
  <c r="P291" i="1" s="1"/>
  <c r="G291" i="1"/>
  <c r="F291" i="1"/>
  <c r="Z290" i="1"/>
  <c r="V290" i="1"/>
  <c r="Q290" i="1"/>
  <c r="O290" i="1"/>
  <c r="P290" i="1" s="1"/>
  <c r="G290" i="1"/>
  <c r="F290" i="1"/>
  <c r="Z289" i="1"/>
  <c r="V289" i="1"/>
  <c r="Q289" i="1"/>
  <c r="O289" i="1"/>
  <c r="P289" i="1" s="1"/>
  <c r="G289" i="1"/>
  <c r="F289" i="1"/>
  <c r="Z288" i="1"/>
  <c r="W288" i="1"/>
  <c r="V288" i="1"/>
  <c r="Q288" i="1"/>
  <c r="O288" i="1"/>
  <c r="P288" i="1" s="1"/>
  <c r="G288" i="1"/>
  <c r="F288" i="1"/>
  <c r="Z287" i="1"/>
  <c r="V287" i="1"/>
  <c r="Q287" i="1"/>
  <c r="O287" i="1"/>
  <c r="P287" i="1" s="1"/>
  <c r="G287" i="1"/>
  <c r="F287" i="1"/>
  <c r="Z286" i="1"/>
  <c r="V286" i="1"/>
  <c r="Q286" i="1"/>
  <c r="O286" i="1"/>
  <c r="P286" i="1" s="1"/>
  <c r="G286" i="1"/>
  <c r="F286" i="1"/>
  <c r="Z285" i="1"/>
  <c r="V285" i="1"/>
  <c r="Q285" i="1"/>
  <c r="O285" i="1"/>
  <c r="P285" i="1" s="1"/>
  <c r="G285" i="1"/>
  <c r="F285" i="1"/>
  <c r="Z284" i="1"/>
  <c r="V284" i="1"/>
  <c r="Q284" i="1"/>
  <c r="O284" i="1"/>
  <c r="P284" i="1" s="1"/>
  <c r="G284" i="1"/>
  <c r="F284" i="1"/>
  <c r="Z283" i="1"/>
  <c r="V283" i="1"/>
  <c r="Q283" i="1"/>
  <c r="O283" i="1"/>
  <c r="P283" i="1" s="1"/>
  <c r="G283" i="1"/>
  <c r="F283" i="1"/>
  <c r="Z282" i="1"/>
  <c r="V282" i="1"/>
  <c r="Q282" i="1"/>
  <c r="O282" i="1"/>
  <c r="P282" i="1" s="1"/>
  <c r="G282" i="1"/>
  <c r="F282" i="1"/>
  <c r="Z281" i="1"/>
  <c r="V281" i="1"/>
  <c r="Q281" i="1"/>
  <c r="O281" i="1"/>
  <c r="P281" i="1" s="1"/>
  <c r="G281" i="1"/>
  <c r="F281" i="1"/>
  <c r="Z280" i="1"/>
  <c r="V280" i="1"/>
  <c r="Q280" i="1"/>
  <c r="O280" i="1"/>
  <c r="P280" i="1" s="1"/>
  <c r="G280" i="1"/>
  <c r="F280" i="1"/>
  <c r="Z279" i="1"/>
  <c r="V279" i="1"/>
  <c r="Q279" i="1"/>
  <c r="O279" i="1"/>
  <c r="P279" i="1" s="1"/>
  <c r="G279" i="1"/>
  <c r="F279" i="1"/>
  <c r="Z278" i="1"/>
  <c r="V278" i="1"/>
  <c r="Q278" i="1"/>
  <c r="O278" i="1"/>
  <c r="P278" i="1" s="1"/>
  <c r="I278" i="1"/>
  <c r="G278" i="1"/>
  <c r="F278" i="1"/>
  <c r="Z277" i="1"/>
  <c r="V277" i="1"/>
  <c r="Q277" i="1"/>
  <c r="O277" i="1"/>
  <c r="P277" i="1" s="1"/>
  <c r="G277" i="1"/>
  <c r="F277" i="1"/>
  <c r="Z276" i="1"/>
  <c r="Q276" i="1"/>
  <c r="O276" i="1"/>
  <c r="P276" i="1" s="1"/>
  <c r="G276" i="1"/>
  <c r="F276" i="1"/>
  <c r="Z275" i="1"/>
  <c r="V275" i="1"/>
  <c r="Q275" i="1"/>
  <c r="O275" i="1"/>
  <c r="P275" i="1" s="1"/>
  <c r="G275" i="1"/>
  <c r="F275" i="1"/>
  <c r="Z274" i="1"/>
  <c r="V274" i="1"/>
  <c r="Q274" i="1"/>
  <c r="O274" i="1"/>
  <c r="P274" i="1" s="1"/>
  <c r="G274" i="1"/>
  <c r="F274" i="1"/>
  <c r="Z273" i="1"/>
  <c r="W273" i="1"/>
  <c r="V273" i="1"/>
  <c r="Q273" i="1"/>
  <c r="O273" i="1"/>
  <c r="P273" i="1" s="1"/>
  <c r="G273" i="1"/>
  <c r="F273" i="1"/>
  <c r="Z272" i="1"/>
  <c r="V272" i="1"/>
  <c r="Q272" i="1"/>
  <c r="O272" i="1"/>
  <c r="P272" i="1" s="1"/>
  <c r="G272" i="1"/>
  <c r="F272" i="1"/>
  <c r="Z271" i="1"/>
  <c r="V271" i="1"/>
  <c r="Q271" i="1"/>
  <c r="O271" i="1"/>
  <c r="P271" i="1" s="1"/>
  <c r="G271" i="1"/>
  <c r="F271" i="1"/>
  <c r="Z270" i="1"/>
  <c r="V270" i="1"/>
  <c r="Q270" i="1"/>
  <c r="O270" i="1"/>
  <c r="P270" i="1" s="1"/>
  <c r="G270" i="1"/>
  <c r="F270" i="1"/>
  <c r="Z269" i="1"/>
  <c r="V269" i="1"/>
  <c r="Q269" i="1"/>
  <c r="O269" i="1"/>
  <c r="P269" i="1" s="1"/>
  <c r="G269" i="1"/>
  <c r="F269" i="1"/>
  <c r="Z268" i="1"/>
  <c r="V268" i="1"/>
  <c r="Q268" i="1"/>
  <c r="O268" i="1"/>
  <c r="P268" i="1" s="1"/>
  <c r="G268" i="1"/>
  <c r="F268" i="1"/>
  <c r="Z267" i="1"/>
  <c r="V267" i="1"/>
  <c r="Q267" i="1"/>
  <c r="O267" i="1"/>
  <c r="P267" i="1" s="1"/>
  <c r="G267" i="1"/>
  <c r="F267" i="1"/>
  <c r="Z266" i="1"/>
  <c r="V266" i="1"/>
  <c r="Q266" i="1"/>
  <c r="N266" i="1"/>
  <c r="O266" i="1" s="1"/>
  <c r="P266" i="1" s="1"/>
  <c r="G266" i="1"/>
  <c r="F266" i="1"/>
  <c r="Z265" i="1"/>
  <c r="V265" i="1"/>
  <c r="Q265" i="1"/>
  <c r="O265" i="1"/>
  <c r="P265" i="1" s="1"/>
  <c r="G265" i="1"/>
  <c r="F265" i="1"/>
  <c r="Z264" i="1"/>
  <c r="V264" i="1"/>
  <c r="Q264" i="1"/>
  <c r="O264" i="1"/>
  <c r="P264" i="1" s="1"/>
  <c r="G264" i="1"/>
  <c r="F264" i="1"/>
  <c r="Z263" i="1"/>
  <c r="V263" i="1"/>
  <c r="Q263" i="1"/>
  <c r="O263" i="1"/>
  <c r="P263" i="1" s="1"/>
  <c r="G263" i="1"/>
  <c r="F263" i="1"/>
  <c r="Z262" i="1"/>
  <c r="V262" i="1"/>
  <c r="Q262" i="1"/>
  <c r="O262" i="1"/>
  <c r="P262" i="1" s="1"/>
  <c r="G262" i="1"/>
  <c r="F262" i="1"/>
  <c r="Z261" i="1"/>
  <c r="V261" i="1"/>
  <c r="Q261" i="1"/>
  <c r="O261" i="1"/>
  <c r="P261" i="1" s="1"/>
  <c r="G261" i="1"/>
  <c r="F261" i="1"/>
  <c r="Z260" i="1"/>
  <c r="W260" i="1"/>
  <c r="V260" i="1"/>
  <c r="Q260" i="1"/>
  <c r="O260" i="1"/>
  <c r="P260" i="1" s="1"/>
  <c r="G260" i="1"/>
  <c r="F260" i="1"/>
  <c r="Z259" i="1"/>
  <c r="V259" i="1"/>
  <c r="Q259" i="1"/>
  <c r="O259" i="1"/>
  <c r="P259" i="1" s="1"/>
  <c r="I259" i="1"/>
  <c r="G259" i="1"/>
  <c r="F259" i="1"/>
  <c r="Z258" i="1"/>
  <c r="V258" i="1"/>
  <c r="Q258" i="1"/>
  <c r="O258" i="1"/>
  <c r="P258" i="1" s="1"/>
  <c r="G258" i="1"/>
  <c r="F258" i="1"/>
  <c r="Z257" i="1"/>
  <c r="V257" i="1"/>
  <c r="Q257" i="1"/>
  <c r="O257" i="1"/>
  <c r="P257" i="1" s="1"/>
  <c r="G257" i="1"/>
  <c r="F257" i="1"/>
  <c r="Z256" i="1"/>
  <c r="V256" i="1"/>
  <c r="Q256" i="1"/>
  <c r="O256" i="1"/>
  <c r="P256" i="1" s="1"/>
  <c r="G256" i="1"/>
  <c r="F256" i="1"/>
  <c r="Z255" i="1"/>
  <c r="V255" i="1"/>
  <c r="Q255" i="1"/>
  <c r="O255" i="1"/>
  <c r="P255" i="1" s="1"/>
  <c r="G255" i="1"/>
  <c r="F255" i="1"/>
  <c r="Z254" i="1"/>
  <c r="V254" i="1"/>
  <c r="Q254" i="1"/>
  <c r="O254" i="1"/>
  <c r="P254" i="1" s="1"/>
  <c r="G254" i="1"/>
  <c r="F254" i="1"/>
  <c r="Z253" i="1"/>
  <c r="V253" i="1"/>
  <c r="Q253" i="1"/>
  <c r="O253" i="1"/>
  <c r="P253" i="1" s="1"/>
  <c r="G253" i="1"/>
  <c r="F253" i="1"/>
  <c r="Z252" i="1"/>
  <c r="V252" i="1"/>
  <c r="Q252" i="1"/>
  <c r="O252" i="1"/>
  <c r="P252" i="1" s="1"/>
  <c r="G252" i="1"/>
  <c r="F252" i="1"/>
  <c r="Z251" i="1"/>
  <c r="V251" i="1"/>
  <c r="Q251" i="1"/>
  <c r="O251" i="1"/>
  <c r="P251" i="1" s="1"/>
  <c r="G251" i="1"/>
  <c r="F251" i="1"/>
  <c r="Z250" i="1"/>
  <c r="V250" i="1"/>
  <c r="Q250" i="1"/>
  <c r="O250" i="1"/>
  <c r="P250" i="1" s="1"/>
  <c r="G250" i="1"/>
  <c r="F250" i="1"/>
  <c r="Z249" i="1"/>
  <c r="V249" i="1"/>
  <c r="Q249" i="1"/>
  <c r="O249" i="1"/>
  <c r="P249" i="1" s="1"/>
  <c r="G249" i="1"/>
  <c r="F249" i="1"/>
  <c r="Z248" i="1"/>
  <c r="V248" i="1"/>
  <c r="Q248" i="1"/>
  <c r="O248" i="1"/>
  <c r="P248" i="1" s="1"/>
  <c r="G248" i="1"/>
  <c r="F248" i="1"/>
  <c r="Z247" i="1"/>
  <c r="V247" i="1"/>
  <c r="Q247" i="1"/>
  <c r="O247" i="1"/>
  <c r="P247" i="1" s="1"/>
  <c r="G247" i="1"/>
  <c r="F247" i="1"/>
  <c r="Z246" i="1"/>
  <c r="V246" i="1"/>
  <c r="Q246" i="1"/>
  <c r="O246" i="1"/>
  <c r="P246" i="1" s="1"/>
  <c r="G246" i="1"/>
  <c r="F246" i="1"/>
  <c r="Z245" i="1"/>
  <c r="V245" i="1"/>
  <c r="Q245" i="1"/>
  <c r="O245" i="1"/>
  <c r="P245" i="1" s="1"/>
  <c r="G245" i="1"/>
  <c r="F245" i="1"/>
  <c r="Z244" i="1"/>
  <c r="V244" i="1"/>
  <c r="Q244" i="1"/>
  <c r="O244" i="1"/>
  <c r="G244" i="1"/>
  <c r="F244" i="1"/>
  <c r="Z243" i="1"/>
  <c r="V243" i="1"/>
  <c r="Q243" i="1"/>
  <c r="O243" i="1"/>
  <c r="P243" i="1" s="1"/>
  <c r="G243" i="1"/>
  <c r="F243" i="1"/>
  <c r="Z242" i="1"/>
  <c r="V242" i="1"/>
  <c r="Q242" i="1"/>
  <c r="O242" i="1"/>
  <c r="P242" i="1" s="1"/>
  <c r="G242" i="1"/>
  <c r="F242" i="1"/>
  <c r="Z241" i="1"/>
  <c r="V241" i="1"/>
  <c r="Q241" i="1"/>
  <c r="O241" i="1"/>
  <c r="P241" i="1" s="1"/>
  <c r="G241" i="1"/>
  <c r="F241" i="1"/>
  <c r="Z240" i="1"/>
  <c r="V240" i="1"/>
  <c r="Q240" i="1"/>
  <c r="O240" i="1"/>
  <c r="P240" i="1" s="1"/>
  <c r="G240" i="1"/>
  <c r="F240" i="1"/>
  <c r="Z239" i="1"/>
  <c r="V239" i="1"/>
  <c r="P239" i="1"/>
  <c r="G239" i="1"/>
  <c r="F239" i="1"/>
  <c r="Z238" i="1"/>
  <c r="V238" i="1"/>
  <c r="Q238" i="1"/>
  <c r="O238" i="1"/>
  <c r="P238" i="1" s="1"/>
  <c r="G238" i="1"/>
  <c r="F238" i="1"/>
  <c r="Z237" i="1"/>
  <c r="V237" i="1"/>
  <c r="Q237" i="1"/>
  <c r="O237" i="1"/>
  <c r="P237" i="1" s="1"/>
  <c r="G237" i="1"/>
  <c r="F237" i="1"/>
  <c r="Z236" i="1"/>
  <c r="V236" i="1"/>
  <c r="Q236" i="1"/>
  <c r="O236" i="1"/>
  <c r="P236" i="1" s="1"/>
  <c r="G236" i="1"/>
  <c r="F236" i="1"/>
  <c r="Z235" i="1"/>
  <c r="V235" i="1"/>
  <c r="Q235" i="1"/>
  <c r="O235" i="1"/>
  <c r="P235" i="1" s="1"/>
  <c r="G235" i="1"/>
  <c r="F235" i="1"/>
  <c r="Z234" i="1"/>
  <c r="V234" i="1"/>
  <c r="Q234" i="1"/>
  <c r="O234" i="1"/>
  <c r="P234" i="1" s="1"/>
  <c r="G234" i="1"/>
  <c r="F234" i="1"/>
  <c r="Z233" i="1"/>
  <c r="V233" i="1"/>
  <c r="Q233" i="1"/>
  <c r="O233" i="1"/>
  <c r="P233" i="1" s="1"/>
  <c r="G233" i="1"/>
  <c r="F233" i="1"/>
  <c r="Z232" i="1"/>
  <c r="V232" i="1"/>
  <c r="Q232" i="1"/>
  <c r="O232" i="1"/>
  <c r="P232" i="1" s="1"/>
  <c r="G232" i="1"/>
  <c r="F232" i="1"/>
  <c r="Z231" i="1"/>
  <c r="V231" i="1"/>
  <c r="Q231" i="1"/>
  <c r="O231" i="1"/>
  <c r="P231" i="1" s="1"/>
  <c r="G231" i="1"/>
  <c r="F231" i="1"/>
  <c r="V230" i="1"/>
  <c r="Q230" i="1"/>
  <c r="O230" i="1"/>
  <c r="P230" i="1" s="1"/>
  <c r="G230" i="1"/>
  <c r="F230" i="1"/>
  <c r="Z229" i="1"/>
  <c r="V229" i="1"/>
  <c r="Q229" i="1"/>
  <c r="O229" i="1"/>
  <c r="P229" i="1" s="1"/>
  <c r="G229" i="1"/>
  <c r="F229" i="1"/>
  <c r="Z228" i="1"/>
  <c r="V228" i="1"/>
  <c r="Q228" i="1"/>
  <c r="O228" i="1"/>
  <c r="P228" i="1" s="1"/>
  <c r="G228" i="1"/>
  <c r="F228" i="1"/>
  <c r="Z227" i="1"/>
  <c r="V227" i="1"/>
  <c r="Q227" i="1"/>
  <c r="O227" i="1"/>
  <c r="P227" i="1" s="1"/>
  <c r="G227" i="1"/>
  <c r="F227" i="1"/>
  <c r="Z226" i="1"/>
  <c r="V226" i="1"/>
  <c r="Q226" i="1"/>
  <c r="O226" i="1"/>
  <c r="P226" i="1" s="1"/>
  <c r="G226" i="1"/>
  <c r="F226" i="1"/>
  <c r="Z225" i="1"/>
  <c r="V225" i="1"/>
  <c r="Q225" i="1"/>
  <c r="O225" i="1"/>
  <c r="P225" i="1" s="1"/>
  <c r="G225" i="1"/>
  <c r="F225" i="1"/>
  <c r="Z224" i="1"/>
  <c r="V224" i="1"/>
  <c r="Q224" i="1"/>
  <c r="O224" i="1"/>
  <c r="P224" i="1" s="1"/>
  <c r="G224" i="1"/>
  <c r="F224" i="1"/>
  <c r="Z223" i="1"/>
  <c r="V223" i="1"/>
  <c r="Q223" i="1"/>
  <c r="O223" i="1"/>
  <c r="P223" i="1" s="1"/>
  <c r="G223" i="1"/>
  <c r="F223" i="1"/>
  <c r="Z222" i="1"/>
  <c r="W222" i="1"/>
  <c r="V222" i="1"/>
  <c r="Q222" i="1"/>
  <c r="O222" i="1"/>
  <c r="P222" i="1" s="1"/>
  <c r="G222" i="1"/>
  <c r="F222" i="1"/>
  <c r="Z221" i="1"/>
  <c r="V221" i="1"/>
  <c r="Q221" i="1"/>
  <c r="O221" i="1"/>
  <c r="P221" i="1" s="1"/>
  <c r="G221" i="1"/>
  <c r="F221" i="1"/>
  <c r="Z220" i="1"/>
  <c r="V220" i="1"/>
  <c r="Q220" i="1"/>
  <c r="O220" i="1"/>
  <c r="P220" i="1" s="1"/>
  <c r="G220" i="1"/>
  <c r="F220" i="1"/>
  <c r="Z219" i="1"/>
  <c r="V219" i="1"/>
  <c r="Q219" i="1"/>
  <c r="O219" i="1"/>
  <c r="P219" i="1" s="1"/>
  <c r="G219" i="1"/>
  <c r="F219" i="1"/>
  <c r="Z218" i="1"/>
  <c r="V218" i="1"/>
  <c r="Q218" i="1"/>
  <c r="O218" i="1"/>
  <c r="P218" i="1" s="1"/>
  <c r="G218" i="1"/>
  <c r="F218" i="1"/>
  <c r="Z217" i="1"/>
  <c r="V217" i="1"/>
  <c r="Q217" i="1"/>
  <c r="O217" i="1"/>
  <c r="P217" i="1" s="1"/>
  <c r="G217" i="1"/>
  <c r="F217" i="1"/>
  <c r="Z216" i="1"/>
  <c r="V216" i="1"/>
  <c r="Q216" i="1"/>
  <c r="O216" i="1"/>
  <c r="P216" i="1" s="1"/>
  <c r="G216" i="1"/>
  <c r="F216" i="1"/>
  <c r="Z215" i="1"/>
  <c r="V215" i="1"/>
  <c r="Q215" i="1"/>
  <c r="O215" i="1"/>
  <c r="P215" i="1" s="1"/>
  <c r="G215" i="1"/>
  <c r="F215" i="1"/>
  <c r="Z214" i="1"/>
  <c r="V214" i="1"/>
  <c r="Q214" i="1"/>
  <c r="O214" i="1"/>
  <c r="P214" i="1" s="1"/>
  <c r="G214" i="1"/>
  <c r="F214" i="1"/>
  <c r="Z213" i="1"/>
  <c r="V213" i="1"/>
  <c r="Q213" i="1"/>
  <c r="O213" i="1"/>
  <c r="P213" i="1" s="1"/>
  <c r="G213" i="1"/>
  <c r="F213" i="1"/>
  <c r="Z212" i="1"/>
  <c r="V212" i="1"/>
  <c r="Q212" i="1"/>
  <c r="O212" i="1"/>
  <c r="P212" i="1" s="1"/>
  <c r="G212" i="1"/>
  <c r="F212" i="1"/>
  <c r="Z211" i="1"/>
  <c r="V211" i="1"/>
  <c r="Q211" i="1"/>
  <c r="O211" i="1"/>
  <c r="P211" i="1" s="1"/>
  <c r="G211" i="1"/>
  <c r="F211" i="1"/>
  <c r="Z210" i="1"/>
  <c r="V210" i="1"/>
  <c r="Q210" i="1"/>
  <c r="O210" i="1"/>
  <c r="P210" i="1" s="1"/>
  <c r="G210" i="1"/>
  <c r="F210" i="1"/>
  <c r="Z209" i="1"/>
  <c r="V209" i="1"/>
  <c r="Q209" i="1"/>
  <c r="O209" i="1"/>
  <c r="P209" i="1" s="1"/>
  <c r="G209" i="1"/>
  <c r="F209" i="1"/>
  <c r="Z208" i="1"/>
  <c r="V208" i="1"/>
  <c r="Q208" i="1"/>
  <c r="O208" i="1"/>
  <c r="P208" i="1" s="1"/>
  <c r="G208" i="1"/>
  <c r="F208" i="1"/>
  <c r="Z207" i="1"/>
  <c r="W207" i="1"/>
  <c r="V207" i="1"/>
  <c r="Q207" i="1"/>
  <c r="O207" i="1"/>
  <c r="P207" i="1" s="1"/>
  <c r="G207" i="1"/>
  <c r="F207" i="1"/>
  <c r="Z206" i="1"/>
  <c r="V206" i="1"/>
  <c r="Q206" i="1"/>
  <c r="O206" i="1"/>
  <c r="P206" i="1" s="1"/>
  <c r="G206" i="1"/>
  <c r="F206" i="1"/>
  <c r="Z205" i="1"/>
  <c r="V205" i="1"/>
  <c r="Q205" i="1"/>
  <c r="O205" i="1"/>
  <c r="P205" i="1" s="1"/>
  <c r="G205" i="1"/>
  <c r="F205" i="1"/>
  <c r="Z204" i="1"/>
  <c r="V204" i="1"/>
  <c r="Q204" i="1"/>
  <c r="O204" i="1"/>
  <c r="P204" i="1" s="1"/>
  <c r="G204" i="1"/>
  <c r="F204" i="1"/>
  <c r="Z203" i="1"/>
  <c r="V203" i="1"/>
  <c r="Q203" i="1"/>
  <c r="O203" i="1"/>
  <c r="P203" i="1" s="1"/>
  <c r="G203" i="1"/>
  <c r="F203" i="1"/>
  <c r="Z202" i="1"/>
  <c r="V202" i="1"/>
  <c r="Q202" i="1"/>
  <c r="O202" i="1"/>
  <c r="P202" i="1" s="1"/>
  <c r="G202" i="1"/>
  <c r="F202" i="1"/>
  <c r="Z201" i="1"/>
  <c r="W201" i="1"/>
  <c r="V201" i="1"/>
  <c r="Q201" i="1"/>
  <c r="O201" i="1"/>
  <c r="P201" i="1" s="1"/>
  <c r="G201" i="1"/>
  <c r="F201" i="1"/>
  <c r="Z200" i="1"/>
  <c r="V200" i="1"/>
  <c r="Q200" i="1"/>
  <c r="O200" i="1"/>
  <c r="P200" i="1" s="1"/>
  <c r="G200" i="1"/>
  <c r="F200" i="1"/>
  <c r="Z199" i="1"/>
  <c r="V199" i="1"/>
  <c r="Q199" i="1"/>
  <c r="O199" i="1"/>
  <c r="P199" i="1" s="1"/>
  <c r="G199" i="1"/>
  <c r="F199" i="1"/>
  <c r="Z198" i="1"/>
  <c r="V198" i="1"/>
  <c r="Q198" i="1"/>
  <c r="O198" i="1"/>
  <c r="P198" i="1" s="1"/>
  <c r="G198" i="1"/>
  <c r="F198" i="1"/>
  <c r="Z197" i="1"/>
  <c r="V197" i="1"/>
  <c r="Q197" i="1"/>
  <c r="O197" i="1"/>
  <c r="P197" i="1" s="1"/>
  <c r="G197" i="1"/>
  <c r="F197" i="1"/>
  <c r="Z196" i="1"/>
  <c r="V196" i="1"/>
  <c r="Q196" i="1"/>
  <c r="O196" i="1"/>
  <c r="P196" i="1" s="1"/>
  <c r="G196" i="1"/>
  <c r="F196" i="1"/>
  <c r="Z195" i="1"/>
  <c r="V195" i="1"/>
  <c r="Q195" i="1"/>
  <c r="O195" i="1"/>
  <c r="P195" i="1" s="1"/>
  <c r="G195" i="1"/>
  <c r="F195" i="1"/>
  <c r="Z194" i="1"/>
  <c r="V194" i="1"/>
  <c r="Q194" i="1"/>
  <c r="O194" i="1"/>
  <c r="P194" i="1" s="1"/>
  <c r="G194" i="1"/>
  <c r="F194" i="1"/>
  <c r="Z193" i="1"/>
  <c r="V193" i="1"/>
  <c r="Q193" i="1"/>
  <c r="O193" i="1"/>
  <c r="P193" i="1" s="1"/>
  <c r="G193" i="1"/>
  <c r="F193" i="1"/>
  <c r="Z192" i="1"/>
  <c r="V192" i="1"/>
  <c r="Q192" i="1"/>
  <c r="O192" i="1"/>
  <c r="P192" i="1" s="1"/>
  <c r="G192" i="1"/>
  <c r="F192" i="1"/>
  <c r="Z191" i="1"/>
  <c r="V191" i="1"/>
  <c r="Q191" i="1"/>
  <c r="O191" i="1"/>
  <c r="P191" i="1" s="1"/>
  <c r="G191" i="1"/>
  <c r="F191" i="1"/>
  <c r="Z190" i="1"/>
  <c r="V190" i="1"/>
  <c r="Q190" i="1"/>
  <c r="O190" i="1"/>
  <c r="P190" i="1" s="1"/>
  <c r="G190" i="1"/>
  <c r="F190" i="1"/>
  <c r="Z189" i="1"/>
  <c r="V189" i="1"/>
  <c r="Q189" i="1"/>
  <c r="O189" i="1"/>
  <c r="P189" i="1" s="1"/>
  <c r="G189" i="1"/>
  <c r="F189" i="1"/>
  <c r="Z188" i="1"/>
  <c r="V188" i="1"/>
  <c r="Q188" i="1"/>
  <c r="O188" i="1"/>
  <c r="P188" i="1" s="1"/>
  <c r="G188" i="1"/>
  <c r="F188" i="1"/>
  <c r="Z187" i="1"/>
  <c r="V187" i="1"/>
  <c r="Q187" i="1"/>
  <c r="O187" i="1"/>
  <c r="P187" i="1" s="1"/>
  <c r="G187" i="1"/>
  <c r="F187" i="1"/>
  <c r="Z186" i="1"/>
  <c r="V186" i="1"/>
  <c r="Q186" i="1"/>
  <c r="O186" i="1"/>
  <c r="P186" i="1" s="1"/>
  <c r="G186" i="1"/>
  <c r="F186" i="1"/>
  <c r="Z185" i="1"/>
  <c r="V185" i="1"/>
  <c r="Q185" i="1"/>
  <c r="O185" i="1"/>
  <c r="P185" i="1" s="1"/>
  <c r="G185" i="1"/>
  <c r="F185" i="1"/>
  <c r="Z184" i="1"/>
  <c r="V184" i="1"/>
  <c r="Q184" i="1"/>
  <c r="O184" i="1"/>
  <c r="P184" i="1" s="1"/>
  <c r="G184" i="1"/>
  <c r="F184" i="1"/>
  <c r="Z183" i="1"/>
  <c r="V183" i="1"/>
  <c r="Q183" i="1"/>
  <c r="O183" i="1"/>
  <c r="P183" i="1" s="1"/>
  <c r="G183" i="1"/>
  <c r="F183" i="1"/>
  <c r="Z182" i="1"/>
  <c r="V182" i="1"/>
  <c r="Q182" i="1"/>
  <c r="O182" i="1"/>
  <c r="P182" i="1" s="1"/>
  <c r="G182" i="1"/>
  <c r="F182" i="1"/>
  <c r="Z181" i="1"/>
  <c r="V181" i="1"/>
  <c r="Q181" i="1"/>
  <c r="O181" i="1"/>
  <c r="P181" i="1" s="1"/>
  <c r="G181" i="1"/>
  <c r="F181" i="1"/>
  <c r="Z180" i="1"/>
  <c r="V180" i="1"/>
  <c r="Q180" i="1"/>
  <c r="O180" i="1"/>
  <c r="P180" i="1" s="1"/>
  <c r="G180" i="1"/>
  <c r="F180" i="1"/>
  <c r="Z179" i="1"/>
  <c r="V179" i="1"/>
  <c r="Q179" i="1"/>
  <c r="O179" i="1"/>
  <c r="P179" i="1" s="1"/>
  <c r="G179" i="1"/>
  <c r="F179" i="1"/>
  <c r="Z178" i="1"/>
  <c r="V178" i="1"/>
  <c r="Q178" i="1"/>
  <c r="O178" i="1"/>
  <c r="P178" i="1" s="1"/>
  <c r="G178" i="1"/>
  <c r="F178" i="1"/>
  <c r="Z177" i="1"/>
  <c r="V177" i="1"/>
  <c r="Q177" i="1"/>
  <c r="O177" i="1"/>
  <c r="P177" i="1" s="1"/>
  <c r="G177" i="1"/>
  <c r="F177" i="1"/>
  <c r="Z176" i="1"/>
  <c r="V176" i="1"/>
  <c r="Q176" i="1"/>
  <c r="O176" i="1"/>
  <c r="P176" i="1" s="1"/>
  <c r="G176" i="1"/>
  <c r="F176" i="1"/>
  <c r="Z175" i="1"/>
  <c r="V175" i="1"/>
  <c r="Q175" i="1"/>
  <c r="O175" i="1"/>
  <c r="P175" i="1" s="1"/>
  <c r="G175" i="1"/>
  <c r="F175" i="1"/>
  <c r="Z174" i="1"/>
  <c r="V174" i="1"/>
  <c r="Q174" i="1"/>
  <c r="O174" i="1"/>
  <c r="P174" i="1" s="1"/>
  <c r="I174" i="1"/>
  <c r="G174" i="1"/>
  <c r="F174" i="1"/>
  <c r="Z173" i="1"/>
  <c r="V173" i="1"/>
  <c r="Q173" i="1"/>
  <c r="O173" i="1"/>
  <c r="P173" i="1" s="1"/>
  <c r="I173" i="1"/>
  <c r="G173" i="1"/>
  <c r="F173" i="1"/>
  <c r="Z172" i="1"/>
  <c r="V172" i="1"/>
  <c r="Q172" i="1"/>
  <c r="O172" i="1"/>
  <c r="P172" i="1" s="1"/>
  <c r="G172" i="1"/>
  <c r="F172" i="1"/>
  <c r="Z171" i="1"/>
  <c r="V171" i="1"/>
  <c r="Q171" i="1"/>
  <c r="O171" i="1"/>
  <c r="P171" i="1" s="1"/>
  <c r="G171" i="1"/>
  <c r="F171" i="1"/>
  <c r="Z170" i="1"/>
  <c r="V170" i="1"/>
  <c r="Q170" i="1"/>
  <c r="O170" i="1"/>
  <c r="P170" i="1" s="1"/>
  <c r="G170" i="1"/>
  <c r="F170" i="1"/>
  <c r="Z169" i="1"/>
  <c r="V169" i="1"/>
  <c r="Q169" i="1"/>
  <c r="O169" i="1"/>
  <c r="P169" i="1" s="1"/>
  <c r="G169" i="1"/>
  <c r="F169" i="1"/>
  <c r="Z168" i="1"/>
  <c r="V168" i="1"/>
  <c r="Q168" i="1"/>
  <c r="O168" i="1"/>
  <c r="P168" i="1" s="1"/>
  <c r="G168" i="1"/>
  <c r="F168" i="1"/>
  <c r="Z167" i="1"/>
  <c r="V167" i="1"/>
  <c r="Q167" i="1"/>
  <c r="O167" i="1"/>
  <c r="P167" i="1" s="1"/>
  <c r="G167" i="1"/>
  <c r="F167" i="1"/>
  <c r="Z166" i="1"/>
  <c r="V166" i="1"/>
  <c r="Q166" i="1"/>
  <c r="O166" i="1"/>
  <c r="P166" i="1" s="1"/>
  <c r="G166" i="1"/>
  <c r="F166" i="1"/>
  <c r="Z165" i="1"/>
  <c r="V165" i="1"/>
  <c r="Q165" i="1"/>
  <c r="O165" i="1"/>
  <c r="P165" i="1" s="1"/>
  <c r="G165" i="1"/>
  <c r="F165" i="1"/>
  <c r="Z164" i="1"/>
  <c r="V164" i="1"/>
  <c r="Q164" i="1"/>
  <c r="O164" i="1"/>
  <c r="P164" i="1" s="1"/>
  <c r="G164" i="1"/>
  <c r="F164" i="1"/>
  <c r="Z163" i="1"/>
  <c r="V163" i="1"/>
  <c r="Q163" i="1"/>
  <c r="O163" i="1"/>
  <c r="P163" i="1" s="1"/>
  <c r="G163" i="1"/>
  <c r="F163" i="1"/>
  <c r="Z162" i="1"/>
  <c r="V162" i="1"/>
  <c r="Q162" i="1"/>
  <c r="O162" i="1"/>
  <c r="P162" i="1" s="1"/>
  <c r="G162" i="1"/>
  <c r="F162" i="1"/>
  <c r="Z161" i="1"/>
  <c r="V161" i="1"/>
  <c r="Q161" i="1"/>
  <c r="O161" i="1"/>
  <c r="P161" i="1" s="1"/>
  <c r="G161" i="1"/>
  <c r="F161" i="1"/>
  <c r="Z160" i="1"/>
  <c r="V160" i="1"/>
  <c r="Q160" i="1"/>
  <c r="O160" i="1"/>
  <c r="P160" i="1" s="1"/>
  <c r="G160" i="1"/>
  <c r="F160" i="1"/>
  <c r="Z159" i="1"/>
  <c r="V159" i="1"/>
  <c r="Q159" i="1"/>
  <c r="O159" i="1"/>
  <c r="P159" i="1" s="1"/>
  <c r="G159" i="1"/>
  <c r="F159" i="1"/>
  <c r="Z158" i="1"/>
  <c r="V158" i="1"/>
  <c r="Q158" i="1"/>
  <c r="O158" i="1"/>
  <c r="P158" i="1" s="1"/>
  <c r="G158" i="1"/>
  <c r="F158" i="1"/>
  <c r="Z157" i="1"/>
  <c r="V157" i="1"/>
  <c r="Q157" i="1"/>
  <c r="O157" i="1"/>
  <c r="P157" i="1" s="1"/>
  <c r="G157" i="1"/>
  <c r="F157" i="1"/>
  <c r="Z156" i="1"/>
  <c r="V156" i="1"/>
  <c r="Q156" i="1"/>
  <c r="O156" i="1"/>
  <c r="P156" i="1" s="1"/>
  <c r="G156" i="1"/>
  <c r="F156" i="1"/>
  <c r="Z155" i="1"/>
  <c r="V155" i="1"/>
  <c r="Q155" i="1"/>
  <c r="O155" i="1"/>
  <c r="P155" i="1" s="1"/>
  <c r="G155" i="1"/>
  <c r="F155" i="1"/>
  <c r="Z154" i="1"/>
  <c r="V154" i="1"/>
  <c r="Q154" i="1"/>
  <c r="O154" i="1"/>
  <c r="P154" i="1" s="1"/>
  <c r="G154" i="1"/>
  <c r="F154" i="1"/>
  <c r="Z153" i="1"/>
  <c r="V153" i="1"/>
  <c r="Q153" i="1"/>
  <c r="O153" i="1"/>
  <c r="P153" i="1" s="1"/>
  <c r="G153" i="1"/>
  <c r="F153" i="1"/>
  <c r="Z152" i="1"/>
  <c r="V152" i="1"/>
  <c r="Q152" i="1"/>
  <c r="O152" i="1"/>
  <c r="P152" i="1" s="1"/>
  <c r="G152" i="1"/>
  <c r="F152" i="1"/>
  <c r="Z151" i="1"/>
  <c r="V151" i="1"/>
  <c r="Q151" i="1"/>
  <c r="O151" i="1"/>
  <c r="P151" i="1" s="1"/>
  <c r="G151" i="1"/>
  <c r="F151" i="1"/>
  <c r="Z150" i="1"/>
  <c r="V150" i="1"/>
  <c r="Q150" i="1"/>
  <c r="O150" i="1"/>
  <c r="P150" i="1" s="1"/>
  <c r="G150" i="1"/>
  <c r="F150" i="1"/>
  <c r="Z149" i="1"/>
  <c r="W149" i="1"/>
  <c r="V149" i="1"/>
  <c r="Q149" i="1"/>
  <c r="O149" i="1"/>
  <c r="P149" i="1" s="1"/>
  <c r="G149" i="1"/>
  <c r="F149" i="1"/>
  <c r="Z148" i="1"/>
  <c r="V148" i="1"/>
  <c r="Q148" i="1"/>
  <c r="O148" i="1"/>
  <c r="P148" i="1" s="1"/>
  <c r="G148" i="1"/>
  <c r="F148" i="1"/>
  <c r="Z147" i="1"/>
  <c r="W147" i="1"/>
  <c r="V147" i="1"/>
  <c r="Q147" i="1"/>
  <c r="O147" i="1"/>
  <c r="P147" i="1" s="1"/>
  <c r="I147" i="1"/>
  <c r="G147" i="1"/>
  <c r="F147" i="1"/>
  <c r="Z146" i="1"/>
  <c r="V146" i="1"/>
  <c r="Q146" i="1"/>
  <c r="O146" i="1"/>
  <c r="P146" i="1" s="1"/>
  <c r="G146" i="1"/>
  <c r="F146" i="1"/>
  <c r="Z145" i="1"/>
  <c r="Q145" i="1"/>
  <c r="O145" i="1"/>
  <c r="P145" i="1" s="1"/>
  <c r="G145" i="1"/>
  <c r="F145" i="1"/>
  <c r="Z144" i="1"/>
  <c r="V144" i="1"/>
  <c r="Q144" i="1"/>
  <c r="O144" i="1"/>
  <c r="P144" i="1" s="1"/>
  <c r="G144" i="1"/>
  <c r="F144" i="1"/>
  <c r="Z143" i="1"/>
  <c r="V143" i="1"/>
  <c r="Q143" i="1"/>
  <c r="O143" i="1"/>
  <c r="P143" i="1" s="1"/>
  <c r="G143" i="1"/>
  <c r="F143" i="1"/>
  <c r="Z142" i="1"/>
  <c r="V142" i="1"/>
  <c r="Q142" i="1"/>
  <c r="O142" i="1"/>
  <c r="P142" i="1" s="1"/>
  <c r="G142" i="1"/>
  <c r="F142" i="1"/>
  <c r="Z141" i="1"/>
  <c r="W141" i="1"/>
  <c r="V141" i="1"/>
  <c r="Q141" i="1"/>
  <c r="O141" i="1"/>
  <c r="P141" i="1" s="1"/>
  <c r="G141" i="1"/>
  <c r="F141" i="1"/>
  <c r="Z140" i="1"/>
  <c r="V140" i="1"/>
  <c r="Q140" i="1"/>
  <c r="O140" i="1"/>
  <c r="P140" i="1" s="1"/>
  <c r="G140" i="1"/>
  <c r="F140" i="1"/>
  <c r="Z139" i="1"/>
  <c r="V139" i="1"/>
  <c r="Q139" i="1"/>
  <c r="O139" i="1"/>
  <c r="P139" i="1" s="1"/>
  <c r="G139" i="1"/>
  <c r="F139" i="1"/>
  <c r="Z138" i="1"/>
  <c r="V138" i="1"/>
  <c r="Q138" i="1"/>
  <c r="O138" i="1"/>
  <c r="P138" i="1" s="1"/>
  <c r="G138" i="1"/>
  <c r="F138" i="1"/>
  <c r="Z137" i="1"/>
  <c r="V137" i="1"/>
  <c r="Q137" i="1"/>
  <c r="O137" i="1"/>
  <c r="P137" i="1" s="1"/>
  <c r="G137" i="1"/>
  <c r="F137" i="1"/>
  <c r="Z136" i="1"/>
  <c r="V136" i="1"/>
  <c r="Q136" i="1"/>
  <c r="O136" i="1"/>
  <c r="P136" i="1" s="1"/>
  <c r="G136" i="1"/>
  <c r="F136" i="1"/>
  <c r="Z135" i="1"/>
  <c r="V135" i="1"/>
  <c r="Q135" i="1"/>
  <c r="O135" i="1"/>
  <c r="P135" i="1" s="1"/>
  <c r="I135" i="1"/>
  <c r="G135" i="1"/>
  <c r="F135" i="1"/>
  <c r="Z134" i="1"/>
  <c r="V134" i="1"/>
  <c r="Q134" i="1"/>
  <c r="O134" i="1"/>
  <c r="P134" i="1" s="1"/>
  <c r="G134" i="1"/>
  <c r="F134" i="1"/>
  <c r="Z133" i="1"/>
  <c r="W133" i="1"/>
  <c r="V133" i="1"/>
  <c r="Q133" i="1"/>
  <c r="O133" i="1"/>
  <c r="P133" i="1" s="1"/>
  <c r="G133" i="1"/>
  <c r="F133" i="1"/>
  <c r="Z132" i="1"/>
  <c r="V132" i="1"/>
  <c r="Q132" i="1"/>
  <c r="O132" i="1"/>
  <c r="P132" i="1" s="1"/>
  <c r="G132" i="1"/>
  <c r="F132" i="1"/>
  <c r="Z131" i="1"/>
  <c r="V131" i="1"/>
  <c r="Q131" i="1"/>
  <c r="O131" i="1"/>
  <c r="P131" i="1" s="1"/>
  <c r="G131" i="1"/>
  <c r="F131" i="1"/>
  <c r="Z130" i="1"/>
  <c r="V130" i="1"/>
  <c r="Q130" i="1"/>
  <c r="O130" i="1"/>
  <c r="P130" i="1" s="1"/>
  <c r="G130" i="1"/>
  <c r="F130" i="1"/>
  <c r="Z129" i="1"/>
  <c r="V129" i="1"/>
  <c r="Q129" i="1"/>
  <c r="O129" i="1"/>
  <c r="P129" i="1" s="1"/>
  <c r="I129" i="1"/>
  <c r="G129" i="1"/>
  <c r="F129" i="1"/>
  <c r="Z128" i="1"/>
  <c r="V128" i="1"/>
  <c r="Q128" i="1"/>
  <c r="O128" i="1"/>
  <c r="P128" i="1" s="1"/>
  <c r="G128" i="1"/>
  <c r="F128" i="1"/>
  <c r="Z127" i="1"/>
  <c r="W127" i="1"/>
  <c r="V127" i="1"/>
  <c r="Q127" i="1"/>
  <c r="O127" i="1"/>
  <c r="P127" i="1" s="1"/>
  <c r="G127" i="1"/>
  <c r="F127" i="1"/>
  <c r="Z126" i="1"/>
  <c r="V126" i="1"/>
  <c r="Q126" i="1"/>
  <c r="O126" i="1"/>
  <c r="P126" i="1" s="1"/>
  <c r="G126" i="1"/>
  <c r="F126" i="1"/>
  <c r="Z125" i="1"/>
  <c r="V125" i="1"/>
  <c r="Q125" i="1"/>
  <c r="O125" i="1"/>
  <c r="P125" i="1" s="1"/>
  <c r="G125" i="1"/>
  <c r="F125" i="1"/>
  <c r="Z124" i="1"/>
  <c r="V124" i="1"/>
  <c r="Q124" i="1"/>
  <c r="O124" i="1"/>
  <c r="P124" i="1" s="1"/>
  <c r="G124" i="1"/>
  <c r="F124" i="1"/>
  <c r="Z123" i="1"/>
  <c r="Q123" i="1"/>
  <c r="O123" i="1"/>
  <c r="P123" i="1" s="1"/>
  <c r="G123" i="1"/>
  <c r="F123" i="1"/>
  <c r="Z122" i="1"/>
  <c r="V122" i="1"/>
  <c r="Q122" i="1"/>
  <c r="O122" i="1"/>
  <c r="P122" i="1" s="1"/>
  <c r="G122" i="1"/>
  <c r="F122" i="1"/>
  <c r="Z121" i="1"/>
  <c r="V121" i="1"/>
  <c r="Q121" i="1"/>
  <c r="O121" i="1"/>
  <c r="P121" i="1" s="1"/>
  <c r="G121" i="1"/>
  <c r="F121" i="1"/>
  <c r="Z120" i="1"/>
  <c r="V120" i="1"/>
  <c r="Q120" i="1"/>
  <c r="O120" i="1"/>
  <c r="P120" i="1" s="1"/>
  <c r="G120" i="1"/>
  <c r="F120" i="1"/>
  <c r="Z119" i="1"/>
  <c r="V119" i="1"/>
  <c r="Q119" i="1"/>
  <c r="O119" i="1"/>
  <c r="P119" i="1" s="1"/>
  <c r="G119" i="1"/>
  <c r="F119" i="1"/>
  <c r="Z118" i="1"/>
  <c r="V118" i="1"/>
  <c r="Q118" i="1"/>
  <c r="O118" i="1"/>
  <c r="P118" i="1" s="1"/>
  <c r="G118" i="1"/>
  <c r="F118" i="1"/>
  <c r="Z117" i="1"/>
  <c r="V117" i="1"/>
  <c r="Q117" i="1"/>
  <c r="O117" i="1"/>
  <c r="P117" i="1" s="1"/>
  <c r="G117" i="1"/>
  <c r="F117" i="1"/>
  <c r="Z116" i="1"/>
  <c r="V116" i="1"/>
  <c r="Q116" i="1"/>
  <c r="O116" i="1"/>
  <c r="P116" i="1" s="1"/>
  <c r="G116" i="1"/>
  <c r="F116" i="1"/>
  <c r="Z115" i="1"/>
  <c r="V115" i="1"/>
  <c r="Q115" i="1"/>
  <c r="O115" i="1"/>
  <c r="P115" i="1" s="1"/>
  <c r="G115" i="1"/>
  <c r="F115" i="1"/>
  <c r="Z114" i="1"/>
  <c r="V114" i="1"/>
  <c r="Q114" i="1"/>
  <c r="O114" i="1"/>
  <c r="P114" i="1" s="1"/>
  <c r="G114" i="1"/>
  <c r="F114" i="1"/>
  <c r="Z113" i="1"/>
  <c r="V113" i="1"/>
  <c r="Q113" i="1"/>
  <c r="O113" i="1"/>
  <c r="P113" i="1" s="1"/>
  <c r="G113" i="1"/>
  <c r="F113" i="1"/>
  <c r="Z112" i="1"/>
  <c r="Q112" i="1"/>
  <c r="O112" i="1"/>
  <c r="P112" i="1" s="1"/>
  <c r="G112" i="1"/>
  <c r="F112" i="1"/>
  <c r="Z111" i="1"/>
  <c r="V111" i="1"/>
  <c r="Q111" i="1"/>
  <c r="O111" i="1"/>
  <c r="P111" i="1" s="1"/>
  <c r="G111" i="1"/>
  <c r="F111" i="1"/>
  <c r="Z110" i="1"/>
  <c r="V110" i="1"/>
  <c r="Q110" i="1"/>
  <c r="O110" i="1"/>
  <c r="P110" i="1" s="1"/>
  <c r="G110" i="1"/>
  <c r="F110" i="1"/>
  <c r="Z109" i="1"/>
  <c r="Q109" i="1"/>
  <c r="O109" i="1"/>
  <c r="P109" i="1" s="1"/>
  <c r="G109" i="1"/>
  <c r="F109" i="1"/>
  <c r="Z108" i="1"/>
  <c r="V108" i="1"/>
  <c r="Q108" i="1"/>
  <c r="O108" i="1"/>
  <c r="P108" i="1" s="1"/>
  <c r="G108" i="1"/>
  <c r="F108" i="1"/>
  <c r="Z107" i="1"/>
  <c r="V107" i="1"/>
  <c r="Q107" i="1"/>
  <c r="O107" i="1"/>
  <c r="P107" i="1" s="1"/>
  <c r="G107" i="1"/>
  <c r="F107" i="1"/>
  <c r="Z106" i="1"/>
  <c r="V106" i="1"/>
  <c r="Q106" i="1"/>
  <c r="O106" i="1"/>
  <c r="P106" i="1" s="1"/>
  <c r="G106" i="1"/>
  <c r="F106" i="1"/>
  <c r="Z105" i="1"/>
  <c r="V105" i="1"/>
  <c r="Q105" i="1"/>
  <c r="O105" i="1"/>
  <c r="P105" i="1" s="1"/>
  <c r="G105" i="1"/>
  <c r="F105" i="1"/>
  <c r="Z104" i="1"/>
  <c r="V104" i="1"/>
  <c r="Q104" i="1"/>
  <c r="O104" i="1"/>
  <c r="P104" i="1" s="1"/>
  <c r="G104" i="1"/>
  <c r="F104" i="1"/>
  <c r="Z103" i="1"/>
  <c r="V103" i="1"/>
  <c r="Q103" i="1"/>
  <c r="O103" i="1"/>
  <c r="P103" i="1" s="1"/>
  <c r="I103" i="1"/>
  <c r="G103" i="1"/>
  <c r="F103" i="1"/>
  <c r="Z102" i="1"/>
  <c r="V102" i="1"/>
  <c r="Q102" i="1"/>
  <c r="O102" i="1"/>
  <c r="P102" i="1" s="1"/>
  <c r="G102" i="1"/>
  <c r="F102" i="1"/>
  <c r="Z101" i="1"/>
  <c r="V101" i="1"/>
  <c r="Q101" i="1"/>
  <c r="O101" i="1"/>
  <c r="P101" i="1" s="1"/>
  <c r="G101" i="1"/>
  <c r="F101" i="1"/>
  <c r="Z100" i="1"/>
  <c r="V100" i="1"/>
  <c r="Q100" i="1"/>
  <c r="O100" i="1"/>
  <c r="P100" i="1" s="1"/>
  <c r="G100" i="1"/>
  <c r="F100" i="1"/>
  <c r="Z99" i="1"/>
  <c r="V99" i="1"/>
  <c r="Q99" i="1"/>
  <c r="O99" i="1"/>
  <c r="P99" i="1" s="1"/>
  <c r="G99" i="1"/>
  <c r="F99" i="1"/>
  <c r="Z98" i="1"/>
  <c r="V98" i="1"/>
  <c r="Q98" i="1"/>
  <c r="O98" i="1"/>
  <c r="P98" i="1" s="1"/>
  <c r="G98" i="1"/>
  <c r="F98" i="1"/>
  <c r="Z97" i="1"/>
  <c r="V97" i="1"/>
  <c r="Q97" i="1"/>
  <c r="O97" i="1"/>
  <c r="P97" i="1" s="1"/>
  <c r="G97" i="1"/>
  <c r="F97" i="1"/>
  <c r="Z96" i="1"/>
  <c r="V96" i="1"/>
  <c r="Q96" i="1"/>
  <c r="O96" i="1"/>
  <c r="P96" i="1" s="1"/>
  <c r="G96" i="1"/>
  <c r="F96" i="1"/>
  <c r="Z95" i="1"/>
  <c r="V95" i="1"/>
  <c r="Q95" i="1"/>
  <c r="O95" i="1"/>
  <c r="P95" i="1" s="1"/>
  <c r="G95" i="1"/>
  <c r="F95" i="1"/>
  <c r="Z94" i="1"/>
  <c r="V94" i="1"/>
  <c r="Q94" i="1"/>
  <c r="O94" i="1"/>
  <c r="P94" i="1" s="1"/>
  <c r="G94" i="1"/>
  <c r="F94" i="1"/>
  <c r="Z93" i="1"/>
  <c r="V93" i="1"/>
  <c r="Q93" i="1"/>
  <c r="O93" i="1"/>
  <c r="P93" i="1" s="1"/>
  <c r="G93" i="1"/>
  <c r="F93" i="1"/>
  <c r="Z92" i="1"/>
  <c r="V92" i="1"/>
  <c r="Q92" i="1"/>
  <c r="O92" i="1"/>
  <c r="P92" i="1" s="1"/>
  <c r="G92" i="1"/>
  <c r="F92" i="1"/>
  <c r="Z91" i="1"/>
  <c r="V91" i="1"/>
  <c r="Q91" i="1"/>
  <c r="O91" i="1"/>
  <c r="P91" i="1" s="1"/>
  <c r="G91" i="1"/>
  <c r="F91" i="1"/>
  <c r="Z90" i="1"/>
  <c r="V90" i="1"/>
  <c r="Q90" i="1"/>
  <c r="O90" i="1"/>
  <c r="P90" i="1" s="1"/>
  <c r="G90" i="1"/>
  <c r="F90" i="1"/>
  <c r="Z89" i="1"/>
  <c r="V89" i="1"/>
  <c r="Q89" i="1"/>
  <c r="O89" i="1"/>
  <c r="P89" i="1" s="1"/>
  <c r="G89" i="1"/>
  <c r="F89" i="1"/>
  <c r="Z88" i="1"/>
  <c r="V88" i="1"/>
  <c r="Q88" i="1"/>
  <c r="O88" i="1"/>
  <c r="P88" i="1" s="1"/>
  <c r="G88" i="1"/>
  <c r="F88" i="1"/>
  <c r="Z87" i="1"/>
  <c r="V87" i="1"/>
  <c r="Q87" i="1"/>
  <c r="O87" i="1"/>
  <c r="P87" i="1" s="1"/>
  <c r="G87" i="1"/>
  <c r="F87" i="1"/>
  <c r="Z86" i="1"/>
  <c r="V86" i="1"/>
  <c r="Q86" i="1"/>
  <c r="O86" i="1"/>
  <c r="P86" i="1" s="1"/>
  <c r="G86" i="1"/>
  <c r="F86" i="1"/>
  <c r="Z85" i="1"/>
  <c r="V85" i="1"/>
  <c r="Q85" i="1"/>
  <c r="O85" i="1"/>
  <c r="P85" i="1" s="1"/>
  <c r="I85" i="1"/>
  <c r="G85" i="1"/>
  <c r="F85" i="1"/>
  <c r="Z84" i="1"/>
  <c r="V84" i="1"/>
  <c r="Q84" i="1"/>
  <c r="O84" i="1"/>
  <c r="P84" i="1" s="1"/>
  <c r="G84" i="1"/>
  <c r="F84" i="1"/>
  <c r="Z83" i="1"/>
  <c r="Q83" i="1"/>
  <c r="O83" i="1"/>
  <c r="P83" i="1" s="1"/>
  <c r="G83" i="1"/>
  <c r="F83" i="1"/>
  <c r="Z82" i="1"/>
  <c r="W82" i="1"/>
  <c r="V82" i="1"/>
  <c r="Q82" i="1"/>
  <c r="O82" i="1"/>
  <c r="P82" i="1" s="1"/>
  <c r="G82" i="1"/>
  <c r="F82" i="1"/>
  <c r="Z81" i="1"/>
  <c r="V81" i="1"/>
  <c r="Q81" i="1"/>
  <c r="O81" i="1"/>
  <c r="P81" i="1" s="1"/>
  <c r="G81" i="1"/>
  <c r="F81" i="1"/>
  <c r="Z80" i="1"/>
  <c r="V80" i="1"/>
  <c r="Q80" i="1"/>
  <c r="O80" i="1"/>
  <c r="P80" i="1" s="1"/>
  <c r="G80" i="1"/>
  <c r="F80" i="1"/>
  <c r="Z79" i="1"/>
  <c r="V79" i="1"/>
  <c r="Q79" i="1"/>
  <c r="O79" i="1"/>
  <c r="P79" i="1" s="1"/>
  <c r="I79" i="1"/>
  <c r="G79" i="1"/>
  <c r="F79" i="1"/>
  <c r="Z78" i="1"/>
  <c r="V78" i="1"/>
  <c r="Q78" i="1"/>
  <c r="O78" i="1"/>
  <c r="P78" i="1" s="1"/>
  <c r="I78" i="1"/>
  <c r="G78" i="1"/>
  <c r="F78" i="1"/>
  <c r="Z77" i="1"/>
  <c r="V77" i="1"/>
  <c r="Q77" i="1"/>
  <c r="O77" i="1"/>
  <c r="P77" i="1" s="1"/>
  <c r="G77" i="1"/>
  <c r="F77" i="1"/>
  <c r="Z76" i="1"/>
  <c r="V76" i="1"/>
  <c r="Q76" i="1"/>
  <c r="O76" i="1"/>
  <c r="P76" i="1" s="1"/>
  <c r="G76" i="1"/>
  <c r="F76" i="1"/>
  <c r="Z75" i="1"/>
  <c r="V75" i="1"/>
  <c r="Q75" i="1"/>
  <c r="O75" i="1"/>
  <c r="P75" i="1" s="1"/>
  <c r="G75" i="1"/>
  <c r="F75" i="1"/>
  <c r="Z74" i="1"/>
  <c r="V74" i="1"/>
  <c r="Q74" i="1"/>
  <c r="O74" i="1"/>
  <c r="P74" i="1" s="1"/>
  <c r="G74" i="1"/>
  <c r="F74" i="1"/>
  <c r="Z73" i="1"/>
  <c r="V73" i="1"/>
  <c r="Q73" i="1"/>
  <c r="O73" i="1"/>
  <c r="P73" i="1" s="1"/>
  <c r="G73" i="1"/>
  <c r="F73" i="1"/>
  <c r="Z72" i="1"/>
  <c r="W72" i="1"/>
  <c r="V72" i="1"/>
  <c r="Q72" i="1"/>
  <c r="O72" i="1"/>
  <c r="P72" i="1" s="1"/>
  <c r="G72" i="1"/>
  <c r="F72" i="1"/>
  <c r="Z71" i="1"/>
  <c r="V71" i="1"/>
  <c r="Q71" i="1"/>
  <c r="O71" i="1"/>
  <c r="P71" i="1" s="1"/>
  <c r="G71" i="1"/>
  <c r="F71" i="1"/>
  <c r="Z70" i="1"/>
  <c r="V70" i="1"/>
  <c r="Q70" i="1"/>
  <c r="O70" i="1"/>
  <c r="P70" i="1" s="1"/>
  <c r="G70" i="1"/>
  <c r="F70" i="1"/>
  <c r="Z69" i="1"/>
  <c r="V69" i="1"/>
  <c r="Q69" i="1"/>
  <c r="O69" i="1"/>
  <c r="P69" i="1" s="1"/>
  <c r="G69" i="1"/>
  <c r="Z68" i="1"/>
  <c r="V68" i="1"/>
  <c r="Q68" i="1"/>
  <c r="O68" i="1"/>
  <c r="P68" i="1" s="1"/>
  <c r="G68" i="1"/>
  <c r="F68" i="1"/>
  <c r="Z67" i="1"/>
  <c r="V67" i="1"/>
  <c r="Q67" i="1"/>
  <c r="O67" i="1"/>
  <c r="P67" i="1" s="1"/>
  <c r="G67" i="1"/>
  <c r="F67" i="1"/>
  <c r="Z66" i="1"/>
  <c r="V66" i="1"/>
  <c r="Q66" i="1"/>
  <c r="O66" i="1"/>
  <c r="P66" i="1" s="1"/>
  <c r="G66" i="1"/>
  <c r="F66" i="1"/>
  <c r="Z65" i="1"/>
  <c r="W65" i="1"/>
  <c r="V65" i="1"/>
  <c r="Q65" i="1"/>
  <c r="O65" i="1"/>
  <c r="P65" i="1" s="1"/>
  <c r="G65" i="1"/>
  <c r="F65" i="1"/>
  <c r="Z64" i="1"/>
  <c r="V64" i="1"/>
  <c r="Q64" i="1"/>
  <c r="O64" i="1"/>
  <c r="P64" i="1" s="1"/>
  <c r="G64" i="1"/>
  <c r="F64" i="1"/>
  <c r="Z63" i="1"/>
  <c r="V63" i="1"/>
  <c r="Q63" i="1"/>
  <c r="O63" i="1"/>
  <c r="P63" i="1" s="1"/>
  <c r="G63" i="1"/>
  <c r="F63" i="1"/>
  <c r="Z62" i="1"/>
  <c r="V62" i="1"/>
  <c r="Q62" i="1"/>
  <c r="O62" i="1"/>
  <c r="P62" i="1" s="1"/>
  <c r="G62" i="1"/>
  <c r="F62" i="1"/>
  <c r="Z61" i="1"/>
  <c r="V61" i="1"/>
  <c r="Q61" i="1"/>
  <c r="O61" i="1"/>
  <c r="P61" i="1" s="1"/>
  <c r="G61" i="1"/>
  <c r="F61" i="1"/>
  <c r="Z60" i="1"/>
  <c r="V60" i="1"/>
  <c r="Q60" i="1"/>
  <c r="O60" i="1"/>
  <c r="P60" i="1" s="1"/>
  <c r="G60" i="1"/>
  <c r="F60" i="1"/>
  <c r="Z59" i="1"/>
  <c r="V59" i="1"/>
  <c r="Q59" i="1"/>
  <c r="O59" i="1"/>
  <c r="P59" i="1" s="1"/>
  <c r="G59" i="1"/>
  <c r="F59" i="1"/>
  <c r="Z58" i="1"/>
  <c r="V58" i="1"/>
  <c r="Q58" i="1"/>
  <c r="O58" i="1"/>
  <c r="P58" i="1" s="1"/>
  <c r="G58" i="1"/>
  <c r="F58" i="1"/>
  <c r="Z57" i="1"/>
  <c r="V57" i="1"/>
  <c r="Q57" i="1"/>
  <c r="O57" i="1"/>
  <c r="P57" i="1" s="1"/>
  <c r="G57" i="1"/>
  <c r="F57" i="1"/>
  <c r="Z56" i="1"/>
  <c r="V56" i="1"/>
  <c r="Q56" i="1"/>
  <c r="O56" i="1"/>
  <c r="P56" i="1" s="1"/>
  <c r="G56" i="1"/>
  <c r="F56" i="1"/>
  <c r="Z55" i="1"/>
  <c r="V55" i="1"/>
  <c r="Q55" i="1"/>
  <c r="O55" i="1"/>
  <c r="P55" i="1" s="1"/>
  <c r="G55" i="1"/>
  <c r="F55" i="1"/>
  <c r="Z54" i="1"/>
  <c r="V54" i="1"/>
  <c r="Q54" i="1"/>
  <c r="O54" i="1"/>
  <c r="P54" i="1" s="1"/>
  <c r="G54" i="1"/>
  <c r="F54" i="1"/>
  <c r="Z53" i="1"/>
  <c r="Q53" i="1"/>
  <c r="O53" i="1"/>
  <c r="P53" i="1" s="1"/>
  <c r="G53" i="1"/>
  <c r="F53" i="1"/>
  <c r="Z52" i="1"/>
  <c r="V52" i="1"/>
  <c r="Q52" i="1"/>
  <c r="O52" i="1"/>
  <c r="P52" i="1" s="1"/>
  <c r="I52" i="1"/>
  <c r="G52" i="1"/>
  <c r="F52" i="1"/>
  <c r="Z51" i="1"/>
  <c r="V51" i="1"/>
  <c r="Q51" i="1"/>
  <c r="O51" i="1"/>
  <c r="P51" i="1" s="1"/>
  <c r="I51" i="1"/>
  <c r="G51" i="1"/>
  <c r="F51" i="1"/>
  <c r="Z50" i="1"/>
  <c r="V50" i="1"/>
  <c r="Q50" i="1"/>
  <c r="O50" i="1"/>
  <c r="P50" i="1" s="1"/>
  <c r="G50" i="1"/>
  <c r="F50" i="1"/>
  <c r="Z49" i="1"/>
  <c r="V49" i="1"/>
  <c r="Q49" i="1"/>
  <c r="O49" i="1"/>
  <c r="P49" i="1" s="1"/>
  <c r="G49" i="1"/>
  <c r="F49" i="1"/>
  <c r="Z48" i="1"/>
  <c r="V48" i="1"/>
  <c r="Q48" i="1"/>
  <c r="O48" i="1"/>
  <c r="P48" i="1" s="1"/>
  <c r="G48" i="1"/>
  <c r="F48" i="1"/>
  <c r="Z47" i="1"/>
  <c r="V47" i="1"/>
  <c r="Q47" i="1"/>
  <c r="O47" i="1"/>
  <c r="P47" i="1" s="1"/>
  <c r="G47" i="1"/>
  <c r="F47" i="1"/>
  <c r="Z46" i="1"/>
  <c r="Q46" i="1"/>
  <c r="O46" i="1"/>
  <c r="P46" i="1" s="1"/>
  <c r="G46" i="1"/>
  <c r="F46" i="1"/>
  <c r="V45" i="1"/>
  <c r="Q45" i="1"/>
  <c r="Z45" i="1" s="1"/>
  <c r="O45" i="1"/>
  <c r="P45" i="1" s="1"/>
  <c r="G45" i="1"/>
  <c r="F45" i="1"/>
  <c r="Z44" i="1"/>
  <c r="V44" i="1"/>
  <c r="Q44" i="1"/>
  <c r="O44" i="1"/>
  <c r="P44" i="1" s="1"/>
  <c r="G44" i="1"/>
  <c r="F44" i="1"/>
  <c r="Z43" i="1"/>
  <c r="V43" i="1"/>
  <c r="Q43" i="1"/>
  <c r="O43" i="1"/>
  <c r="P43" i="1" s="1"/>
  <c r="G43" i="1"/>
  <c r="F43" i="1"/>
  <c r="Z42" i="1"/>
  <c r="V42" i="1"/>
  <c r="Q42" i="1"/>
  <c r="O42" i="1"/>
  <c r="P42" i="1" s="1"/>
  <c r="I42" i="1"/>
  <c r="G42" i="1"/>
  <c r="F42" i="1"/>
  <c r="Z41" i="1"/>
  <c r="V41" i="1"/>
  <c r="O41" i="1"/>
  <c r="P41" i="1" s="1"/>
  <c r="G41" i="1"/>
  <c r="F41" i="1"/>
  <c r="Z40" i="1"/>
  <c r="Q40" i="1"/>
  <c r="O40" i="1"/>
  <c r="P40" i="1" s="1"/>
  <c r="G40" i="1"/>
  <c r="F40" i="1"/>
  <c r="Z39" i="1"/>
  <c r="W39" i="1"/>
  <c r="V39" i="1"/>
  <c r="O39" i="1"/>
  <c r="P39" i="1" s="1"/>
  <c r="G39" i="1"/>
  <c r="F39" i="1"/>
  <c r="Z38" i="1"/>
  <c r="V38" i="1"/>
  <c r="Q38" i="1"/>
  <c r="O38" i="1"/>
  <c r="P38" i="1" s="1"/>
  <c r="G38" i="1"/>
  <c r="F38" i="1"/>
  <c r="Z37" i="1"/>
  <c r="V37" i="1"/>
  <c r="Q37" i="1"/>
  <c r="O37" i="1"/>
  <c r="P37" i="1" s="1"/>
  <c r="G37" i="1"/>
  <c r="F37" i="1"/>
  <c r="Z36" i="1"/>
  <c r="Q36" i="1"/>
  <c r="O36" i="1"/>
  <c r="P36" i="1" s="1"/>
  <c r="G36" i="1"/>
  <c r="F36" i="1"/>
  <c r="Z35" i="1"/>
  <c r="V35" i="1"/>
  <c r="Q35" i="1"/>
  <c r="O35" i="1"/>
  <c r="P35" i="1" s="1"/>
  <c r="G35" i="1"/>
  <c r="F35" i="1"/>
  <c r="Z34" i="1"/>
  <c r="V34" i="1"/>
  <c r="Q34" i="1"/>
  <c r="O34" i="1"/>
  <c r="P34" i="1" s="1"/>
  <c r="G34" i="1"/>
  <c r="F34" i="1"/>
  <c r="Z33" i="1"/>
  <c r="V33" i="1"/>
  <c r="Q33" i="1"/>
  <c r="O33" i="1"/>
  <c r="P33" i="1" s="1"/>
  <c r="G33" i="1"/>
  <c r="F33" i="1"/>
  <c r="Z32" i="1"/>
  <c r="V32" i="1"/>
  <c r="Q32" i="1"/>
  <c r="O32" i="1"/>
  <c r="P32" i="1" s="1"/>
  <c r="G32" i="1"/>
  <c r="F32" i="1"/>
  <c r="Z31" i="1"/>
  <c r="V31" i="1"/>
  <c r="O31" i="1"/>
  <c r="P31" i="1" s="1"/>
  <c r="G31" i="1"/>
  <c r="F31" i="1"/>
  <c r="Z30" i="1"/>
  <c r="V30" i="1"/>
  <c r="Q30" i="1"/>
  <c r="O30" i="1"/>
  <c r="P30" i="1" s="1"/>
  <c r="G30" i="1"/>
  <c r="F30" i="1"/>
  <c r="Z29" i="1"/>
  <c r="W29" i="1"/>
  <c r="V29" i="1"/>
  <c r="Q29" i="1"/>
  <c r="O29" i="1"/>
  <c r="P29" i="1" s="1"/>
  <c r="G29" i="1"/>
  <c r="F29" i="1"/>
  <c r="Z28" i="1"/>
  <c r="W28" i="1"/>
  <c r="V28" i="1"/>
  <c r="Q28" i="1"/>
  <c r="O28" i="1"/>
  <c r="P28" i="1" s="1"/>
  <c r="G28" i="1"/>
  <c r="F28" i="1"/>
  <c r="Z27" i="1"/>
  <c r="V27" i="1"/>
  <c r="Q27" i="1"/>
  <c r="O27" i="1"/>
  <c r="P27" i="1" s="1"/>
  <c r="G27" i="1"/>
  <c r="F27" i="1"/>
  <c r="Z26" i="1"/>
  <c r="Q26" i="1"/>
  <c r="O26" i="1"/>
  <c r="P26" i="1" s="1"/>
  <c r="G26" i="1"/>
  <c r="F26" i="1"/>
  <c r="V25" i="1"/>
  <c r="Q25" i="1"/>
  <c r="Z25" i="1" s="1"/>
  <c r="O25" i="1"/>
  <c r="P25" i="1" s="1"/>
  <c r="I25" i="1"/>
  <c r="G25" i="1"/>
  <c r="F25" i="1"/>
  <c r="Z24" i="1"/>
  <c r="V24" i="1"/>
  <c r="Q24" i="1"/>
  <c r="O24" i="1"/>
  <c r="P24" i="1" s="1"/>
  <c r="G24" i="1"/>
  <c r="F24" i="1"/>
  <c r="Z23" i="1"/>
  <c r="V23" i="1"/>
  <c r="O23" i="1"/>
  <c r="P23" i="1" s="1"/>
  <c r="G23" i="1"/>
  <c r="F23" i="1"/>
  <c r="Z22" i="1"/>
  <c r="V22" i="1"/>
  <c r="Q22" i="1"/>
  <c r="O22" i="1"/>
  <c r="P22" i="1" s="1"/>
  <c r="G22" i="1"/>
  <c r="F22" i="1"/>
  <c r="Z21" i="1"/>
  <c r="V21" i="1"/>
  <c r="Q21" i="1"/>
  <c r="O21" i="1"/>
  <c r="P21" i="1" s="1"/>
  <c r="G21" i="1"/>
  <c r="F21" i="1"/>
  <c r="O1231" i="1" l="1"/>
  <c r="P1231" i="1" s="1"/>
  <c r="O1230" i="1"/>
  <c r="P1230" i="1" s="1"/>
  <c r="O788" i="1"/>
  <c r="P788" i="1" s="1"/>
  <c r="C5" i="1" a="1"/>
  <c r="C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FioaFio</author>
  </authors>
  <commentList>
    <comment ref="Y2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 xr:uid="{00000000-0006-0000-0300-000003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 xr:uid="{00000000-0006-0000-0300-000004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 xr:uid="{00000000-0006-0000-0300-000005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 xr:uid="{00000000-0006-0000-0300-000006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 xr:uid="{00000000-0006-0000-0300-000007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  <comment ref="Y1192" authorId="0" shapeId="0" xr:uid="{00000000-0006-0000-0300-000008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29 - capas duvet com probelamas na mãozinhas , faltou o refeoços da costura, foi enviados p/ consertos.</t>
        </r>
      </text>
    </comment>
    <comment ref="Z1192" authorId="0" shapeId="0" xr:uid="{00000000-0006-0000-0300-000009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xr16:uid="{00000000-0015-0000-FFFF-FFFF01000000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00000000-0015-0000-FFFF-FFFF02000000}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xr16:uid="{00000000-0015-0000-FFFF-FFFF03000000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xr16:uid="{00000000-0015-0000-FFFF-FFFF04000000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xr16:uid="{00000000-0015-0000-FFFF-FFFF05000000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xr16:uid="{00000000-0015-0000-FFFF-FFFF06000000}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00000000-0015-0000-FFFF-FFFF07000000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<sst xmlns="http://schemas.openxmlformats.org/spreadsheetml/2006/main" count="31528" uniqueCount="25330">
  <si>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</si>
  <si>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</si>
  <si>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</si>
  <si>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</si>
  <si>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</si>
  <si>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</si>
  <si>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</si>
  <si>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</si>
  <si>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</si>
  <si>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</si>
  <si>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</si>
  <si>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</si>
  <si>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</si>
  <si>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</si>
  <si>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</si>
  <si>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</si>
  <si>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</si>
  <si>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</si>
  <si>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</si>
  <si>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</si>
  <si>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</si>
  <si>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</si>
  <si>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</si>
  <si>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</si>
  <si>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</si>
  <si>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</si>
  <si>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</si>
  <si>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</si>
  <si>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</si>
  <si>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</si>
  <si>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</si>
  <si>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</si>
  <si>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</si>
  <si>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</si>
  <si>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</si>
  <si>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</si>
  <si>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</si>
  <si>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</si>
  <si>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</si>
  <si>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</si>
  <si>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</si>
  <si>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</si>
  <si>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</si>
  <si>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</si>
  <si>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</si>
  <si>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</si>
  <si>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</si>
  <si>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</si>
  <si>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</si>
  <si>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</si>
  <si>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</si>
  <si>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</si>
  <si>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</si>
  <si>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</si>
  <si>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</si>
  <si>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</si>
  <si>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</si>
  <si>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</si>
  <si>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</si>
  <si>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</si>
  <si>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</si>
  <si>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</si>
  <si>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</si>
  <si>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</si>
  <si>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</si>
  <si>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</si>
  <si>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</si>
  <si>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</si>
  <si>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</si>
  <si>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</si>
  <si>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</si>
  <si>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</si>
  <si>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</si>
  <si>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</si>
  <si>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</si>
  <si>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</si>
  <si>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</si>
  <si>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</si>
  <si>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</si>
  <si>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</si>
  <si>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</si>
  <si>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</si>
  <si>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</si>
  <si>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</si>
  <si>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</si>
  <si>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</si>
  <si>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</si>
  <si>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</si>
  <si>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</si>
  <si>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</si>
  <si>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</si>
  <si>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</si>
  <si>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</si>
  <si>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</si>
  <si>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</si>
  <si>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</si>
  <si>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</si>
  <si>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</si>
  <si>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</si>
  <si>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</si>
  <si>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</si>
  <si>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</si>
  <si>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</si>
  <si>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</si>
  <si>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</si>
  <si>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</si>
  <si>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</si>
  <si>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</si>
  <si>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</si>
  <si>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</si>
  <si>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</si>
  <si>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</si>
  <si>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</si>
  <si>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</si>
  <si>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</si>
  <si>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</si>
  <si>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</si>
  <si>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</si>
  <si>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</si>
  <si>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</si>
  <si>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</si>
  <si>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</si>
  <si>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</si>
  <si>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</si>
  <si>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</si>
  <si>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</si>
  <si>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</si>
  <si>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</si>
  <si>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</si>
  <si>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</si>
  <si>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</si>
  <si>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</si>
  <si>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</si>
  <si>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</si>
  <si>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</si>
  <si>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</si>
  <si>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</si>
  <si>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</si>
  <si>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</si>
  <si>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</si>
  <si>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</si>
  <si>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</si>
  <si>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</si>
  <si>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</si>
  <si>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</si>
  <si>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</si>
  <si>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</si>
  <si>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</si>
  <si>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</si>
  <si>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</si>
  <si>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</si>
  <si>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</si>
  <si>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</si>
  <si>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</si>
  <si>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</si>
  <si>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</si>
  <si>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</si>
  <si>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</si>
  <si>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</si>
  <si>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</si>
  <si>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</si>
  <si>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</si>
  <si>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</si>
  <si>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</si>
  <si>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</si>
  <si>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</si>
  <si>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</si>
  <si>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</si>
  <si>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</si>
  <si>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</si>
  <si>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</si>
  <si>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</si>
  <si>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</si>
  <si>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</si>
  <si>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</si>
  <si>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</si>
  <si>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</si>
  <si>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</si>
  <si>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</si>
  <si>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</si>
  <si>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</si>
  <si>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</si>
  <si>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</si>
  <si>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</si>
  <si>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</si>
  <si>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</si>
  <si>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</si>
  <si>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</si>
  <si>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</si>
  <si>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</si>
  <si>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</si>
  <si>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</si>
  <si>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</si>
  <si>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</si>
  <si>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</si>
  <si>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</si>
  <si>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</si>
  <si>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</si>
  <si>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</si>
  <si>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</si>
  <si>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</si>
  <si>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</si>
  <si>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</si>
  <si>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</si>
  <si>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</si>
  <si>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</si>
  <si>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</si>
  <si>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</si>
  <si>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</si>
  <si>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</si>
  <si>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</si>
  <si>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</si>
  <si>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</si>
  <si>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</si>
  <si>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</si>
  <si>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</si>
  <si>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</si>
  <si>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</si>
  <si>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</si>
  <si>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</si>
  <si>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</si>
  <si>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</si>
  <si>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</si>
  <si>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</si>
  <si>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</si>
  <si>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</si>
  <si>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</si>
  <si>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</si>
  <si>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</si>
  <si>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</si>
  <si>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</si>
  <si>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</si>
  <si>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</si>
  <si>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</si>
  <si>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</si>
  <si>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</si>
  <si>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</si>
  <si>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</si>
  <si>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</si>
  <si>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</si>
  <si>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</si>
  <si>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</si>
  <si>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</si>
  <si>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</si>
  <si>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</si>
  <si>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</si>
  <si>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</si>
  <si>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</si>
  <si>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</si>
  <si>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</si>
  <si>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</si>
  <si>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</si>
  <si>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</si>
  <si>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</si>
  <si>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</si>
  <si>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</si>
  <si>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</si>
  <si>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</si>
  <si>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</si>
  <si>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</si>
  <si>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</si>
  <si>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</si>
  <si>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</si>
  <si>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</si>
  <si>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</si>
  <si>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</si>
  <si>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</si>
  <si>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</si>
  <si>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</si>
  <si>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</si>
  <si>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</si>
  <si>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</si>
  <si>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</si>
  <si>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</si>
  <si>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</si>
  <si>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</si>
  <si>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</si>
  <si>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</si>
  <si>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</si>
  <si>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</si>
  <si>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</si>
  <si>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</si>
  <si>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</si>
  <si>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</si>
  <si>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</si>
  <si>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</si>
  <si>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</si>
  <si>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</si>
  <si>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</si>
  <si>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</si>
  <si>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</si>
  <si>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</si>
  <si>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</si>
  <si>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</si>
  <si>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</si>
  <si>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</si>
  <si>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</si>
  <si>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</si>
  <si>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</si>
  <si>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</si>
  <si>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</si>
  <si>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</si>
  <si>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</si>
  <si>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</si>
  <si>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</si>
  <si>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</si>
  <si>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</si>
  <si>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</si>
  <si>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</si>
  <si>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</si>
  <si>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</si>
  <si>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</si>
  <si>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</si>
  <si>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</si>
  <si>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</si>
  <si>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</si>
  <si>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</si>
  <si>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</si>
  <si>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</si>
  <si>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</si>
  <si>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</si>
  <si>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</si>
  <si>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</si>
  <si>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</si>
  <si>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</si>
  <si>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</si>
  <si>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</si>
  <si>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</si>
  <si>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</si>
  <si>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</si>
  <si>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</si>
  <si>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</si>
  <si>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</si>
  <si>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</si>
  <si>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</si>
  <si>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</si>
  <si>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</si>
  <si>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</si>
  <si>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</si>
  <si>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</si>
  <si>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</si>
  <si>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</si>
  <si>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</si>
  <si>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</si>
  <si>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</si>
  <si>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</si>
  <si>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</si>
  <si>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</si>
  <si>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</si>
  <si>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</si>
  <si>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</si>
  <si>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</si>
  <si>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</si>
  <si>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</si>
  <si>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</si>
  <si>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</si>
  <si>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</si>
  <si>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</si>
  <si>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</si>
  <si>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</si>
  <si>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</si>
  <si>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</si>
  <si>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</si>
  <si>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</si>
  <si>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</si>
  <si>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</si>
  <si>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</si>
  <si>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</si>
  <si>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</si>
  <si>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</si>
  <si>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</si>
  <si>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</si>
  <si>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</si>
  <si>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</si>
  <si>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</si>
  <si>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</si>
  <si>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</si>
  <si>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</si>
  <si>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</si>
  <si>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</si>
  <si>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</si>
  <si>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</si>
  <si>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</si>
  <si>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</si>
  <si>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</si>
  <si>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</si>
  <si>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</si>
  <si>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</si>
  <si>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</si>
  <si>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</si>
  <si>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</si>
  <si>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</si>
  <si>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</si>
  <si>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</si>
  <si>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</si>
  <si>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</si>
  <si>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</si>
  <si>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</si>
  <si>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</si>
  <si>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</si>
  <si>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</si>
  <si>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</si>
  <si>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</si>
  <si>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</si>
  <si>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</si>
  <si>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</si>
  <si>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</si>
  <si>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</si>
  <si>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</si>
  <si>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</si>
  <si>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</si>
  <si>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</si>
  <si>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</si>
  <si>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</si>
  <si>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</si>
  <si>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</si>
  <si>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</si>
  <si>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</si>
  <si>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</si>
  <si>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</si>
  <si>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</si>
  <si>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</si>
  <si>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</si>
  <si>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</si>
  <si>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</si>
  <si>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</si>
  <si>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</si>
  <si>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</si>
  <si>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</si>
  <si>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</si>
  <si>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</si>
  <si>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</si>
  <si>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</si>
  <si>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</si>
  <si>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</si>
  <si>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</si>
  <si>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</si>
  <si>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</si>
  <si>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</si>
  <si>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</si>
  <si>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</si>
  <si>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</si>
  <si>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</si>
  <si>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</si>
  <si>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</si>
  <si>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</si>
  <si>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</si>
  <si>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</si>
  <si>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</si>
  <si>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</si>
  <si>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</si>
  <si>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</si>
  <si>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</si>
  <si>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</si>
  <si>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</si>
  <si>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</si>
  <si>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</si>
  <si>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</si>
  <si>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</si>
  <si>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</si>
  <si>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</si>
  <si>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</si>
  <si>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</si>
  <si>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</si>
  <si>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</si>
  <si>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</si>
  <si>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</si>
  <si>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</si>
  <si>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</si>
  <si>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</si>
  <si>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</si>
  <si>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</si>
  <si>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</si>
  <si>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</si>
  <si>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</si>
  <si>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</si>
  <si>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</si>
  <si>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</si>
  <si>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</si>
  <si>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</si>
  <si>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</si>
  <si>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</si>
  <si>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</si>
  <si>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</si>
  <si>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</si>
  <si>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</si>
  <si>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</si>
  <si>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</si>
  <si>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</si>
  <si>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</si>
  <si>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</si>
  <si>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</si>
  <si>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</si>
  <si>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</si>
  <si>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</si>
  <si>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</si>
  <si>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</si>
  <si>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</si>
  <si>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</si>
  <si>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</si>
  <si>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</si>
  <si>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</si>
  <si>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</si>
  <si>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</si>
  <si>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</si>
  <si>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</si>
  <si>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</si>
  <si>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</si>
  <si>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</si>
  <si>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</si>
  <si>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</si>
  <si>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</si>
  <si>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</si>
  <si>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</si>
  <si>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</si>
  <si>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</si>
  <si>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</si>
  <si>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</si>
  <si>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</si>
  <si>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</si>
  <si>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</si>
  <si>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</si>
  <si>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</si>
  <si>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</si>
  <si>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</si>
  <si>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</si>
  <si>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</si>
  <si>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</si>
  <si>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</si>
  <si>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</si>
  <si>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</si>
  <si>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</si>
  <si>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</si>
  <si>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</si>
  <si>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</si>
  <si>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</si>
  <si>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</si>
  <si>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</si>
  <si>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</si>
  <si>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</si>
  <si>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</si>
  <si>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</si>
  <si>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</si>
  <si>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</si>
  <si>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</si>
  <si>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</si>
  <si>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</si>
  <si>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</si>
  <si>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</si>
  <si>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</si>
  <si>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</si>
  <si>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</si>
  <si>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</si>
  <si>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</si>
  <si>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</si>
  <si>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</si>
  <si>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</si>
  <si>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</si>
  <si>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</si>
  <si>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</si>
  <si>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</si>
  <si>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</si>
  <si>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</si>
  <si>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</si>
  <si>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</si>
  <si>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</si>
  <si>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</si>
  <si>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</si>
  <si>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</si>
  <si>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</si>
  <si>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</si>
  <si>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</si>
  <si>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</si>
  <si>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</si>
  <si>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</si>
  <si>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</si>
  <si>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</si>
  <si>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</si>
  <si>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</si>
  <si>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</si>
  <si>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</si>
  <si>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</si>
  <si>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</si>
  <si>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</si>
  <si>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</si>
  <si>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</si>
  <si>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</si>
  <si>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</si>
  <si>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</si>
  <si>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</si>
  <si>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</si>
  <si>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</si>
  <si>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</si>
  <si>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</si>
  <si>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</si>
  <si>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</si>
  <si>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</si>
  <si>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</si>
  <si>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</si>
  <si>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</si>
  <si>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</si>
  <si>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</si>
  <si>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</si>
  <si>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</si>
  <si>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</si>
  <si>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</si>
  <si>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</si>
  <si>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</si>
  <si>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</si>
  <si>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</si>
  <si>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</si>
  <si>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</si>
  <si>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</si>
  <si>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</si>
  <si>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</si>
  <si>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</si>
  <si>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</si>
  <si>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</si>
  <si>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</si>
  <si>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</si>
  <si>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</si>
  <si>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</si>
  <si>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</si>
  <si>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</si>
  <si>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</si>
  <si>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</si>
  <si>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</si>
  <si>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</si>
  <si>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</si>
  <si>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</si>
  <si>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</si>
  <si>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</si>
  <si>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</si>
  <si>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</si>
  <si>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</si>
  <si>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</si>
  <si>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</si>
  <si>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</si>
  <si>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</si>
  <si>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</si>
  <si>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</si>
  <si>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</si>
  <si>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</si>
  <si>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</si>
  <si>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</si>
  <si>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</si>
  <si>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</si>
  <si>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</si>
  <si>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</si>
  <si>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</si>
  <si>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</si>
  <si>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</si>
  <si>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</si>
  <si>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</si>
  <si>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</si>
  <si>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</si>
  <si>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</si>
  <si>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</si>
  <si>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</si>
  <si>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</si>
  <si>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</si>
  <si>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</si>
  <si>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</si>
  <si>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</si>
  <si>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</si>
  <si>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</si>
  <si>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</si>
  <si>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</si>
  <si>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</si>
  <si>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</si>
  <si>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</si>
  <si>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</si>
  <si>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</si>
  <si>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</si>
  <si>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</si>
  <si>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</si>
  <si>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</si>
  <si>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</si>
  <si>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</si>
  <si>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</si>
  <si>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</si>
  <si>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</si>
  <si>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</si>
  <si>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</si>
  <si>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</si>
  <si>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</si>
  <si>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</si>
  <si>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</si>
  <si>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</si>
  <si>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</si>
  <si>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</si>
  <si>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</si>
  <si>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</si>
  <si>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</si>
  <si>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</si>
  <si>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</si>
  <si>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</si>
  <si>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</si>
  <si>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</si>
  <si>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</si>
  <si>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</si>
  <si>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</si>
  <si>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</si>
  <si>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</si>
  <si>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</si>
  <si>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</si>
  <si>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</si>
  <si>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</si>
  <si>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</si>
  <si>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</si>
  <si>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</si>
  <si>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</si>
  <si>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</si>
  <si>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</si>
  <si>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</si>
  <si>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</si>
  <si>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</si>
  <si>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</si>
  <si>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</si>
  <si>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</si>
  <si>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</si>
  <si>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</si>
  <si>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</si>
  <si>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</si>
  <si>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</si>
  <si>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</si>
  <si>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</si>
  <si>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</si>
  <si>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</si>
  <si>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</si>
  <si>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</si>
  <si>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</si>
  <si>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</si>
  <si>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</si>
  <si>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</si>
  <si>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</si>
  <si>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</si>
  <si>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</si>
  <si>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</si>
  <si>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</si>
  <si>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</si>
  <si>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</si>
  <si>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</si>
  <si>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</si>
  <si>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</si>
  <si>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</si>
  <si>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</si>
  <si>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</si>
  <si>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</si>
  <si>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</si>
  <si>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</si>
  <si>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</si>
  <si>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</si>
  <si>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</si>
  <si>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</si>
  <si>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</si>
  <si>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</si>
  <si>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</si>
  <si>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</si>
  <si>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</si>
  <si>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</si>
  <si>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</si>
  <si>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</si>
  <si>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</si>
  <si>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</si>
  <si>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</si>
  <si>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</si>
  <si>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</si>
  <si>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</si>
  <si>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</si>
  <si>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</si>
  <si>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</si>
  <si>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</si>
  <si>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</si>
  <si>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</si>
  <si>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</si>
  <si>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</si>
  <si>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</si>
  <si>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</si>
  <si>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</si>
  <si>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</si>
  <si>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</si>
  <si>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</si>
  <si>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</si>
  <si>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</si>
  <si>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</si>
  <si>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</si>
  <si>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</si>
  <si>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</si>
  <si>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</si>
  <si>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</si>
  <si>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</si>
  <si>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</si>
  <si>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</si>
  <si>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</si>
  <si>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</si>
  <si>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</si>
  <si>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</si>
  <si>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</si>
  <si>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</si>
  <si>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</si>
  <si>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</si>
  <si>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</si>
  <si>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</si>
  <si>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</si>
  <si>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</si>
  <si>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</si>
  <si>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</si>
  <si>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</si>
  <si>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</si>
  <si>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</si>
  <si>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</si>
  <si>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</si>
  <si>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</si>
  <si>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</si>
  <si>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</si>
  <si>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</si>
  <si>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</si>
  <si>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</si>
  <si>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</si>
  <si>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</si>
  <si>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</si>
  <si>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</si>
  <si>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</si>
  <si>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</si>
  <si>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</si>
  <si>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</si>
  <si>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</si>
  <si>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</si>
  <si>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</si>
  <si>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</si>
  <si>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</si>
  <si>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</si>
  <si>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</si>
  <si>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</si>
  <si>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</si>
  <si>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</si>
  <si>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</si>
  <si>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</si>
  <si>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</si>
  <si>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</si>
  <si>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</si>
  <si>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</si>
  <si>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</si>
  <si>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</si>
  <si>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</si>
  <si>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</si>
  <si>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</si>
  <si>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</si>
  <si>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</si>
  <si>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</si>
  <si>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</si>
  <si>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</si>
  <si>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</si>
  <si>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</si>
  <si>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</si>
  <si>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</si>
  <si>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</si>
  <si>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</si>
  <si>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</si>
  <si>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</si>
  <si>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</si>
  <si>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</si>
  <si>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</si>
  <si>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</si>
  <si>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</si>
  <si>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</si>
  <si>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</si>
  <si>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</si>
  <si>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</si>
  <si>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</si>
  <si>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</si>
  <si>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</si>
  <si>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</si>
  <si>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</si>
  <si>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</si>
  <si>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</si>
  <si>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</si>
  <si>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</si>
  <si>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</si>
  <si>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</si>
  <si>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</si>
  <si>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</si>
  <si>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</si>
  <si>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</si>
  <si>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</si>
  <si>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</si>
  <si>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</si>
  <si>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</si>
  <si>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</si>
  <si>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</si>
  <si>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</si>
  <si>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</si>
  <si>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</si>
  <si>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</si>
  <si>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</si>
  <si>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</si>
  <si>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</si>
  <si>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</si>
  <si>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</si>
  <si>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</si>
  <si>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</si>
  <si>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</si>
  <si>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</si>
  <si>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</si>
  <si>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</si>
  <si>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</si>
  <si>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</si>
  <si>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</si>
  <si>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</si>
  <si>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</si>
  <si>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</si>
  <si>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</si>
  <si>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</si>
  <si>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</si>
  <si>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</si>
  <si>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</si>
  <si>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</si>
  <si>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</si>
  <si>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</si>
  <si>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</si>
  <si>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</si>
  <si>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</si>
  <si>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</si>
  <si>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</si>
  <si>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</si>
  <si>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</si>
  <si>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</si>
  <si>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</si>
  <si>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</si>
  <si>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</si>
  <si>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</si>
  <si>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</si>
  <si>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</si>
  <si>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</si>
  <si>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</si>
  <si>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</si>
  <si>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</si>
  <si>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</si>
  <si>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</si>
  <si>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</si>
  <si>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</si>
  <si>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</si>
  <si>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</si>
  <si>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</si>
  <si>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</si>
  <si>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</si>
  <si>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</si>
  <si>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</si>
  <si>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</si>
  <si>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</si>
  <si>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</si>
  <si>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</si>
  <si>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</si>
  <si>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</si>
  <si>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</si>
  <si>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</si>
  <si>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</si>
  <si>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</si>
  <si>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</si>
  <si>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</si>
  <si>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</si>
  <si>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</si>
  <si>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</si>
  <si>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</si>
  <si>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</si>
  <si>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</si>
  <si>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</si>
  <si>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</si>
  <si>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</si>
  <si>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</si>
  <si>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</si>
  <si>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</si>
  <si>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</si>
  <si>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</si>
  <si>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</si>
  <si>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</si>
  <si>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</si>
  <si>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</si>
  <si>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</si>
  <si>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</si>
  <si>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</si>
  <si>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</si>
  <si>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</si>
  <si>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</si>
  <si>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</si>
  <si>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</si>
  <si>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</si>
  <si>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</si>
  <si>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</si>
  <si>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</si>
  <si>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</si>
  <si>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</si>
  <si>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</si>
  <si>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</si>
  <si>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</si>
  <si>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</si>
  <si>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</si>
  <si>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</si>
  <si>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</si>
  <si>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</si>
  <si>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</si>
  <si>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</si>
  <si>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</si>
  <si>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</si>
  <si>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</si>
  <si>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</si>
  <si>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</si>
  <si>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</si>
  <si>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</si>
  <si>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</si>
  <si>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</si>
  <si>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</si>
  <si>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</si>
  <si>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</si>
  <si>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</si>
  <si>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</si>
  <si>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</si>
  <si>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</si>
  <si>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</si>
  <si>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</si>
  <si>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</si>
  <si>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</si>
  <si>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</si>
  <si>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</si>
  <si>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</si>
  <si>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</si>
  <si>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</si>
  <si>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</si>
  <si>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</si>
  <si>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</si>
  <si>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</si>
  <si>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</si>
  <si>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</si>
  <si>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</si>
  <si>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</si>
  <si>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</si>
  <si>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</si>
  <si>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</si>
  <si>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</si>
  <si>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</si>
  <si>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</si>
  <si>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</si>
  <si>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</si>
  <si>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</si>
  <si>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</si>
  <si>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</si>
  <si>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</si>
  <si>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</si>
  <si>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</si>
  <si>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</si>
  <si>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</si>
  <si>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</si>
  <si>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</si>
  <si>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</si>
  <si>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</si>
  <si>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</si>
  <si>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</si>
  <si>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</si>
  <si>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</si>
  <si>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</si>
  <si>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</si>
  <si>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</si>
  <si>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</si>
  <si>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</si>
  <si>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</si>
  <si>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</si>
  <si>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</si>
  <si>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</si>
  <si>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</si>
  <si>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</si>
  <si>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</si>
  <si>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</si>
  <si>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</si>
  <si>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</si>
  <si>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</si>
  <si>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</si>
  <si>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</si>
  <si>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</si>
  <si>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</si>
  <si>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</si>
  <si>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</si>
  <si>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</si>
  <si>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</si>
  <si>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</si>
  <si>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</si>
  <si>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</si>
  <si>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</si>
  <si>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</si>
  <si>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</si>
  <si>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</si>
  <si>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</si>
  <si>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</si>
  <si>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</si>
  <si>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</si>
  <si>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</si>
  <si>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</si>
  <si>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</si>
  <si>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</si>
  <si>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</si>
  <si>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</si>
  <si>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</si>
  <si>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</si>
  <si>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</si>
  <si>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</si>
  <si>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</si>
  <si>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</si>
  <si>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</si>
  <si>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</si>
  <si>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</si>
  <si>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</si>
  <si>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</si>
  <si>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</si>
  <si>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</si>
  <si>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</si>
  <si>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</si>
  <si>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</si>
  <si>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</si>
  <si>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</si>
  <si>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</si>
  <si>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</si>
  <si>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</si>
  <si>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</si>
  <si>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</si>
  <si>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</si>
  <si>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</si>
  <si>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</si>
  <si>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</si>
  <si>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</si>
  <si>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</si>
  <si>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</si>
  <si>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</si>
  <si>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</si>
  <si>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</si>
  <si>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</si>
  <si>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</si>
  <si>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</si>
  <si>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</si>
  <si>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</si>
  <si>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</si>
  <si>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</si>
  <si>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</si>
  <si>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</si>
  <si>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</si>
  <si>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</si>
  <si>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</si>
  <si>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</si>
  <si>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</si>
  <si>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</si>
  <si>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</si>
  <si>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</si>
  <si>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</si>
  <si>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</si>
  <si>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</si>
  <si>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</si>
  <si>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</si>
  <si>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</si>
  <si>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</si>
  <si>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</si>
  <si>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</si>
  <si>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</si>
  <si>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</si>
  <si>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</si>
  <si>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</si>
  <si>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</si>
  <si>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</si>
  <si>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</si>
  <si>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</si>
  <si>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</si>
  <si>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</si>
  <si>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</si>
  <si>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</si>
  <si>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</si>
  <si>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</si>
  <si>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</si>
  <si>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</si>
  <si>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</si>
  <si>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</si>
  <si>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</si>
  <si>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</si>
  <si>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</si>
  <si>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</si>
  <si>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</si>
  <si>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</si>
  <si>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</si>
  <si>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</si>
  <si>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</si>
  <si>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</si>
  <si>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</si>
  <si>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</si>
  <si>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</si>
  <si>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</si>
  <si>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</si>
  <si>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</si>
  <si>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</si>
  <si>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</si>
  <si>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</si>
  <si>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</si>
  <si>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</si>
  <si>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</si>
  <si>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</si>
  <si>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</si>
  <si>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</si>
  <si>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</si>
  <si>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</si>
  <si>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</si>
  <si>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</si>
  <si>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</si>
  <si>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</si>
  <si>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</si>
  <si>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</si>
  <si>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</si>
  <si>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</si>
  <si>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</si>
  <si>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</si>
  <si>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</si>
  <si>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</si>
  <si>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</si>
  <si>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</si>
  <si>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</si>
  <si>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</si>
  <si>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</si>
  <si>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</si>
  <si>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</si>
  <si>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</si>
  <si>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</si>
  <si>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</si>
  <si>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</si>
  <si>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</si>
  <si>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</si>
  <si>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</si>
  <si>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</si>
  <si>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</si>
  <si>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</si>
  <si>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</si>
  <si>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</si>
  <si>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</si>
  <si>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</si>
  <si>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</si>
  <si>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</si>
  <si>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</si>
  <si>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</si>
  <si>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</si>
  <si>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</si>
  <si>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</si>
  <si>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</si>
  <si>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</si>
  <si>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</si>
  <si>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</si>
  <si>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</si>
  <si>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</si>
  <si>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</si>
  <si>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</si>
  <si>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</si>
  <si>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</si>
  <si>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</si>
  <si>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</si>
  <si>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</si>
  <si>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</si>
  <si>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</si>
  <si>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</si>
  <si>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</si>
  <si>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</si>
  <si>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</si>
  <si>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</si>
  <si>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</si>
  <si>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</si>
  <si>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</si>
  <si>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</si>
  <si>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</si>
  <si>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</si>
  <si>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</si>
  <si>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</si>
  <si>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</si>
  <si>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</si>
  <si>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</si>
  <si>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</si>
  <si>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</si>
  <si>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</si>
  <si>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</si>
  <si>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</si>
  <si>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</si>
  <si>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</si>
  <si>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</si>
  <si>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</si>
  <si>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</si>
  <si>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</si>
  <si>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</si>
  <si>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</si>
  <si>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</si>
  <si>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</si>
  <si>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</si>
  <si>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</si>
  <si>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</si>
  <si>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</si>
  <si>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</si>
  <si>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</si>
  <si>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</si>
  <si>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</si>
  <si>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</si>
  <si>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</si>
  <si>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</si>
  <si>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</si>
  <si>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</si>
  <si>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</si>
  <si>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</si>
  <si>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</si>
  <si>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</si>
  <si>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</si>
  <si>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</si>
  <si>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</si>
  <si>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</si>
  <si>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</si>
  <si>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</si>
  <si>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</si>
  <si>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</si>
  <si>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</si>
  <si>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</si>
  <si>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</si>
  <si>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</si>
  <si>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</si>
  <si>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</si>
  <si>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</si>
  <si>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</si>
  <si>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</si>
  <si>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</si>
  <si>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</si>
  <si>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</si>
  <si>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</si>
  <si>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</si>
  <si>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</si>
  <si>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</si>
  <si>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</si>
  <si>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</si>
  <si>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</si>
  <si>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</si>
  <si>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</si>
  <si>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</si>
  <si>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</si>
  <si>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</si>
  <si>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</si>
  <si>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</si>
  <si>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</si>
  <si>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</si>
  <si>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</si>
  <si>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</si>
  <si>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</si>
  <si>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</si>
  <si>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</si>
  <si>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</si>
  <si>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</si>
  <si>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</si>
  <si>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</si>
  <si>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</si>
  <si>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</si>
  <si>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</si>
  <si>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</si>
  <si>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</si>
  <si>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</si>
  <si>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</si>
  <si>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</si>
  <si>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</si>
  <si>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</si>
  <si>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</si>
  <si>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</si>
  <si>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</si>
  <si>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</si>
  <si>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</si>
  <si>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</si>
  <si>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</si>
  <si>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</si>
  <si>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</si>
  <si>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</si>
  <si>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</si>
  <si>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</si>
  <si>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</si>
  <si>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</si>
  <si>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</si>
  <si>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</si>
  <si>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</si>
  <si>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</si>
  <si>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</si>
  <si>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</si>
  <si>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</si>
  <si>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</si>
  <si>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</si>
  <si>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</si>
  <si>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</si>
  <si>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</si>
  <si>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</si>
  <si>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</si>
  <si>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</si>
  <si>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</si>
  <si>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</si>
  <si>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</si>
  <si>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</si>
  <si>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</si>
  <si>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</si>
  <si>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</si>
  <si>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</si>
  <si>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</si>
  <si>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</si>
  <si>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</si>
  <si>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</si>
  <si>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</si>
  <si>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</si>
  <si>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</si>
  <si>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</si>
  <si>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</si>
  <si>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</si>
  <si>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</si>
  <si>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</si>
  <si>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</si>
  <si>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</si>
  <si>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</si>
  <si>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</si>
  <si>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</si>
  <si>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</si>
  <si>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</si>
  <si>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</si>
  <si>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</si>
  <si>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</si>
  <si>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</si>
  <si>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</si>
  <si>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</si>
  <si>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</si>
  <si>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</si>
  <si>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</si>
  <si>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</si>
  <si>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</si>
  <si>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</si>
  <si>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</si>
  <si>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</si>
  <si>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</si>
  <si>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</si>
  <si>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</si>
  <si>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</si>
  <si>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</si>
  <si>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</si>
  <si>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</si>
  <si>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</si>
  <si>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</si>
  <si>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</si>
  <si>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</si>
  <si>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</si>
  <si>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</si>
  <si>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</si>
  <si>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</si>
  <si>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</si>
  <si>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</si>
  <si>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</si>
  <si>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</si>
  <si>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</si>
  <si>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</si>
  <si>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</si>
  <si>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</si>
  <si>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</si>
  <si>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</si>
  <si>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</si>
  <si>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</si>
  <si>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</si>
  <si>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</si>
  <si>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</si>
  <si>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</si>
  <si>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</si>
  <si>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</si>
  <si>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</si>
  <si>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</si>
  <si>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</si>
  <si>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</si>
  <si>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</si>
  <si>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</si>
  <si>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</si>
  <si>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</si>
  <si>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</si>
  <si>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</si>
  <si>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</si>
  <si>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</si>
  <si>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</si>
  <si>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</si>
  <si>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</si>
  <si>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</si>
  <si>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</si>
  <si>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</si>
  <si>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</si>
  <si>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</si>
  <si>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</si>
  <si>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</si>
  <si>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</si>
  <si>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</si>
  <si>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</si>
  <si>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</si>
  <si>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</si>
  <si>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</si>
  <si>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</si>
  <si>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</si>
  <si>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</si>
  <si>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</si>
  <si>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</si>
  <si>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</si>
  <si>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</si>
  <si>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</si>
  <si>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</si>
  <si>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</si>
  <si>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</si>
  <si>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</si>
  <si>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</si>
  <si>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</si>
  <si>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</si>
  <si>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</si>
  <si>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</si>
  <si>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</si>
  <si>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</si>
  <si>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</si>
  <si>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</si>
  <si>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</si>
  <si>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</si>
  <si>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</si>
  <si>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</si>
  <si>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</si>
  <si>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</si>
  <si>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</si>
  <si>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</si>
  <si>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</si>
  <si>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</si>
  <si>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</si>
  <si>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</si>
  <si>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</si>
  <si>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</si>
  <si>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</si>
  <si>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</si>
  <si>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</si>
  <si>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</si>
  <si>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</si>
  <si>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</si>
  <si>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</si>
  <si>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</si>
  <si>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</si>
  <si>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</si>
  <si>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</si>
  <si>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</si>
  <si>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</si>
  <si>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</si>
  <si>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</si>
  <si>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</si>
  <si>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</si>
  <si>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</si>
  <si>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</si>
  <si>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</si>
  <si>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</si>
  <si>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</si>
  <si>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</si>
  <si>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</si>
  <si>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</si>
  <si>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</si>
  <si>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</si>
  <si>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</si>
  <si>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</si>
  <si>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</si>
  <si>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</si>
  <si>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</si>
  <si>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</si>
  <si>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</si>
  <si>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</si>
  <si>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</si>
  <si>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</si>
  <si>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</si>
  <si>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</si>
  <si>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</si>
  <si>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</si>
  <si>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</si>
  <si>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</si>
  <si>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</si>
  <si>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</si>
  <si>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</si>
  <si>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</si>
  <si>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</si>
  <si>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</si>
  <si>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</si>
  <si>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</si>
  <si>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</si>
  <si>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</si>
  <si>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</si>
  <si>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</si>
  <si>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</si>
  <si>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</si>
  <si>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</si>
  <si>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</si>
  <si>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</si>
  <si>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</si>
  <si>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</si>
  <si>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</si>
  <si>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</si>
  <si>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</si>
  <si>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</si>
  <si>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</si>
  <si>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</si>
  <si>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</si>
  <si>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</si>
  <si>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</si>
  <si>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</si>
  <si>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</si>
  <si>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</si>
  <si>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</si>
  <si>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</si>
  <si>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</si>
  <si>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</si>
  <si>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</si>
  <si>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</si>
  <si>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</si>
  <si>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</si>
  <si>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</si>
  <si>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</si>
  <si>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</si>
  <si>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</si>
  <si>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</si>
  <si>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</si>
  <si>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</si>
  <si>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</si>
  <si>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</si>
  <si>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</si>
  <si>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</si>
  <si>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</si>
  <si>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</si>
  <si>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</si>
  <si>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</si>
  <si>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</si>
  <si>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</si>
  <si>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</si>
  <si>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</si>
  <si>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</si>
  <si>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</si>
  <si>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</si>
  <si>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</si>
  <si>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</si>
  <si>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</si>
  <si>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</si>
  <si>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</si>
  <si>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</si>
  <si>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</si>
  <si>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</si>
  <si>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</si>
  <si>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</si>
  <si>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</si>
  <si>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</si>
  <si>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</si>
  <si>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</si>
  <si>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</si>
  <si>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</si>
  <si>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</si>
  <si>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</si>
  <si>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</si>
  <si>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</si>
  <si>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</si>
  <si>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</si>
  <si>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</si>
  <si>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</si>
  <si>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</si>
  <si>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</si>
  <si>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</si>
  <si>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</si>
  <si>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</si>
  <si>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</si>
  <si>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</si>
  <si>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</si>
  <si>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</si>
  <si>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</si>
  <si>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</si>
  <si>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</si>
  <si>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</si>
  <si>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</si>
  <si>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</si>
  <si>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</si>
  <si>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</si>
  <si>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</si>
  <si>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</si>
  <si>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</si>
  <si>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</si>
  <si>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</si>
  <si>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</si>
  <si>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</si>
  <si>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</si>
  <si>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</si>
  <si>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</si>
  <si>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</si>
  <si>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</si>
  <si>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</si>
  <si>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</si>
  <si>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</si>
  <si>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</si>
  <si>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</si>
  <si>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</si>
  <si>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</si>
  <si>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</si>
  <si>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</si>
  <si>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</si>
  <si>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</si>
  <si>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</si>
  <si>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</si>
  <si>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</si>
  <si>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</si>
  <si>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</si>
  <si>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</si>
  <si>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</si>
  <si>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</si>
  <si>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</si>
  <si>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</si>
  <si>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</si>
  <si>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</si>
  <si>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</si>
  <si>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</si>
  <si>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</si>
  <si>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</si>
  <si>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</si>
  <si>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</si>
  <si>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</si>
  <si>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</si>
  <si>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</si>
  <si>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</si>
  <si>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</si>
  <si>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</si>
  <si>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</si>
  <si>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</si>
  <si>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</si>
  <si>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</si>
  <si>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</si>
  <si>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</si>
  <si>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</si>
  <si>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</si>
  <si>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</si>
  <si>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</si>
  <si>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</si>
  <si>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</si>
  <si>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</si>
  <si>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</si>
  <si>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</si>
  <si>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</si>
  <si>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</si>
  <si>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</si>
  <si>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</si>
  <si>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</si>
  <si>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</si>
  <si>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</si>
  <si>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</si>
  <si>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</si>
  <si>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</si>
  <si>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</si>
  <si>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</si>
  <si>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</si>
  <si>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</si>
  <si>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</si>
  <si>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</si>
  <si>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</si>
  <si>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</si>
  <si>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</si>
  <si>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</si>
  <si>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</si>
  <si>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</si>
  <si>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</si>
  <si>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</si>
  <si>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</si>
  <si>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</si>
  <si>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</si>
  <si>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</si>
  <si>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</si>
  <si>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</si>
  <si>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</si>
  <si>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</si>
  <si>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</si>
  <si>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</si>
  <si>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</si>
  <si>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</si>
  <si>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</si>
  <si>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</si>
  <si>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</si>
  <si>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</si>
  <si>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</si>
  <si>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</si>
  <si>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</si>
  <si>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</si>
  <si>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</si>
  <si>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</si>
  <si>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</si>
  <si>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</si>
  <si>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</si>
  <si>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</si>
  <si>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</si>
  <si>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</si>
  <si>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</si>
  <si>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</si>
  <si>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</si>
  <si>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</si>
  <si>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</si>
  <si>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</si>
  <si>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</si>
  <si>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</si>
  <si>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</si>
  <si>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</si>
  <si>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</si>
  <si>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</si>
  <si>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</si>
  <si>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</si>
  <si>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</si>
  <si>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</si>
  <si>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</si>
  <si>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</si>
  <si>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</si>
  <si>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</si>
  <si>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</si>
  <si>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</si>
  <si>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</si>
  <si>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</si>
  <si>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</si>
  <si>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</si>
  <si>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</si>
  <si>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</si>
  <si>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</si>
  <si>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</si>
  <si>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</si>
  <si>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</si>
  <si>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</si>
  <si>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</si>
  <si>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</si>
  <si>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</si>
  <si>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</si>
  <si>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</si>
  <si>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</si>
  <si>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</si>
  <si>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</si>
  <si>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</si>
  <si>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</si>
  <si>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</si>
  <si>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</si>
  <si>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</si>
  <si>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</si>
  <si>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</si>
  <si>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</si>
  <si>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</si>
  <si>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</si>
  <si>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</si>
  <si>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</si>
  <si>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</si>
  <si>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</si>
  <si>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</si>
  <si>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</si>
  <si>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</si>
  <si>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</si>
  <si>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</si>
  <si>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</si>
  <si>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</si>
  <si>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</si>
  <si>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</si>
  <si>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</si>
  <si>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</si>
  <si>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</si>
  <si>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</si>
  <si>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</si>
  <si>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</si>
  <si>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</si>
  <si>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</si>
  <si>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</si>
  <si>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</si>
  <si>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</si>
  <si>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</si>
  <si>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</si>
  <si>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</si>
  <si>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</si>
  <si>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</si>
  <si>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</si>
  <si>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</si>
  <si>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</si>
  <si>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</si>
  <si>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</si>
  <si>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</si>
  <si>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</si>
  <si>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</si>
  <si>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</si>
  <si>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</si>
  <si>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</si>
  <si>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</si>
  <si>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</si>
  <si>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</si>
  <si>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</si>
  <si>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</si>
  <si>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</si>
  <si>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</si>
  <si>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</si>
  <si>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</si>
  <si>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</si>
  <si>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</si>
  <si>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</si>
  <si>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</si>
  <si>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</si>
  <si>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</si>
  <si>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</si>
  <si>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</si>
  <si>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</si>
  <si>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</si>
  <si>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</si>
  <si>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</si>
  <si>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</si>
  <si>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</si>
  <si>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</si>
  <si>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</si>
  <si>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</si>
  <si>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</si>
  <si>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</si>
  <si>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</si>
  <si>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</si>
  <si>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</si>
  <si>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</si>
  <si>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</si>
  <si>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</si>
  <si>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</si>
  <si>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</si>
  <si>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</si>
  <si>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</si>
  <si>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</si>
  <si>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</si>
  <si>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</si>
  <si>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</si>
  <si>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</si>
  <si>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</si>
  <si>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</si>
  <si>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</si>
  <si>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</si>
  <si>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</si>
  <si>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</si>
  <si>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</si>
  <si>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</si>
  <si>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</si>
  <si>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</si>
  <si>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</si>
  <si>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</si>
  <si>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</si>
  <si>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</si>
  <si>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</si>
  <si>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</si>
  <si>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</si>
  <si>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</si>
  <si>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</si>
  <si>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</si>
  <si>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</si>
  <si>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</si>
  <si>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</si>
  <si>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</si>
  <si>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</si>
  <si>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</si>
  <si>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</si>
  <si>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</si>
  <si>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</si>
  <si>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</si>
  <si>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</si>
  <si>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</si>
  <si>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</si>
  <si>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</si>
  <si>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</si>
  <si>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</si>
  <si>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</si>
  <si>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</si>
  <si>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</si>
  <si>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</si>
  <si>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</si>
  <si>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</si>
  <si>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</si>
  <si>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</si>
  <si>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</si>
  <si>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</si>
  <si>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</si>
  <si>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</si>
  <si>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</si>
  <si>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</si>
  <si>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</si>
  <si>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</si>
  <si>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</si>
  <si>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</si>
  <si>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</si>
  <si>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</si>
  <si>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</si>
  <si>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</si>
  <si>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</si>
  <si>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</si>
  <si>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</si>
  <si>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</si>
  <si>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</si>
  <si>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</si>
  <si>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</si>
  <si>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</si>
  <si>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</si>
  <si>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</si>
  <si>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</si>
  <si>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</si>
  <si>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</si>
  <si>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</si>
  <si>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</si>
  <si>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</si>
  <si>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</si>
  <si>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</si>
  <si>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</si>
  <si>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</si>
  <si>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</si>
  <si>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</si>
  <si>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</si>
  <si>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</si>
  <si>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</si>
  <si>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</si>
  <si>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</si>
  <si>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</si>
  <si>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</si>
  <si>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</si>
  <si>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</si>
  <si>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</si>
  <si>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</si>
  <si>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</si>
  <si>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</si>
  <si>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</si>
  <si>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</si>
  <si>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</si>
  <si>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</si>
  <si>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</si>
  <si>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</si>
  <si>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</si>
  <si>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</si>
  <si>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</si>
  <si>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</si>
  <si>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</si>
  <si>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</si>
  <si>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</si>
  <si>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</si>
  <si>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</si>
  <si>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</si>
  <si>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</si>
  <si>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</si>
  <si>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</si>
  <si>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</si>
  <si>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</si>
  <si>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</si>
  <si>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</si>
  <si>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</si>
  <si>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</si>
  <si>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</si>
  <si>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</si>
  <si>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</si>
  <si>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</si>
  <si>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</si>
  <si>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</si>
  <si>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</si>
  <si>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</si>
  <si>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</si>
  <si>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</si>
  <si>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</si>
  <si>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</si>
  <si>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</si>
  <si>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</si>
  <si>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</si>
  <si>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</si>
  <si>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</si>
  <si>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</si>
  <si>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</si>
  <si>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</si>
  <si>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</si>
  <si>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</si>
  <si>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</si>
  <si>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</si>
  <si>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</si>
  <si>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</si>
  <si>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</si>
  <si>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</si>
  <si>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</si>
  <si>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</si>
  <si>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</si>
  <si>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</si>
  <si>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</si>
  <si>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</si>
  <si>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</si>
  <si>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</si>
  <si>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</si>
  <si>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</si>
  <si>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</si>
  <si>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</si>
  <si>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</si>
  <si>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</si>
  <si>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</si>
  <si>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</si>
  <si>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</si>
  <si>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</si>
  <si>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</si>
  <si>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</si>
  <si>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</si>
  <si>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</si>
  <si>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</si>
  <si>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</si>
  <si>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</si>
  <si>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</si>
  <si>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</si>
  <si>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</si>
  <si>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</si>
  <si>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</si>
  <si>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</si>
  <si>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</si>
  <si>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</si>
  <si>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</si>
  <si>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</si>
  <si>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</si>
  <si>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</si>
  <si>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</si>
  <si>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</si>
  <si>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</si>
  <si>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</si>
  <si>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</si>
  <si>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</si>
  <si>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</si>
  <si>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</si>
  <si>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</si>
  <si>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</si>
  <si>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</si>
  <si>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</si>
  <si>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</si>
  <si>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</si>
  <si>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</si>
  <si>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</si>
  <si>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</si>
  <si>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</si>
  <si>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</si>
  <si>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</si>
  <si>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</si>
  <si>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</si>
  <si>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</si>
  <si>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</si>
  <si>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</si>
  <si>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</si>
  <si>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</si>
  <si>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</si>
  <si>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</si>
  <si>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</si>
  <si>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</si>
  <si>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</si>
  <si>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</si>
  <si>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</si>
  <si>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</si>
  <si>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</si>
  <si>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</si>
  <si>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</si>
  <si>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</si>
  <si>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</si>
  <si>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</si>
  <si>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</si>
  <si>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</si>
  <si>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</si>
  <si>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</si>
  <si>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</si>
  <si>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</si>
  <si>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</si>
  <si>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</si>
  <si>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</si>
  <si>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</si>
  <si>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</si>
  <si>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</si>
  <si>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</si>
  <si>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</si>
  <si>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</si>
  <si>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</si>
  <si>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</si>
  <si>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</si>
  <si>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</si>
  <si>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</si>
  <si>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</si>
  <si>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</si>
  <si>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</si>
  <si>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</si>
  <si>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</si>
  <si>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</si>
  <si>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</si>
  <si>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</si>
  <si>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</si>
  <si>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</si>
  <si>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</si>
  <si>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</si>
  <si>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</si>
  <si>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</si>
  <si>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</si>
  <si>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</si>
  <si>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</si>
  <si>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</si>
  <si>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</si>
  <si>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</si>
  <si>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</si>
  <si>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</si>
  <si>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</si>
  <si>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</si>
  <si>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</si>
  <si>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</si>
  <si>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</si>
  <si>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</si>
  <si>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</si>
  <si>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</si>
  <si>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</si>
  <si>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</si>
  <si>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</si>
  <si>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</si>
  <si>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</si>
  <si>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</si>
  <si>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</si>
  <si>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</si>
  <si>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</si>
  <si>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</si>
  <si>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</si>
  <si>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</si>
  <si>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</si>
  <si>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</si>
  <si>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</si>
  <si>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</si>
  <si>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</si>
  <si>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</si>
  <si>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</si>
  <si>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</si>
  <si>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</si>
  <si>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</si>
  <si>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</si>
  <si>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</si>
  <si>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</si>
  <si>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</si>
  <si>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</si>
  <si>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</si>
  <si>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</si>
  <si>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</si>
  <si>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</si>
  <si>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</si>
  <si>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</si>
  <si>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</si>
  <si>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</si>
  <si>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</si>
  <si>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</si>
  <si>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</si>
  <si>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</si>
  <si>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</si>
  <si>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</si>
  <si>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</si>
  <si>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</si>
  <si>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</si>
  <si>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</si>
  <si>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</si>
  <si>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</si>
  <si>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</si>
  <si>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</si>
  <si>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</si>
  <si>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</si>
  <si>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</si>
  <si>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</si>
  <si>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</si>
  <si>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</si>
  <si>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</si>
  <si>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</si>
  <si>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</si>
  <si>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</si>
  <si>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</si>
  <si>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</si>
  <si>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</si>
  <si>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</si>
  <si>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</si>
  <si>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</si>
  <si>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</si>
  <si>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</si>
  <si>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</si>
  <si>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</si>
  <si>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</si>
  <si>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</si>
  <si>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</si>
  <si>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</si>
  <si>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</si>
  <si>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</si>
  <si>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</si>
  <si>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</si>
  <si>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</si>
  <si>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</si>
  <si>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</si>
  <si>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</si>
  <si>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</si>
  <si>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</si>
  <si>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</si>
  <si>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</si>
  <si>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</si>
  <si>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</si>
  <si>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</si>
  <si>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</si>
  <si>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</si>
  <si>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</si>
  <si>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</si>
  <si>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</si>
  <si>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</si>
  <si>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</si>
  <si>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</si>
  <si>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</si>
  <si>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</si>
  <si>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</si>
  <si>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</si>
  <si>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</si>
  <si>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</si>
  <si>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</si>
  <si>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</si>
  <si>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</si>
  <si>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</si>
  <si>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</si>
  <si>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</si>
  <si>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</si>
  <si>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</si>
  <si>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</si>
  <si>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</si>
  <si>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</si>
  <si>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</si>
  <si>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</si>
  <si>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</si>
  <si>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</si>
  <si>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</si>
  <si>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</si>
  <si>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</si>
  <si>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</si>
  <si>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</si>
  <si>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</si>
  <si>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</si>
  <si>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</si>
  <si>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</si>
  <si>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</si>
  <si>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</si>
  <si>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</si>
  <si>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</si>
  <si>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</si>
  <si>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</si>
  <si>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</si>
  <si>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</si>
  <si>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</si>
  <si>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</si>
  <si>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</si>
  <si>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</si>
  <si>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</si>
  <si>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</si>
  <si>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</si>
  <si>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</si>
  <si>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</si>
  <si>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</si>
  <si>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</si>
  <si>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</si>
  <si>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</si>
  <si>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</si>
  <si>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</si>
  <si>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</si>
  <si>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</si>
  <si>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</si>
  <si>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</si>
  <si>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</si>
  <si>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</si>
  <si>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</si>
  <si>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</si>
  <si>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</si>
  <si>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</si>
  <si>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</si>
  <si>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</si>
  <si>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</si>
  <si>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</si>
  <si>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</si>
  <si>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</si>
  <si>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</si>
  <si>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</si>
  <si>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</si>
  <si>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</si>
  <si>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</si>
  <si>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</si>
  <si>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</si>
  <si>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</si>
  <si>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</si>
  <si>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</si>
  <si>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</si>
  <si>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</si>
  <si>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</si>
  <si>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</si>
  <si>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</si>
  <si>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</si>
  <si>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</si>
  <si>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</si>
  <si>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</si>
  <si>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</si>
  <si>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</si>
  <si>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</si>
  <si>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</si>
  <si>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</si>
  <si>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</si>
  <si>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</si>
  <si>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</si>
  <si>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</si>
  <si>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</si>
  <si>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</si>
  <si>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</si>
  <si>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</si>
  <si>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</si>
  <si>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</si>
  <si>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</si>
  <si>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</si>
  <si>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</si>
  <si>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</si>
  <si>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</si>
  <si>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</si>
  <si>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</si>
  <si>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</si>
  <si>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</si>
  <si>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</si>
  <si>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</si>
  <si>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</si>
  <si>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</si>
  <si>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</si>
  <si>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</si>
  <si>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</si>
  <si>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</si>
  <si>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</si>
  <si>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</si>
  <si>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</si>
  <si>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</si>
  <si>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</si>
  <si>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</si>
  <si>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</si>
  <si>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</si>
  <si>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</si>
  <si>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</si>
  <si>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</si>
  <si>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</si>
  <si>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</si>
  <si>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</si>
  <si>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</si>
  <si>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</si>
  <si>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</si>
  <si>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</si>
  <si>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</si>
  <si>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</si>
  <si>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</si>
  <si>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</si>
  <si>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</si>
  <si>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</si>
  <si>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</si>
  <si>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</si>
  <si>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</si>
  <si>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</si>
  <si>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</si>
  <si>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</si>
  <si>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</si>
  <si>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</si>
  <si>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</si>
  <si>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</si>
  <si>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</si>
  <si>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</si>
  <si>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</si>
  <si>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</si>
  <si>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</si>
  <si>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</si>
  <si>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</si>
  <si>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</si>
  <si>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</si>
  <si>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</si>
  <si>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</si>
  <si>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</si>
  <si>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</si>
  <si>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</si>
  <si>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</si>
  <si>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</si>
  <si>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</si>
  <si>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</si>
  <si>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</si>
  <si>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</si>
  <si>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</si>
  <si>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</si>
  <si>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</si>
  <si>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</si>
  <si>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</si>
  <si>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</si>
  <si>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</si>
  <si>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</si>
  <si>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</si>
  <si>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</si>
  <si>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</si>
  <si>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</si>
  <si>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</si>
  <si>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</si>
  <si>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</si>
  <si>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</si>
  <si>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</si>
  <si>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</si>
  <si>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</si>
  <si>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</si>
  <si>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</si>
  <si>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</si>
  <si>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</si>
  <si>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</si>
  <si>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</si>
  <si>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</si>
  <si>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</si>
  <si>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</si>
  <si>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</si>
  <si>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</si>
  <si>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</si>
  <si>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</si>
  <si>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</si>
  <si>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</si>
  <si>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</si>
  <si>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</si>
  <si>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</si>
  <si>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</si>
  <si>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</si>
  <si>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</si>
  <si>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</si>
  <si>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</si>
  <si>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</si>
  <si>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</si>
  <si>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</si>
  <si>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</si>
  <si>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</si>
  <si>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</si>
  <si>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</si>
  <si>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</si>
  <si>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</si>
  <si>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</si>
  <si>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</si>
  <si>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</si>
  <si>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</si>
  <si>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</si>
  <si>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</si>
  <si>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</si>
  <si>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</si>
  <si>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</si>
  <si>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</si>
  <si>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</si>
  <si>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</si>
  <si>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</si>
  <si>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</si>
  <si>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</si>
  <si>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</si>
  <si>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</si>
  <si>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</si>
  <si>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</si>
  <si>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</si>
  <si>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</si>
  <si>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</si>
  <si>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</si>
  <si>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</si>
  <si>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</si>
  <si>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</si>
  <si>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</si>
  <si>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</si>
  <si>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</si>
  <si>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</si>
  <si>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</si>
  <si>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</si>
  <si>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</si>
  <si>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</si>
  <si>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</si>
  <si>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</si>
  <si>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</si>
  <si>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</si>
  <si>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</si>
  <si>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</si>
  <si>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</si>
  <si>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</si>
  <si>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</si>
  <si>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</si>
  <si>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</si>
  <si>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</si>
  <si>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</si>
  <si>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</si>
  <si>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</si>
  <si>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</si>
  <si>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</si>
  <si>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</si>
  <si>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</si>
  <si>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</si>
  <si>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</si>
  <si>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</si>
  <si>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</si>
  <si>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</si>
  <si>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</si>
  <si>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</si>
  <si>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</si>
  <si>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</si>
  <si>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</si>
  <si>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</si>
  <si>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</si>
  <si>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</si>
  <si>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</si>
  <si>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</si>
  <si>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</si>
  <si>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</si>
  <si>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</si>
  <si>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</si>
  <si>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</si>
  <si>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</si>
  <si>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</si>
  <si>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</si>
  <si>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</si>
  <si>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</si>
  <si>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</si>
  <si>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</si>
  <si>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</si>
  <si>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</si>
  <si>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</si>
  <si>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</si>
  <si>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</si>
  <si>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</si>
  <si>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</si>
  <si>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</si>
  <si>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</si>
  <si>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</si>
  <si>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</si>
  <si>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</si>
  <si>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</si>
  <si>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</si>
  <si>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</si>
  <si>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</si>
  <si>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</si>
  <si>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</si>
  <si>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</si>
  <si>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</si>
  <si>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</si>
  <si>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</si>
  <si>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</si>
  <si>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</si>
  <si>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</si>
  <si>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</si>
  <si>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</si>
  <si>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</si>
  <si>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</si>
  <si>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</si>
  <si>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</si>
  <si>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</si>
  <si>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</si>
  <si>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</si>
  <si>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</si>
  <si>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</si>
  <si>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</si>
  <si>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</si>
  <si>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</si>
  <si>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</si>
  <si>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</si>
  <si>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</si>
  <si>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</si>
  <si>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</si>
  <si>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</si>
  <si>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</si>
  <si>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</si>
  <si>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</si>
  <si>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</si>
  <si>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</si>
  <si>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</si>
  <si>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</si>
  <si>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</si>
  <si>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</si>
  <si>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</si>
  <si>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</si>
  <si>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</si>
  <si>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</si>
  <si>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</si>
  <si>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</si>
  <si>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</si>
  <si>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</si>
  <si>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</si>
  <si>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</si>
  <si>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</si>
  <si>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</si>
  <si>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</si>
  <si>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</si>
  <si>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</si>
  <si>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</si>
  <si>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</si>
  <si>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</si>
  <si>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</si>
  <si>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</si>
  <si>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</si>
  <si>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</si>
  <si>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</si>
  <si>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</si>
  <si>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</si>
  <si>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</si>
  <si>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</si>
  <si>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</si>
  <si>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</si>
  <si>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</si>
  <si>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</si>
  <si>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</si>
  <si>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</si>
  <si>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</si>
  <si>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</si>
  <si>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</si>
  <si>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</si>
  <si>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</si>
  <si>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</si>
  <si>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</si>
  <si>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</si>
  <si>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</si>
  <si>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</si>
  <si>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</si>
  <si>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</si>
  <si>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</si>
  <si>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</si>
  <si>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</si>
  <si>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</si>
  <si>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</si>
  <si>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</si>
  <si>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</si>
  <si>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</si>
  <si>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</si>
  <si>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</si>
  <si>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</si>
  <si>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</si>
  <si>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</si>
  <si>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</si>
  <si>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</si>
  <si>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</si>
  <si>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</si>
  <si>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</si>
  <si>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</si>
  <si>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</si>
  <si>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</si>
  <si>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</si>
  <si>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</si>
  <si>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</si>
  <si>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</si>
  <si>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</si>
  <si>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</si>
  <si>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</si>
  <si>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</si>
  <si>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</si>
  <si>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</si>
  <si>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</si>
  <si>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</si>
  <si>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</si>
  <si>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</si>
  <si>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</si>
  <si>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</si>
  <si>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</si>
  <si>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</si>
  <si>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</si>
  <si>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</si>
  <si>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</si>
  <si>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</si>
  <si>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</si>
  <si>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</si>
  <si>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</si>
  <si>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</si>
  <si>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</si>
  <si>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</si>
  <si>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</si>
  <si>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</si>
  <si>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</si>
  <si>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</si>
  <si>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</si>
  <si>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</si>
  <si>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</si>
  <si>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</si>
  <si>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</si>
  <si>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</si>
  <si>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</si>
  <si>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</si>
  <si>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</si>
  <si>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</si>
  <si>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</si>
  <si>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</si>
  <si>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</si>
  <si>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</si>
  <si>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</si>
  <si>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</si>
  <si>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</si>
  <si>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</si>
  <si>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</si>
  <si>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</si>
  <si>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</si>
  <si>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</si>
  <si>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</si>
  <si>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</si>
  <si>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</si>
  <si>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</si>
  <si>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</si>
  <si>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</si>
  <si>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</si>
  <si>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</si>
  <si>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</si>
  <si>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</si>
  <si>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</si>
  <si>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</si>
  <si>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</si>
  <si>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</si>
  <si>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</si>
  <si>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</si>
  <si>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</si>
  <si>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</si>
  <si>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</si>
  <si>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</si>
  <si>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</si>
  <si>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</si>
  <si>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</si>
  <si>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</si>
  <si>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</si>
  <si>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</si>
  <si>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</si>
  <si>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</si>
  <si>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</si>
  <si>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</si>
  <si>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</si>
  <si>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</si>
  <si>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</si>
  <si>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</si>
  <si>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</si>
  <si>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</si>
  <si>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</si>
  <si>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</si>
  <si>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</si>
  <si>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</si>
  <si>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</si>
  <si>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</si>
  <si>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</si>
  <si>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</si>
  <si>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</si>
  <si>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</si>
  <si>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</si>
  <si>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</si>
  <si>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</si>
  <si>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</si>
  <si>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</si>
  <si>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</si>
  <si>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</si>
  <si>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</si>
  <si>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</si>
  <si>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</si>
  <si>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</si>
  <si>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</si>
  <si>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</si>
  <si>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</si>
  <si>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</si>
  <si>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</si>
  <si>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</si>
  <si>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</si>
  <si>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</si>
  <si>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</si>
  <si>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</si>
  <si>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</si>
  <si>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</si>
  <si>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</si>
  <si>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</si>
  <si>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</si>
  <si>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</si>
  <si>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</si>
  <si>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</si>
  <si>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</si>
  <si>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</si>
  <si>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</si>
  <si>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</si>
  <si>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</si>
  <si>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</si>
  <si>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</si>
  <si>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</si>
  <si>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</si>
  <si>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</si>
  <si>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</si>
  <si>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</si>
  <si>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</si>
  <si>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</si>
  <si>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</si>
  <si>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</si>
  <si>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</si>
  <si>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</si>
  <si>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</si>
  <si>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</si>
  <si>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</si>
  <si>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</si>
  <si>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</si>
  <si>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</si>
  <si>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</si>
  <si>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</si>
  <si>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</si>
  <si>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</si>
  <si>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</si>
  <si>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</si>
  <si>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</si>
  <si>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</si>
  <si>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</si>
  <si>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</si>
  <si>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</si>
  <si>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</si>
  <si>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</si>
  <si>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</si>
  <si>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</si>
  <si>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</si>
  <si>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</si>
  <si>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</si>
  <si>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</si>
  <si>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</si>
  <si>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</si>
  <si>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</si>
  <si>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</si>
  <si>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</si>
  <si>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</si>
  <si>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</si>
  <si>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</si>
  <si>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</si>
  <si>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</si>
  <si>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</si>
  <si>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</si>
  <si>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</si>
  <si>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</si>
  <si>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</si>
  <si>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</si>
  <si>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</si>
  <si>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</si>
  <si>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</si>
  <si>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</si>
  <si>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</si>
  <si>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</si>
  <si>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</si>
  <si>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</si>
  <si>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</si>
  <si>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</si>
  <si>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</si>
  <si>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</si>
  <si>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</si>
  <si>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</si>
  <si>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</si>
  <si>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</si>
  <si>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</si>
  <si>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</si>
  <si>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</si>
  <si>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</si>
  <si>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</si>
  <si>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</si>
  <si>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</si>
  <si>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</si>
  <si>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</si>
  <si>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</si>
  <si>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</si>
  <si>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</si>
  <si>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</si>
  <si>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</si>
  <si>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</si>
  <si>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</si>
  <si>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</si>
  <si>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</si>
  <si>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</si>
  <si>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</si>
  <si>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</si>
  <si>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</si>
  <si>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</si>
  <si>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</si>
  <si>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</si>
  <si>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</si>
  <si>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</si>
  <si>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</si>
  <si>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</si>
  <si>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</si>
  <si>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</si>
  <si>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</si>
  <si>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</si>
  <si>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</si>
  <si>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</si>
  <si>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</si>
  <si>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</si>
  <si>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</si>
  <si>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</si>
  <si>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</si>
  <si>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</si>
  <si>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</si>
  <si>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</si>
  <si>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</si>
  <si>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</si>
  <si>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</si>
  <si>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</si>
  <si>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</si>
  <si>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</si>
  <si>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</si>
  <si>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</si>
  <si>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</si>
  <si>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</si>
  <si>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</si>
  <si>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</si>
  <si>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</si>
  <si>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</si>
  <si>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</si>
  <si>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</si>
  <si>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</si>
  <si>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</si>
  <si>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</si>
  <si>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</si>
  <si>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</si>
  <si>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</si>
  <si>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</si>
  <si>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</si>
  <si>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</si>
  <si>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</si>
  <si>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</si>
  <si>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</si>
  <si>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</si>
  <si>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</si>
  <si>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</si>
  <si>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</si>
  <si>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</si>
  <si>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</si>
  <si>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</si>
  <si>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</si>
  <si>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</si>
  <si>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</si>
  <si>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</si>
  <si>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</si>
  <si>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</si>
  <si>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</si>
  <si>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</si>
  <si>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</si>
  <si>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</si>
  <si>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</si>
  <si>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</si>
  <si>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</si>
  <si>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</si>
  <si>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</si>
  <si>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</si>
  <si>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</si>
  <si>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</si>
  <si>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</si>
  <si>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</si>
  <si>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</si>
  <si>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</si>
  <si>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</si>
  <si>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</si>
  <si>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</si>
  <si>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</si>
  <si>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</si>
  <si>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</si>
  <si>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</si>
  <si>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</si>
  <si>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</si>
  <si>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</si>
  <si>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</si>
  <si>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</si>
  <si>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</si>
  <si>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</si>
  <si>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</si>
  <si>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</si>
  <si>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</si>
  <si>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</si>
  <si>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</si>
  <si>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</si>
  <si>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</si>
  <si>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</si>
  <si>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</si>
  <si>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</si>
  <si>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</si>
  <si>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</si>
  <si>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</si>
  <si>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</si>
  <si>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</si>
  <si>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</si>
  <si>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</si>
  <si>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</si>
  <si>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</si>
  <si>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</si>
  <si>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</si>
  <si>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</si>
  <si>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</si>
  <si>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</si>
  <si>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</si>
  <si>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</si>
  <si>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</si>
  <si>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</si>
  <si>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</si>
  <si>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</si>
  <si>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</si>
  <si>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</si>
  <si>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</si>
  <si>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</si>
  <si>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</si>
  <si>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</si>
  <si>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</si>
  <si>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</si>
  <si>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</si>
  <si>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</si>
  <si>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</si>
  <si>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</si>
  <si>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</si>
  <si>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</si>
  <si>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</si>
  <si>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</si>
  <si>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</si>
  <si>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</si>
  <si>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</si>
  <si>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</si>
  <si>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</si>
  <si>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</si>
  <si>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</si>
  <si>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</si>
  <si>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</si>
  <si>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</si>
  <si>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</si>
  <si>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</si>
  <si>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</si>
  <si>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</si>
  <si>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</si>
  <si>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</si>
  <si>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</si>
  <si>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</si>
  <si>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</si>
  <si>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</si>
  <si>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</si>
  <si>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</si>
  <si>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</si>
  <si>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</si>
  <si>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</si>
  <si>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</si>
  <si>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</si>
  <si>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</si>
  <si>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</si>
  <si>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</si>
  <si>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</si>
  <si>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</si>
  <si>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</si>
  <si>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</si>
  <si>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</si>
  <si>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</si>
  <si>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</si>
  <si>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</si>
  <si>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</si>
  <si>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</si>
  <si>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</si>
  <si>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</si>
  <si>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</si>
  <si>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</si>
  <si>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</si>
  <si>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</si>
  <si>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</si>
  <si>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</si>
  <si>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</si>
  <si>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</si>
  <si>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</si>
  <si>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</si>
  <si>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</si>
  <si>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</si>
  <si>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</si>
  <si>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</si>
  <si>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</si>
  <si>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</si>
  <si>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</si>
  <si>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</si>
  <si>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</si>
  <si>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</si>
  <si>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</si>
  <si>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</si>
  <si>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</si>
  <si>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</si>
  <si>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</si>
  <si>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</si>
  <si>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</si>
  <si>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</si>
  <si>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</si>
  <si>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</si>
  <si>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</si>
  <si>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</si>
  <si>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</si>
  <si>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</si>
  <si>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</si>
  <si>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</si>
  <si>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</si>
  <si>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</si>
  <si>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</si>
  <si>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</si>
  <si>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</si>
  <si>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</si>
  <si>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</si>
  <si>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</si>
  <si>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</si>
  <si>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</si>
  <si>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</si>
  <si>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</si>
  <si>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</si>
  <si>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</si>
  <si>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</si>
  <si>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</si>
  <si>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</si>
  <si>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</si>
  <si>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</si>
  <si>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</si>
  <si>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</si>
  <si>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</si>
  <si>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</si>
  <si>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</si>
  <si>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</si>
  <si>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</si>
  <si>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</si>
  <si>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</si>
  <si>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</si>
  <si>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</si>
  <si>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</si>
  <si>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</si>
  <si>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</si>
  <si>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</si>
  <si>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</si>
  <si>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</si>
  <si>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</si>
  <si>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</si>
  <si>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</si>
  <si>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</si>
  <si>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</si>
  <si>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</si>
  <si>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</si>
  <si>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</si>
  <si>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</si>
  <si>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</si>
  <si>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</si>
  <si>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</si>
  <si>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</si>
  <si>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</si>
  <si>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</si>
  <si>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</si>
  <si>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</si>
  <si>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</si>
  <si>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</si>
  <si>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</si>
  <si>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</si>
  <si>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</si>
  <si>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</si>
  <si>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</si>
  <si>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</si>
  <si>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</si>
  <si>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</si>
  <si>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</si>
  <si>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</si>
  <si>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</si>
  <si>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</si>
  <si>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</si>
  <si>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</si>
  <si>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</si>
  <si>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</si>
  <si>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</si>
  <si>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</si>
  <si>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</si>
  <si>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</si>
  <si>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</si>
  <si>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</si>
  <si>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</si>
  <si>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</si>
  <si>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</si>
  <si>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</si>
  <si>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</si>
  <si>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</si>
  <si>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</si>
  <si>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</si>
  <si>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</si>
  <si>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</si>
  <si>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</si>
  <si>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</si>
  <si>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</si>
  <si>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</si>
  <si>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</si>
  <si>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</si>
  <si>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</si>
  <si>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</si>
  <si>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</si>
  <si>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</si>
  <si>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</si>
  <si>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</si>
  <si>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</si>
  <si>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</si>
  <si>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</si>
  <si>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</si>
  <si>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</si>
  <si>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</si>
  <si>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</si>
  <si>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</si>
  <si>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</si>
  <si>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</si>
  <si>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</si>
  <si>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</si>
  <si>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</si>
  <si>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</si>
  <si>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</si>
  <si>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</si>
  <si>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</si>
  <si>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</si>
  <si>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</si>
  <si>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</si>
  <si>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</si>
  <si>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</si>
  <si>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</si>
  <si>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</si>
  <si>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</si>
  <si>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</si>
  <si>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</si>
  <si>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</si>
  <si>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</si>
  <si>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</si>
  <si>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</si>
  <si>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</si>
  <si>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</si>
  <si>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</si>
  <si>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</si>
  <si>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</si>
  <si>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</si>
  <si>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</si>
  <si>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</si>
  <si>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</si>
  <si>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</si>
  <si>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</si>
  <si>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</si>
  <si>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</si>
  <si>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</si>
  <si>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</si>
  <si>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</si>
  <si>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</si>
  <si>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</si>
  <si>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</si>
  <si>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</si>
  <si>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</si>
  <si>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</si>
  <si>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</si>
  <si>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</si>
  <si>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</si>
  <si>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</si>
  <si>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</si>
  <si>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</si>
  <si>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</si>
  <si>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</si>
  <si>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</si>
  <si>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</si>
  <si>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</si>
  <si>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</si>
  <si>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</si>
  <si>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</si>
  <si>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</si>
  <si>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</si>
  <si>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</si>
  <si>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</si>
  <si>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</si>
  <si>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</si>
  <si>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</si>
  <si>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</si>
  <si>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</si>
  <si>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</si>
  <si>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</si>
  <si>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</si>
  <si>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</si>
  <si>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</si>
  <si>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</si>
  <si>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</si>
  <si>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</si>
  <si>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</si>
  <si>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</si>
  <si>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</si>
  <si>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</si>
  <si>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</si>
  <si>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</si>
  <si>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</si>
  <si>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</si>
  <si>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</si>
  <si>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</si>
  <si>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</si>
  <si>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</si>
  <si>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</si>
  <si>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</si>
  <si>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</si>
  <si>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</si>
  <si>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</si>
  <si>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</si>
  <si>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</si>
  <si>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</si>
  <si>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</si>
  <si>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</si>
  <si>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</si>
  <si>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</si>
  <si>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</si>
  <si>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</si>
  <si>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</si>
  <si>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</si>
  <si>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</si>
  <si>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</si>
  <si>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</si>
  <si>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</si>
  <si>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</si>
  <si>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</si>
  <si>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</si>
  <si>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</si>
  <si>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</si>
  <si>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</si>
  <si>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</si>
  <si>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</si>
  <si>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</si>
  <si>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</si>
  <si>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</si>
  <si>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</si>
  <si>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</si>
  <si>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</si>
  <si>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</si>
  <si>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</si>
  <si>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</si>
  <si>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</si>
  <si>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</si>
  <si>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</si>
  <si>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</si>
  <si>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</si>
  <si>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</si>
  <si>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</si>
  <si>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</si>
  <si>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</si>
  <si>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</si>
  <si>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</si>
  <si>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</si>
  <si>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</si>
  <si>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</si>
  <si>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</si>
  <si>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</si>
  <si>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</si>
  <si>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</si>
  <si>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</si>
  <si>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</si>
  <si>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</si>
  <si>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</si>
  <si>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</si>
  <si>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</si>
  <si>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</si>
  <si>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</si>
  <si>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</si>
  <si>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</si>
  <si>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</si>
  <si>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</si>
  <si>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</si>
  <si>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</si>
  <si>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</si>
  <si>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</si>
  <si>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</si>
  <si>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</si>
  <si>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</si>
  <si>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</si>
  <si>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</si>
  <si>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</si>
  <si>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</si>
  <si>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</si>
  <si>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</si>
  <si>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</si>
  <si>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</si>
  <si>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</si>
  <si>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</si>
  <si>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</si>
  <si>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</si>
  <si>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</si>
  <si>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</si>
  <si>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</si>
  <si>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</si>
  <si>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</si>
  <si>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</si>
  <si>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</si>
  <si>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</si>
  <si>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</si>
  <si>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</si>
  <si>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</si>
  <si>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</si>
  <si>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</si>
  <si>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</si>
  <si>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</si>
  <si>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</si>
  <si>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</si>
  <si>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</si>
  <si>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</si>
  <si>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</si>
  <si>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</si>
  <si>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</si>
  <si>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</si>
  <si>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</si>
  <si>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</si>
  <si>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</si>
  <si>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</si>
  <si>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</si>
  <si>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</si>
  <si>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</si>
  <si>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</si>
  <si>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</si>
  <si>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</si>
  <si>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</si>
  <si>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</si>
  <si>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</si>
  <si>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</si>
  <si>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</si>
  <si>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</si>
  <si>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</si>
  <si>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</si>
  <si>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</si>
  <si>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</si>
  <si>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</si>
  <si>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</si>
  <si>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</si>
  <si>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</si>
  <si>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</si>
  <si>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</si>
  <si>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</si>
  <si>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</si>
  <si>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</si>
  <si>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</si>
  <si>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</si>
  <si>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</si>
  <si>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</si>
  <si>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</si>
  <si>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</si>
  <si>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</si>
  <si>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</si>
  <si>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</si>
  <si>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</si>
  <si>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</si>
  <si>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</si>
  <si>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</si>
  <si>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</si>
  <si>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</si>
  <si>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</si>
  <si>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</si>
  <si>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</si>
  <si>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</si>
  <si>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</si>
  <si>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</si>
  <si>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</si>
  <si>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</si>
  <si>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</si>
  <si>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</si>
  <si>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</si>
  <si>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</si>
  <si>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</si>
  <si>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</si>
  <si>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</si>
  <si>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</si>
  <si>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</si>
  <si>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</si>
  <si>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</si>
  <si>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</si>
  <si>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</si>
  <si>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</si>
  <si>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</si>
  <si>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</si>
  <si>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</si>
  <si>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</si>
  <si>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</si>
  <si>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</si>
  <si>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</si>
  <si>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</si>
  <si>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</si>
  <si>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</si>
  <si>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</si>
  <si>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</si>
  <si>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</si>
  <si>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</si>
  <si>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</si>
  <si>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</si>
  <si>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</si>
  <si>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</si>
  <si>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</si>
  <si>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</si>
  <si>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</si>
  <si>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</si>
  <si>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</si>
  <si>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</si>
  <si>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</si>
  <si>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</si>
  <si>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</si>
  <si>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</si>
  <si>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</si>
  <si>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</si>
  <si>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</si>
  <si>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</si>
  <si>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</si>
  <si>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</si>
  <si>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</si>
  <si>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</si>
  <si>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</si>
  <si>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</si>
  <si>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</si>
  <si>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</si>
  <si>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</si>
  <si>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</si>
  <si>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</si>
  <si>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</si>
  <si>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</si>
  <si>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</si>
  <si>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</si>
  <si>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</si>
  <si>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</si>
  <si>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</si>
  <si>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</si>
  <si>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</si>
  <si>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</si>
  <si>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</si>
  <si>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</si>
  <si>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</si>
  <si>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</si>
  <si>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</si>
  <si>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</si>
  <si>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</si>
  <si>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</si>
  <si>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</si>
  <si>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</si>
  <si>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</si>
  <si>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</si>
  <si>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</si>
  <si>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</si>
  <si>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</si>
  <si>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</si>
  <si>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</si>
  <si>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</si>
  <si>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</si>
  <si>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</si>
  <si>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</si>
  <si>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</si>
  <si>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</si>
  <si>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</si>
  <si>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</si>
  <si>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</si>
  <si>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</si>
  <si>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</si>
  <si>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</si>
  <si>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</si>
  <si>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</si>
  <si>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</si>
  <si>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</si>
  <si>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</si>
  <si>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</si>
  <si>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</si>
  <si>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</si>
  <si>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</si>
  <si>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</si>
  <si>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</si>
  <si>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</si>
  <si>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</si>
  <si>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</si>
  <si>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</si>
  <si>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</si>
  <si>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</si>
  <si>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</si>
  <si>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</si>
  <si>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</si>
  <si>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</si>
  <si>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</si>
  <si>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</si>
  <si>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</si>
  <si>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</si>
  <si>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</si>
  <si>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</si>
  <si>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</si>
  <si>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</si>
  <si>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</si>
  <si>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</si>
  <si>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</si>
  <si>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</si>
  <si>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</si>
  <si>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</si>
  <si>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</si>
  <si>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</si>
  <si>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</si>
  <si>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</si>
  <si>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</si>
  <si>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</si>
  <si>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</si>
  <si>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</si>
  <si>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</si>
  <si>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</si>
  <si>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</si>
  <si>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</si>
  <si>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</si>
  <si>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</si>
  <si>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</si>
  <si>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</si>
  <si>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</si>
  <si>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</si>
  <si>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</si>
  <si>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</si>
  <si>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</si>
  <si>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</si>
  <si>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</si>
  <si>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</si>
  <si>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</si>
  <si>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</si>
  <si>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</si>
  <si>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</si>
  <si>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</si>
  <si>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</si>
  <si>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</si>
  <si>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</si>
  <si>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</si>
  <si>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</si>
  <si>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</si>
  <si>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</si>
  <si>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</si>
  <si>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</si>
  <si>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</si>
  <si>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</si>
  <si>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</si>
  <si>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</si>
  <si>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</si>
  <si>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</si>
  <si>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</si>
  <si>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</si>
  <si>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</si>
  <si>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</si>
  <si>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</si>
  <si>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</si>
  <si>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</si>
  <si>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</si>
  <si>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</si>
  <si>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</si>
  <si>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</si>
  <si>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</si>
  <si>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</si>
  <si>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</si>
  <si>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</si>
  <si>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</si>
  <si>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</si>
  <si>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</si>
  <si>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</si>
  <si>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</si>
  <si>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</si>
  <si>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</si>
  <si>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</si>
  <si>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</si>
  <si>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</si>
  <si>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</si>
  <si>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</si>
  <si>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</si>
  <si>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</si>
  <si>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</si>
  <si>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</si>
  <si>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</si>
  <si>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</si>
  <si>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</si>
  <si>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</si>
  <si>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</si>
  <si>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</si>
  <si>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</si>
  <si>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</si>
  <si>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</si>
  <si>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</si>
  <si>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</si>
  <si>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</si>
  <si>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</si>
  <si>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</si>
  <si>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</si>
  <si>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</si>
  <si>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</si>
  <si>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</si>
  <si>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</si>
  <si>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</si>
  <si>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</si>
  <si>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</si>
  <si>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</si>
  <si>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</si>
  <si>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</si>
  <si>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</si>
  <si>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</si>
  <si>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</si>
  <si>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</si>
  <si>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</si>
  <si>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</si>
  <si>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</si>
  <si>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</si>
  <si>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</si>
  <si>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</si>
  <si>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</si>
  <si>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</si>
  <si>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</si>
  <si>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</si>
  <si>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</si>
  <si>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</si>
  <si>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</si>
  <si>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</si>
  <si>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</si>
  <si>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</si>
  <si>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</si>
  <si>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</si>
  <si>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</si>
  <si>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</si>
  <si>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</si>
  <si>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</si>
  <si>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</si>
  <si>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</si>
  <si>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</si>
  <si>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</si>
  <si>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</si>
  <si>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</si>
  <si>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</si>
  <si>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</si>
  <si>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</si>
  <si>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</si>
  <si>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</si>
  <si>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</si>
  <si>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</si>
  <si>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</si>
  <si>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</si>
  <si>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</si>
  <si>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</si>
  <si>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</si>
  <si>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</si>
  <si>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</si>
  <si>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</si>
  <si>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</si>
  <si>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</si>
  <si>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</si>
  <si>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</si>
  <si>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</si>
  <si>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</si>
  <si>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</si>
  <si>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</si>
  <si>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</si>
  <si>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</si>
  <si>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</si>
  <si>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</si>
  <si>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</si>
  <si>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</si>
  <si>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</si>
  <si>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</si>
  <si>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</si>
  <si>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</si>
  <si>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</si>
  <si>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</si>
  <si>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</si>
  <si>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</si>
  <si>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</si>
  <si>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</si>
  <si>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</si>
  <si>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</si>
  <si>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</si>
  <si>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</si>
  <si>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</si>
  <si>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</si>
  <si>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</si>
  <si>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</si>
  <si>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</si>
  <si>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</si>
  <si>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</si>
  <si>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</si>
  <si>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</si>
  <si>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</si>
  <si>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</si>
  <si>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</si>
  <si>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</si>
  <si>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</si>
  <si>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</si>
  <si>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</si>
  <si>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</si>
  <si>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</si>
  <si>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</si>
  <si>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</si>
  <si>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</si>
  <si>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</si>
  <si>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</si>
  <si>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</si>
  <si>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</si>
  <si>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</si>
  <si>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</si>
  <si>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</si>
  <si>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</si>
  <si>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</si>
  <si>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</si>
  <si>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</si>
  <si>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</si>
  <si>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</si>
  <si>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</si>
  <si>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</si>
  <si>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</si>
  <si>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</si>
  <si>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</si>
  <si>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</si>
  <si>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</si>
  <si>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</si>
  <si>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</si>
  <si>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</si>
  <si>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</si>
  <si>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</si>
  <si>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</si>
  <si>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</si>
  <si>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</si>
  <si>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</si>
  <si>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</si>
  <si>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</si>
  <si>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</si>
  <si>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</si>
  <si>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</si>
  <si>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</si>
  <si>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</si>
  <si>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</si>
  <si>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</si>
  <si>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</si>
  <si>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</si>
  <si>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</si>
  <si>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</si>
  <si>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</si>
  <si>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</si>
  <si>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</si>
  <si>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</si>
  <si>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</si>
  <si>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</si>
  <si>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</si>
  <si>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</si>
  <si>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</si>
  <si>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</si>
  <si>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</si>
  <si>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</si>
  <si>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</si>
  <si>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</si>
  <si>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</si>
  <si>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</si>
  <si>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</si>
  <si>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</si>
  <si>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</si>
  <si>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</si>
  <si>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</si>
  <si>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</si>
  <si>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</si>
  <si>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</si>
  <si>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</si>
  <si>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</si>
  <si>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</si>
  <si>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</si>
  <si>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</si>
  <si>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</si>
  <si>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</si>
  <si>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</si>
  <si>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</si>
  <si>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</si>
  <si>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</si>
  <si>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</si>
  <si>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</si>
  <si>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</si>
  <si>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</si>
  <si>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</si>
  <si>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</si>
  <si>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</si>
  <si>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</si>
  <si>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</si>
  <si>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</si>
  <si>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</si>
  <si>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</si>
  <si>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</si>
  <si>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</si>
  <si>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</si>
  <si>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</si>
  <si>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</si>
  <si>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</si>
  <si>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</si>
  <si>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</si>
  <si>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</si>
  <si>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</si>
  <si>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</si>
  <si>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</si>
  <si>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</si>
  <si>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</si>
  <si>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</si>
  <si>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</si>
  <si>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</si>
  <si>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</si>
  <si>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</si>
  <si>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</si>
  <si>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</si>
  <si>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</si>
  <si>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</si>
  <si>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</si>
  <si>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</si>
  <si>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</si>
  <si>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</si>
  <si>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</si>
  <si>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</si>
  <si>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</si>
  <si>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</si>
  <si>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</si>
  <si>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</si>
  <si>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</si>
  <si>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</si>
  <si>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</si>
  <si>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</si>
  <si>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</si>
  <si>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</si>
  <si>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</si>
  <si>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</si>
  <si>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</si>
  <si>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</si>
  <si>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</si>
  <si>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</si>
  <si>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</si>
  <si>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</si>
  <si>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</si>
  <si>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</si>
  <si>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</si>
  <si>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</si>
  <si>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</si>
  <si>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</si>
  <si>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</si>
  <si>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</si>
  <si>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</si>
  <si>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</si>
  <si>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</si>
  <si>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</si>
  <si>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</si>
  <si>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</si>
  <si>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</si>
  <si>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</si>
  <si>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</si>
  <si>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</si>
  <si>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</si>
  <si>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</si>
  <si>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</si>
  <si>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</si>
  <si>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</si>
  <si>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</si>
  <si>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</si>
  <si>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</si>
  <si>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</si>
  <si>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</si>
  <si>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</si>
  <si>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</si>
  <si>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</si>
  <si>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</si>
  <si>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</si>
  <si>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</si>
  <si>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</si>
  <si>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</si>
  <si>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</si>
  <si>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</si>
  <si>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</si>
  <si>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</si>
  <si>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</si>
  <si>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</si>
  <si>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</si>
  <si>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</si>
  <si>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</si>
  <si>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</si>
  <si>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</si>
  <si>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</si>
  <si>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</si>
  <si>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</si>
  <si>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</si>
  <si>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</si>
  <si>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</si>
  <si>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</si>
  <si>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</si>
  <si>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</si>
  <si>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</si>
  <si>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</si>
  <si>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</si>
  <si>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</si>
  <si>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</si>
  <si>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</si>
  <si>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</si>
  <si>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</si>
  <si>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</si>
  <si>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</si>
  <si>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</si>
  <si>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</si>
  <si>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</si>
  <si>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</si>
  <si>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</si>
  <si>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</si>
  <si>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</si>
  <si>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</si>
  <si>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</si>
  <si>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</si>
  <si>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</si>
  <si>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</si>
  <si>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</si>
  <si>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</si>
  <si>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</si>
  <si>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</si>
  <si>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</si>
  <si>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</si>
  <si>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</si>
  <si>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</si>
  <si>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</si>
  <si>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</si>
  <si>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</si>
  <si>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</si>
  <si>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</si>
  <si>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</si>
  <si>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</si>
  <si>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</si>
  <si>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</si>
  <si>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</si>
  <si>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</si>
  <si>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</si>
  <si>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</si>
  <si>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</si>
  <si>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</si>
  <si>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</si>
  <si>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</si>
  <si>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</si>
  <si>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</si>
  <si>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</si>
  <si>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</si>
  <si>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</si>
  <si>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</si>
  <si>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</si>
  <si>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</si>
  <si>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</si>
  <si>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</si>
  <si>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</si>
  <si>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</si>
  <si>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</si>
  <si>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</si>
  <si>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</si>
  <si>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</si>
  <si>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</si>
  <si>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</si>
  <si>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</si>
  <si>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</si>
  <si>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</si>
  <si>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</si>
  <si>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</si>
  <si>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</si>
  <si>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</si>
  <si>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</si>
  <si>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</si>
  <si>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</si>
  <si>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</si>
  <si>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</si>
  <si>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</si>
  <si>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</si>
  <si>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</si>
  <si>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</si>
  <si>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</si>
  <si>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</si>
  <si>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</si>
  <si>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</si>
  <si>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</si>
  <si>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</si>
  <si>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</si>
  <si>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</si>
  <si>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</si>
  <si>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</si>
  <si>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</si>
  <si>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</si>
  <si>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</si>
  <si>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</si>
  <si>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</si>
  <si>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</si>
  <si>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</si>
  <si>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</si>
  <si>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</si>
  <si>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</si>
  <si>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</si>
  <si>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</si>
  <si>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</si>
  <si>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</si>
  <si>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</si>
  <si>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</si>
  <si>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</si>
  <si>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</si>
  <si>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</si>
  <si>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</si>
  <si>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</si>
  <si>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</si>
  <si>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</si>
  <si>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</si>
  <si>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</si>
  <si>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</si>
  <si>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</si>
  <si>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</si>
  <si>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</si>
  <si>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</si>
  <si>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</si>
  <si>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</si>
  <si>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</si>
  <si>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</si>
  <si>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</si>
  <si>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</si>
  <si>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</si>
  <si>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</si>
  <si>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</si>
  <si>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</si>
  <si>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</si>
  <si>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</si>
  <si>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</si>
  <si>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</si>
  <si>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</si>
  <si>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</si>
  <si>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</si>
  <si>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</si>
  <si>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</si>
  <si>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</si>
  <si>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</si>
  <si>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</si>
  <si>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</si>
  <si>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</si>
  <si>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</si>
  <si>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</si>
  <si>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</si>
  <si>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</si>
  <si>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</si>
  <si>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</si>
  <si>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</si>
  <si>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</si>
  <si>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</si>
  <si>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</si>
  <si>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</si>
  <si>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</si>
  <si>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</si>
  <si>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</si>
  <si>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</si>
  <si>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</si>
  <si>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</si>
  <si>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</si>
  <si>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</si>
  <si>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</si>
  <si>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</si>
  <si>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</si>
  <si>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</si>
  <si>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</si>
  <si>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</si>
  <si>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</si>
  <si>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</si>
  <si>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</si>
  <si>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</si>
  <si>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</si>
  <si>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</si>
  <si>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</si>
  <si>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</si>
  <si>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</si>
  <si>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</si>
  <si>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</si>
  <si>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</si>
  <si>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</si>
  <si>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</si>
  <si>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</si>
  <si>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</si>
  <si>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</si>
  <si>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</si>
  <si>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</si>
  <si>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</si>
  <si>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</si>
  <si>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</si>
  <si>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</si>
  <si>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</si>
  <si>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</si>
  <si>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</si>
  <si>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</si>
  <si>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</si>
  <si>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</si>
  <si>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</si>
  <si>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</si>
  <si>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</si>
  <si>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</si>
  <si>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</si>
  <si>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</si>
  <si>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</si>
  <si>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</si>
  <si>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</si>
  <si>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</si>
  <si>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</si>
  <si>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</si>
  <si>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</si>
  <si>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</si>
  <si>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</si>
  <si>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</si>
  <si>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</si>
  <si>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</si>
  <si>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</si>
  <si>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</si>
  <si>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</si>
  <si>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</si>
  <si>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</si>
  <si>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</si>
  <si>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</si>
  <si>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</si>
  <si>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</si>
  <si>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</si>
  <si>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</si>
  <si>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</si>
  <si>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</si>
  <si>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</si>
  <si>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</si>
  <si>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</si>
  <si>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</si>
  <si>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</si>
  <si>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</si>
  <si>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</si>
  <si>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</si>
  <si>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</si>
  <si>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</si>
  <si>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</si>
  <si>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</si>
  <si>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</si>
  <si>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</si>
  <si>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</si>
  <si>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</si>
  <si>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</si>
  <si>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</si>
  <si>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</si>
  <si>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</si>
  <si>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</si>
  <si>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</si>
  <si>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</si>
  <si>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</si>
  <si>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</si>
  <si>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</si>
  <si>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</si>
  <si>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</si>
  <si>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</si>
  <si>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</si>
  <si>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</si>
  <si>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</si>
  <si>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</si>
  <si>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</si>
  <si>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</si>
  <si>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</si>
  <si>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</si>
  <si>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</si>
  <si>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</si>
  <si>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</si>
  <si>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</si>
  <si>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</si>
  <si>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</si>
  <si>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</si>
  <si>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</si>
  <si>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</si>
  <si>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</si>
  <si>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</si>
  <si>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</si>
  <si>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</si>
  <si>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</si>
  <si>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</si>
  <si>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</si>
  <si>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</si>
  <si>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</si>
  <si>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</si>
  <si>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</si>
  <si>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</si>
  <si>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</si>
  <si>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</si>
  <si>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</si>
  <si>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</si>
  <si>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</si>
  <si>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</si>
  <si>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</si>
  <si>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</si>
  <si>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</si>
  <si>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</si>
  <si>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</si>
  <si>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</si>
  <si>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</si>
  <si>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</si>
  <si>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</si>
  <si>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</si>
  <si>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</si>
  <si>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</si>
  <si>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</si>
  <si>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</si>
  <si>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</si>
  <si>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</si>
  <si>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</si>
  <si>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</si>
  <si>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</si>
  <si>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</si>
  <si>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</si>
  <si>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</si>
  <si>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</si>
  <si>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</si>
  <si>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</si>
  <si>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</si>
  <si>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</si>
  <si>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</si>
  <si>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</si>
  <si>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</si>
  <si>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</si>
  <si>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</si>
  <si>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</si>
  <si>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</si>
  <si>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</si>
  <si>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</si>
  <si>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</si>
  <si>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</si>
  <si>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</si>
  <si>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</si>
  <si>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</si>
  <si>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</si>
  <si>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</si>
  <si>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</si>
  <si>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</si>
  <si>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</si>
  <si>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</si>
  <si>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</si>
  <si>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</si>
  <si>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</si>
  <si>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</si>
  <si>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</si>
  <si>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</si>
  <si>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</si>
  <si>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</si>
  <si>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</si>
  <si>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</si>
  <si>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</si>
  <si>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</si>
  <si>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</si>
  <si>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</si>
  <si>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</si>
  <si>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</si>
  <si>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</si>
  <si>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</si>
  <si>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</si>
  <si>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</si>
  <si>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</si>
  <si>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</si>
  <si>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</si>
  <si>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</si>
  <si>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</si>
  <si>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</si>
  <si>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</si>
  <si>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</si>
  <si>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</si>
  <si>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</si>
  <si>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</si>
  <si>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</si>
  <si>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</si>
  <si>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</si>
  <si>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</si>
  <si>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</si>
  <si>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</si>
  <si>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</si>
  <si>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</si>
  <si>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</si>
  <si>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</si>
  <si>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</si>
  <si>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</si>
  <si>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</si>
  <si>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</si>
  <si>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</si>
  <si>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</si>
  <si>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</si>
  <si>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</si>
  <si>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</si>
  <si>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</si>
  <si>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</si>
  <si>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</si>
  <si>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</si>
  <si>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</si>
  <si>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</si>
  <si>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</si>
  <si>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</si>
  <si>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</si>
  <si>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</si>
  <si>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</si>
  <si>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</si>
  <si>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</si>
  <si>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</si>
  <si>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</si>
  <si>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</si>
  <si>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</si>
  <si>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</si>
  <si>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</si>
  <si>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</si>
  <si>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</si>
  <si>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</si>
  <si>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</si>
  <si>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</si>
  <si>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</si>
  <si>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</si>
  <si>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</si>
  <si>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</si>
  <si>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</si>
  <si>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</si>
  <si>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</si>
  <si>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</si>
  <si>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</si>
  <si>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</si>
  <si>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</si>
  <si>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</si>
  <si>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</si>
  <si>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</si>
  <si>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</si>
  <si>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</si>
  <si>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</si>
  <si>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</si>
  <si>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</si>
  <si>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</si>
  <si>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</si>
  <si>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</si>
  <si>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</si>
  <si>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</si>
  <si>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</si>
  <si>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</si>
  <si>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</si>
  <si>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</si>
  <si>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</si>
  <si>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</si>
  <si>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</si>
  <si>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</si>
  <si>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</si>
  <si>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</si>
  <si>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</si>
  <si>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</si>
  <si>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</si>
  <si>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</si>
  <si>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</si>
  <si>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</si>
  <si>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</si>
  <si>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</si>
  <si>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</si>
  <si>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</si>
  <si>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</si>
  <si>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</si>
  <si>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</si>
  <si>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</si>
  <si>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</si>
  <si>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</si>
  <si>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</si>
  <si>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</si>
  <si>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</si>
  <si>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</si>
  <si>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</si>
  <si>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</si>
  <si>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</si>
  <si>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</si>
  <si>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</si>
  <si>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</si>
  <si>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</si>
  <si>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</si>
  <si>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</si>
  <si>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</si>
  <si>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</si>
  <si>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</si>
  <si>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</si>
  <si>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</si>
  <si>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</si>
  <si>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</si>
  <si>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</si>
  <si>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</si>
  <si>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</si>
  <si>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</si>
  <si>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</si>
  <si>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</si>
  <si>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</si>
  <si>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</si>
  <si>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</si>
  <si>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</si>
  <si>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</si>
  <si>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</si>
  <si>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</si>
  <si>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</si>
  <si>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</si>
  <si>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</si>
  <si>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</si>
  <si>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</si>
  <si>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</si>
  <si>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</si>
  <si>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</si>
  <si>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</si>
  <si>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</si>
  <si>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</si>
  <si>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</si>
  <si>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</si>
  <si>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</si>
  <si>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</si>
  <si>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</si>
  <si>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</si>
  <si>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</si>
  <si>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</si>
  <si>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</si>
  <si>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</si>
  <si>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</si>
  <si>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</si>
  <si>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</si>
  <si>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</si>
  <si>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</si>
  <si>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</si>
  <si>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</si>
  <si>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</si>
  <si>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</si>
  <si>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</si>
  <si>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</si>
  <si>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</si>
  <si>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</si>
  <si>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</si>
  <si>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</si>
  <si>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</si>
  <si>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</si>
  <si>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</si>
  <si>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</si>
  <si>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</si>
  <si>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</si>
  <si>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</si>
  <si>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</si>
  <si>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</si>
  <si>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</si>
  <si>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</si>
  <si>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</si>
  <si>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</si>
  <si>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</si>
  <si>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</si>
  <si>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</si>
  <si>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</si>
  <si>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</si>
  <si>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</si>
  <si>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</si>
  <si>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</si>
  <si>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</si>
  <si>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</si>
  <si>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</si>
  <si>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</si>
  <si>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</si>
  <si>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</si>
  <si>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</si>
  <si>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</si>
  <si>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</si>
  <si>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</si>
  <si>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</si>
  <si>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</si>
  <si>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</si>
  <si>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</si>
  <si>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</si>
  <si>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</si>
  <si>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</si>
  <si>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</si>
  <si>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</si>
  <si>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</si>
  <si>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</si>
  <si>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</si>
  <si>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</si>
  <si>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</si>
  <si>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</si>
  <si>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</si>
  <si>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</si>
  <si>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</si>
  <si>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</si>
  <si>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</si>
  <si>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</si>
  <si>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</si>
  <si>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</si>
  <si>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</si>
  <si>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</si>
  <si>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</si>
  <si>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</si>
  <si>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</si>
  <si>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</si>
  <si>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</si>
  <si>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</si>
  <si>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</si>
  <si>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</si>
  <si>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</si>
  <si>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</si>
  <si>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</si>
  <si>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</si>
  <si>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</si>
  <si>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</si>
  <si>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</si>
  <si>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</si>
  <si>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</si>
  <si>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</si>
  <si>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</si>
  <si>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</si>
  <si>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</si>
  <si>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</si>
  <si>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</si>
  <si>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</si>
  <si>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</si>
  <si>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</si>
  <si>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</si>
  <si>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</si>
  <si>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</si>
  <si>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</si>
  <si>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</si>
  <si>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</si>
  <si>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</si>
  <si>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</si>
  <si>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</si>
  <si>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</si>
  <si>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</si>
  <si>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</si>
  <si>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</si>
  <si>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</si>
  <si>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</si>
  <si>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</si>
  <si>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</si>
  <si>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</si>
  <si>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</si>
  <si>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</si>
  <si>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</si>
  <si>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</si>
  <si>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</si>
  <si>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</si>
  <si>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</si>
  <si>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</si>
  <si>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</si>
  <si>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</si>
  <si>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</si>
  <si>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</si>
  <si>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</si>
  <si>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</si>
  <si>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</si>
  <si>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</si>
  <si>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</si>
  <si>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</si>
  <si>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</si>
  <si>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</si>
  <si>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</si>
  <si>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</si>
  <si>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</si>
  <si>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</si>
  <si>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</si>
  <si>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</si>
  <si>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</si>
  <si>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</si>
  <si>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</si>
  <si>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</si>
  <si>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</si>
  <si>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</si>
  <si>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</si>
  <si>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</si>
  <si>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</si>
  <si>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</si>
  <si>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</si>
  <si>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</si>
  <si>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</si>
  <si>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</si>
  <si>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</si>
  <si>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</si>
  <si>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</si>
  <si>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</si>
  <si>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</si>
  <si>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</si>
  <si>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</si>
  <si>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</si>
  <si>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</si>
  <si>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</si>
  <si>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</si>
  <si>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</si>
  <si>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</si>
  <si>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</si>
  <si>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</si>
  <si>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</si>
  <si>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</si>
  <si>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</si>
  <si>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</si>
  <si>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</si>
  <si>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</si>
  <si>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</si>
  <si>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</si>
  <si>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</si>
  <si>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</si>
  <si>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</si>
  <si>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</si>
  <si>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</si>
  <si>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</si>
  <si>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</si>
  <si>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</si>
  <si>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</si>
  <si>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</si>
  <si>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</si>
  <si>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</si>
  <si>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</si>
  <si>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</si>
  <si>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</si>
  <si>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</si>
  <si>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</si>
  <si>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</si>
  <si>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</si>
  <si>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</si>
  <si>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</si>
  <si>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</si>
  <si>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</si>
  <si>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</si>
  <si>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</si>
  <si>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</si>
  <si>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</si>
  <si>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</si>
  <si>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</si>
  <si>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</si>
  <si>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</si>
  <si>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</si>
  <si>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</si>
  <si>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</si>
  <si>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</si>
  <si>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</si>
  <si>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</si>
  <si>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</si>
  <si>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</si>
  <si>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</si>
  <si>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</si>
  <si>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</si>
  <si>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</si>
  <si>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</si>
  <si>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</si>
  <si>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</si>
  <si>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</si>
  <si>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</si>
  <si>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</si>
  <si>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</si>
  <si>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</si>
  <si>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</si>
  <si>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</si>
  <si>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</si>
  <si>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</si>
  <si>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</si>
  <si>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</si>
  <si>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</si>
  <si>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</si>
  <si>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</si>
  <si>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</si>
  <si>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</si>
  <si>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</si>
  <si>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</si>
  <si>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</si>
  <si>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</si>
  <si>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</si>
  <si>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</si>
  <si>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</si>
  <si>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</si>
  <si>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</si>
  <si>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</si>
  <si>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</si>
  <si>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</si>
  <si>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</si>
  <si>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</si>
  <si>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</si>
  <si>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</si>
  <si>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</si>
  <si>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</si>
  <si>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</si>
  <si>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</si>
  <si>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</si>
  <si>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</si>
  <si>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</si>
  <si>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</si>
  <si>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</si>
  <si>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</si>
  <si>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</si>
  <si>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</si>
  <si>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</si>
  <si>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</si>
  <si>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</si>
  <si>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</si>
  <si>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</si>
  <si>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</si>
  <si>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</si>
  <si>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</si>
  <si>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</si>
  <si>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</si>
  <si>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</si>
  <si>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</si>
  <si>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</si>
  <si>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</si>
  <si>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</si>
  <si>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</si>
  <si>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</si>
  <si>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</si>
  <si>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</si>
  <si>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</si>
  <si>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</si>
  <si>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</si>
  <si>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</si>
  <si>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</si>
  <si>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</si>
  <si>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</si>
  <si>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</si>
  <si>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</si>
  <si>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</si>
  <si>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</si>
  <si>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</si>
  <si>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</si>
  <si>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</si>
  <si>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</si>
  <si>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</si>
  <si>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</si>
  <si>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</si>
  <si>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</si>
  <si>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</si>
  <si>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</si>
  <si>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</si>
  <si>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</si>
  <si>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</si>
  <si>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</si>
  <si>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</si>
  <si>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</si>
  <si>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</si>
  <si>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</si>
  <si>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</si>
  <si>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</si>
  <si>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</si>
  <si>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</si>
  <si>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</si>
  <si>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</si>
  <si>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</si>
  <si>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</si>
  <si>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</si>
  <si>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</si>
  <si>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</si>
  <si>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</si>
  <si>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</si>
  <si>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</si>
  <si>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</si>
  <si>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</si>
  <si>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</si>
  <si>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</si>
  <si>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</si>
  <si>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</si>
  <si>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</si>
  <si>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</si>
  <si>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</si>
  <si>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</si>
  <si>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</si>
  <si>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</si>
  <si>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</si>
  <si>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</si>
  <si>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</si>
  <si>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</si>
  <si>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</si>
  <si>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</si>
  <si>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</si>
  <si>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</si>
  <si>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</si>
  <si>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</si>
  <si>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</si>
  <si>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</si>
  <si>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</si>
  <si>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</si>
  <si>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</si>
  <si>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</si>
  <si>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</si>
  <si>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</si>
  <si>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</si>
  <si>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</si>
  <si>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</si>
  <si>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</si>
  <si>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</si>
  <si>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</si>
  <si>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</si>
  <si>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</si>
  <si>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</si>
  <si>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</si>
  <si>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</si>
  <si>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</si>
  <si>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</si>
  <si>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</si>
  <si>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</si>
  <si>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</si>
  <si>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</si>
  <si>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</si>
  <si>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</si>
  <si>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</si>
  <si>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</si>
  <si>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</si>
  <si>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</si>
  <si>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</si>
  <si>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</si>
  <si>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</si>
  <si>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</si>
  <si>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</si>
  <si>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</si>
  <si>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</si>
  <si>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</si>
  <si>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</si>
  <si>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</si>
  <si>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</si>
  <si>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</si>
  <si>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</si>
  <si>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</si>
  <si>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</si>
  <si>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</si>
  <si>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</si>
  <si>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</si>
  <si>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</si>
  <si>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</si>
  <si>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</si>
  <si>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</si>
  <si>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</si>
  <si>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</si>
  <si>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</si>
  <si>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</si>
  <si>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</si>
  <si>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</si>
  <si>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</si>
  <si>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</si>
  <si>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</si>
  <si>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</si>
  <si>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</si>
  <si>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</si>
  <si>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</si>
  <si>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</si>
  <si>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</si>
  <si>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</si>
  <si>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</si>
  <si>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</si>
  <si>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</si>
  <si>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</si>
  <si>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</si>
  <si>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</si>
  <si>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</si>
  <si>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</si>
  <si>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</si>
  <si>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</si>
  <si>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</si>
  <si>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</si>
  <si>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</si>
  <si>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</si>
  <si>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</si>
  <si>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</si>
  <si>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</si>
  <si>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</si>
  <si>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</si>
  <si>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</si>
  <si>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</si>
  <si>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</si>
  <si>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</si>
  <si>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</si>
  <si>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</si>
  <si>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</si>
  <si>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</si>
  <si>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</si>
  <si>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</si>
  <si>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</si>
  <si>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</si>
  <si>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</si>
  <si>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</si>
  <si>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</si>
  <si>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</si>
  <si>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</si>
  <si>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</si>
  <si>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</si>
  <si>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</si>
  <si>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</si>
  <si>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</si>
  <si>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</si>
  <si>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</si>
  <si>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</si>
  <si>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</si>
  <si>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</si>
  <si>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</si>
  <si>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</si>
  <si>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</si>
  <si>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</si>
  <si>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</si>
  <si>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</si>
  <si>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</si>
  <si>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</si>
  <si>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</si>
  <si>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</si>
  <si>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</si>
  <si>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</si>
  <si>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</si>
  <si>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</si>
  <si>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</si>
  <si>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</si>
  <si>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</si>
  <si>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</si>
  <si>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</si>
  <si>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</si>
  <si>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</si>
  <si>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</si>
  <si>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</si>
  <si>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</si>
  <si>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</si>
  <si>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</si>
  <si>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</si>
  <si>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</si>
  <si>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</si>
  <si>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</si>
  <si>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</si>
  <si>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</si>
  <si>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</si>
  <si>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</si>
  <si>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</si>
  <si>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</si>
  <si>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</si>
  <si>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</si>
  <si>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</si>
  <si>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</si>
  <si>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</si>
  <si>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</si>
  <si>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</si>
  <si>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</si>
  <si>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</si>
  <si>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</si>
  <si>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</si>
  <si>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</si>
  <si>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</si>
  <si>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</si>
  <si>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</si>
  <si>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</si>
  <si>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</si>
  <si>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</si>
  <si>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</si>
  <si>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</si>
  <si>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</si>
  <si>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</si>
  <si>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</si>
  <si>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</si>
  <si>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</si>
  <si>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</si>
  <si>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</si>
  <si>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</si>
  <si>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</si>
  <si>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</si>
  <si>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</si>
  <si>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</si>
  <si>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</si>
  <si>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</si>
  <si>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</si>
  <si>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</si>
  <si>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</si>
  <si>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</si>
  <si>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</si>
  <si>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</si>
  <si>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</si>
  <si>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</si>
  <si>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</si>
  <si>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</si>
  <si>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</si>
  <si>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</si>
  <si>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</si>
  <si>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</si>
  <si>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</si>
  <si>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</si>
  <si>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</si>
  <si>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</si>
  <si>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</si>
  <si>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</si>
  <si>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</si>
  <si>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</si>
  <si>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</si>
  <si>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</si>
  <si>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</si>
  <si>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</si>
  <si>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</si>
  <si>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</si>
  <si>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</si>
  <si>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</si>
  <si>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</si>
  <si>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</si>
  <si>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</si>
  <si>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</si>
  <si>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</si>
  <si>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</si>
  <si>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</si>
  <si>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</si>
  <si>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</si>
  <si>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</si>
  <si>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</si>
  <si>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</si>
  <si>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</si>
  <si>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</si>
  <si>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</si>
  <si>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</si>
  <si>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</si>
  <si>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</si>
  <si>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</si>
  <si>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</si>
  <si>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</si>
  <si>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</si>
  <si>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</si>
  <si>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</si>
  <si>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</si>
  <si>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</si>
  <si>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</si>
  <si>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</si>
  <si>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</si>
  <si>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</si>
  <si>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</si>
  <si>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</si>
  <si>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</si>
  <si>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</si>
  <si>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</si>
  <si>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</si>
  <si>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</si>
  <si>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</si>
  <si>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</si>
  <si>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</si>
  <si>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</si>
  <si>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</si>
  <si>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</si>
  <si>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</si>
  <si>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</si>
  <si>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</si>
  <si>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</si>
  <si>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</si>
  <si>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</si>
  <si>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</si>
  <si>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</si>
  <si>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</si>
  <si>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</si>
  <si>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</si>
  <si>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</si>
  <si>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</si>
  <si>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</si>
  <si>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</si>
  <si>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</si>
  <si>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</si>
  <si>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</si>
  <si>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</si>
  <si>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</si>
  <si>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</si>
  <si>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</si>
  <si>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</si>
  <si>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</si>
  <si>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</si>
  <si>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</si>
  <si>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</si>
  <si>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</si>
  <si>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</si>
  <si>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</si>
  <si>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</si>
  <si>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</si>
  <si>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</si>
  <si>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</si>
  <si>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</si>
  <si>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</si>
  <si>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</si>
  <si>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</si>
  <si>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</si>
  <si>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</si>
  <si>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</si>
  <si>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</si>
  <si>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</si>
  <si>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</si>
  <si>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</si>
  <si>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</si>
  <si>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</si>
  <si>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</si>
  <si>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</si>
  <si>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</si>
  <si>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</si>
  <si>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</si>
  <si>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</si>
  <si>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</si>
  <si>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</si>
  <si>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</si>
  <si>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</si>
  <si>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</si>
  <si>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</si>
  <si>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</si>
  <si>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</si>
  <si>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</si>
  <si>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</si>
  <si>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</si>
  <si>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</si>
  <si>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</si>
  <si>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</si>
  <si>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</si>
  <si>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</si>
  <si>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</si>
  <si>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</si>
  <si>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</si>
  <si>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</si>
  <si>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</si>
  <si>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</si>
  <si>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</si>
  <si>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</si>
  <si>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</si>
  <si>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</si>
  <si>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</si>
  <si>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</si>
  <si>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</si>
  <si>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</si>
  <si>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</si>
  <si>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</si>
  <si>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</si>
  <si>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</si>
  <si>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</si>
  <si>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</si>
  <si>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</si>
  <si>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</si>
  <si>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</si>
  <si>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</si>
  <si>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</si>
  <si>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</si>
  <si>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</si>
  <si>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</si>
  <si>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</si>
  <si>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</si>
  <si>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</si>
  <si>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</si>
  <si>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</si>
  <si>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</si>
  <si>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</si>
  <si>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</si>
  <si>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</si>
  <si>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</si>
  <si>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</si>
  <si>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</si>
  <si>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</si>
  <si>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</si>
  <si>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</si>
  <si>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</si>
  <si>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</si>
  <si>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</si>
  <si>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</si>
  <si>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</si>
  <si>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</si>
  <si>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</si>
  <si>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</si>
  <si>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</si>
  <si>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</si>
  <si>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</si>
  <si>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</si>
  <si>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</si>
  <si>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</si>
  <si>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</si>
  <si>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</si>
  <si>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</si>
  <si>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</si>
  <si>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</si>
  <si>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</si>
  <si>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</si>
  <si>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</si>
  <si>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</si>
  <si>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</si>
  <si>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</si>
  <si>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</si>
  <si>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</si>
  <si>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</si>
  <si>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</si>
  <si>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</si>
  <si>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</si>
  <si>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</si>
  <si>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</si>
  <si>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</si>
  <si>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</si>
  <si>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</si>
  <si>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</si>
  <si>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</si>
  <si>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</si>
  <si>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</si>
  <si>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</si>
  <si>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</si>
  <si>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</si>
  <si>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</si>
  <si>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</si>
  <si>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</si>
  <si>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</si>
  <si>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</si>
  <si>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</si>
  <si>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</si>
  <si>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</si>
  <si>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</si>
  <si>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</si>
  <si>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</si>
  <si>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</si>
  <si>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</si>
  <si>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</si>
  <si>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</si>
  <si>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</si>
  <si>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</si>
  <si>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</si>
  <si>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</si>
  <si>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</si>
  <si>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</si>
  <si>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</si>
  <si>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</si>
  <si>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</si>
  <si>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</si>
  <si>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</si>
  <si>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</si>
  <si>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</si>
  <si>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</si>
  <si>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</si>
  <si>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</si>
  <si>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</si>
  <si>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</si>
  <si>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</si>
  <si>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</si>
  <si>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</si>
  <si>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</si>
  <si>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</si>
  <si>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</si>
  <si>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</si>
  <si>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</si>
  <si>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</si>
  <si>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</si>
  <si>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</si>
  <si>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</si>
  <si>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</si>
  <si>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</si>
  <si>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</si>
  <si>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</si>
  <si>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</si>
  <si>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</si>
  <si>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</si>
  <si>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</si>
  <si>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</si>
  <si>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</si>
  <si>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</si>
  <si>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</si>
  <si>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</si>
  <si>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</si>
  <si>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</si>
  <si>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</si>
  <si>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</si>
  <si>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</si>
  <si>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</si>
  <si>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</si>
  <si>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</si>
  <si>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</si>
  <si>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</si>
  <si>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</si>
  <si>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</si>
  <si>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</si>
  <si>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</si>
  <si>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</si>
  <si>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</si>
  <si>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</si>
  <si>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</si>
  <si>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</si>
  <si>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</si>
  <si>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</si>
  <si>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</si>
  <si>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</si>
  <si>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</si>
  <si>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</si>
  <si>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</si>
  <si>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</si>
  <si>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</si>
  <si>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</si>
  <si>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</si>
  <si>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</si>
  <si>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</si>
  <si>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</si>
  <si>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</si>
  <si>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</si>
  <si>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</si>
  <si>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</si>
  <si>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</si>
  <si>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</si>
  <si>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</si>
  <si>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</si>
  <si>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</si>
  <si>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</si>
  <si>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</si>
  <si>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</si>
  <si>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</si>
  <si>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</si>
  <si>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</si>
  <si>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</si>
  <si>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</si>
  <si>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</si>
  <si>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</si>
  <si>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</si>
  <si>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</si>
  <si>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</si>
  <si>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</si>
  <si>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</si>
  <si>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</si>
  <si>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</si>
  <si>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</si>
  <si>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</si>
  <si>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</si>
  <si>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</si>
  <si>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</si>
  <si>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</si>
  <si>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</si>
  <si>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</si>
  <si>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</si>
  <si>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</si>
  <si>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</si>
  <si>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</si>
  <si>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</si>
  <si>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</si>
  <si>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</si>
  <si>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</si>
  <si>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</si>
  <si>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</si>
  <si>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</si>
  <si>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</si>
  <si>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</si>
  <si>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</si>
  <si>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</si>
  <si>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</si>
  <si>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</si>
  <si>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</si>
  <si>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</si>
  <si>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</si>
  <si>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</si>
  <si>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</si>
  <si>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</si>
  <si>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</si>
  <si>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</si>
  <si>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</si>
  <si>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</si>
  <si>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</si>
  <si>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</si>
  <si>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</si>
  <si>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</si>
  <si>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</si>
  <si>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</si>
  <si>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</si>
  <si>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</si>
  <si>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</si>
  <si>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</si>
  <si>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</si>
  <si>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</si>
  <si>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</si>
  <si>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</si>
  <si>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</si>
  <si>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</si>
  <si>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</si>
  <si>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</si>
  <si>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</si>
  <si>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</si>
  <si>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</si>
  <si>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</si>
  <si>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</si>
  <si>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</si>
  <si>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</si>
  <si>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</si>
  <si>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</si>
  <si>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</si>
  <si>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</si>
  <si>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</si>
  <si>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</si>
  <si>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</si>
  <si>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</si>
  <si>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</si>
  <si>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</si>
  <si>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</si>
  <si>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</si>
  <si>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</si>
  <si>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</si>
  <si>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</si>
  <si>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</si>
  <si>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</si>
  <si>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</si>
  <si>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</si>
  <si>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</si>
  <si>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</si>
  <si>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</si>
  <si>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</si>
  <si>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</si>
  <si>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</si>
  <si>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</si>
  <si>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</si>
  <si>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</si>
  <si>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</si>
  <si>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</si>
  <si>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</si>
  <si>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</si>
  <si>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</si>
  <si>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</si>
  <si>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</si>
  <si>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</si>
  <si>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</si>
  <si>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</si>
  <si>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</si>
  <si>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</si>
  <si>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</si>
  <si>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</si>
  <si>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</si>
  <si>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</si>
  <si>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</si>
  <si>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</si>
  <si>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</si>
  <si>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</si>
  <si>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</si>
  <si>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</si>
  <si>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</si>
  <si>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</si>
  <si>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</si>
  <si>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</si>
  <si>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</si>
  <si>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</si>
  <si>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</si>
  <si>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</si>
  <si>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</si>
  <si>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</si>
  <si>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</si>
  <si>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</si>
  <si>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</si>
  <si>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</si>
  <si>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</si>
  <si>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</si>
  <si>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</si>
  <si>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</si>
  <si>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</si>
  <si>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</si>
  <si>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</si>
  <si>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</si>
  <si>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</si>
  <si>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</si>
  <si>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</si>
  <si>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</si>
  <si>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</si>
  <si>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</si>
  <si>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</si>
  <si>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</si>
  <si>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</si>
  <si>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</si>
  <si>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</si>
  <si>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</si>
  <si>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</si>
  <si>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</si>
  <si>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</si>
  <si>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</si>
  <si>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</si>
  <si>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</si>
  <si>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</si>
  <si>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</si>
  <si>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</si>
  <si>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</si>
  <si>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</si>
  <si>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</si>
  <si>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</si>
  <si>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</si>
  <si>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</si>
  <si>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</si>
  <si>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</si>
  <si>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</si>
  <si>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</si>
  <si>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</si>
  <si>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</si>
  <si>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</si>
  <si>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</si>
  <si>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</si>
  <si>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</si>
  <si>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</si>
  <si>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</si>
  <si>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</si>
  <si>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</si>
  <si>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</si>
  <si>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</si>
  <si>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</si>
  <si>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</si>
  <si>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</si>
  <si>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</si>
  <si>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</si>
  <si>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</si>
  <si>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</si>
  <si>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</si>
  <si>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</si>
  <si>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</si>
  <si>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</si>
  <si>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</si>
  <si>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</si>
  <si>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</si>
  <si>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</si>
  <si>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</si>
  <si>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</si>
  <si>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</si>
  <si>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</si>
  <si>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</si>
  <si>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</si>
  <si>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</si>
  <si>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</si>
  <si>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</si>
  <si>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</si>
  <si>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</si>
  <si>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</si>
  <si>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</si>
  <si>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</si>
  <si>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</si>
  <si>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</si>
  <si>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</si>
  <si>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</si>
  <si>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</si>
  <si>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</si>
  <si>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</si>
  <si>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</si>
  <si>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</si>
  <si>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</si>
  <si>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</si>
  <si>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</si>
  <si>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</si>
  <si>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</si>
  <si>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</si>
  <si>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</si>
  <si>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</si>
  <si>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</si>
  <si>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</si>
  <si>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</si>
  <si>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</si>
  <si>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</si>
  <si>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</si>
  <si>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</si>
  <si>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</si>
  <si>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</si>
  <si>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</si>
  <si>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</si>
  <si>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</si>
  <si>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</si>
  <si>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</si>
  <si>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</si>
  <si>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</si>
  <si>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</si>
  <si>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</si>
  <si>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</si>
  <si>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</si>
  <si>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</si>
  <si>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</si>
  <si>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</si>
  <si>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</si>
  <si>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</si>
  <si>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</si>
  <si>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</si>
  <si>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</si>
  <si>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</si>
  <si>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</si>
  <si>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</si>
  <si>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</si>
  <si>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</si>
  <si>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</si>
  <si>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</si>
  <si>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</si>
  <si>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</si>
  <si>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</si>
  <si>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</si>
  <si>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</si>
  <si>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</si>
  <si>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</si>
  <si>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</si>
  <si>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</si>
  <si>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</si>
  <si>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</si>
  <si>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</si>
  <si>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</si>
  <si>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</si>
  <si>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</si>
  <si>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</si>
  <si>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</si>
  <si>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</si>
  <si>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</si>
  <si>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</si>
  <si>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</si>
  <si>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</si>
  <si>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</si>
  <si>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</si>
  <si>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</si>
  <si>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</si>
  <si>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</si>
  <si>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</si>
  <si>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</si>
  <si>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</si>
  <si>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</si>
  <si>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</si>
  <si>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</si>
  <si>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</si>
  <si>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</si>
  <si>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</si>
  <si>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</si>
  <si>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</si>
  <si>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</si>
  <si>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</si>
  <si>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</si>
  <si>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</si>
  <si>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</si>
  <si>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</si>
  <si>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</si>
  <si>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</si>
  <si>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</si>
  <si>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</si>
  <si>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</si>
  <si>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</si>
  <si>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</si>
  <si>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</si>
  <si>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</si>
  <si>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</si>
  <si>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</si>
  <si>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</si>
  <si>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</si>
  <si>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</si>
  <si>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</si>
  <si>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</si>
  <si>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</si>
  <si>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</si>
  <si>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</si>
  <si>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</si>
  <si>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</si>
  <si>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</si>
  <si>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</si>
  <si>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</si>
  <si>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</si>
  <si>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</si>
  <si>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</si>
  <si>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</si>
  <si>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</si>
  <si>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</si>
  <si>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</si>
  <si>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</si>
  <si>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</si>
  <si>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</si>
  <si>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</si>
  <si>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</si>
  <si>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</si>
  <si>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</si>
  <si>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</si>
  <si>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</si>
  <si>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</si>
  <si>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</si>
  <si>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</si>
  <si>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</si>
  <si>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</si>
  <si>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</si>
  <si>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</si>
  <si>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</si>
  <si>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</si>
  <si>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</si>
  <si>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</si>
  <si>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</si>
  <si>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</si>
  <si>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</si>
  <si>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</si>
  <si>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</si>
  <si>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</si>
  <si>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</si>
  <si>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</si>
  <si>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</si>
  <si>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</si>
  <si>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</si>
  <si>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</si>
  <si>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</si>
  <si>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</si>
  <si>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</si>
  <si>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</si>
  <si>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</si>
  <si>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</si>
  <si>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</si>
  <si>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</si>
  <si>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</si>
  <si>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</si>
  <si>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</si>
  <si>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</si>
  <si>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</si>
  <si>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</si>
  <si>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</si>
  <si>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</si>
  <si>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</si>
  <si>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</si>
  <si>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</si>
  <si>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</si>
  <si>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</si>
  <si>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</si>
  <si>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</si>
  <si>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</si>
  <si>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</si>
  <si>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</si>
  <si>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</si>
  <si>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</si>
  <si>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</si>
  <si>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</si>
  <si>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</si>
  <si>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</si>
  <si>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</si>
  <si>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</si>
  <si>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</si>
  <si>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</si>
  <si>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</si>
  <si>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</si>
  <si>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</si>
  <si>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</si>
  <si>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</si>
  <si>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</si>
  <si>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</si>
  <si>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</si>
  <si>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</si>
  <si>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</si>
  <si>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</si>
  <si>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</si>
  <si>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</si>
  <si>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</si>
  <si>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</si>
  <si>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</si>
  <si>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</si>
  <si>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</si>
  <si>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</si>
  <si>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</si>
  <si>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</si>
  <si>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</si>
  <si>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</si>
  <si>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</si>
  <si>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</si>
  <si>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</si>
  <si>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</si>
  <si>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</si>
  <si>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</si>
  <si>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</si>
  <si>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</si>
  <si>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</si>
  <si>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</si>
  <si>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</si>
  <si>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</si>
  <si>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</si>
  <si>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</si>
  <si>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</si>
  <si>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</si>
  <si>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</si>
  <si>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</si>
  <si>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</si>
  <si>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</si>
  <si>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</si>
  <si>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</si>
  <si>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</si>
  <si>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</si>
  <si>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</si>
  <si>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</si>
  <si>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</si>
  <si>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</si>
  <si>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</si>
  <si>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</si>
  <si>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</si>
  <si>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</si>
  <si>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</si>
  <si>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</si>
  <si>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</si>
  <si>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</si>
  <si>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</si>
  <si>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</si>
  <si>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</si>
  <si>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</si>
  <si>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</si>
  <si>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</si>
  <si>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</si>
  <si>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</si>
  <si>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</si>
  <si>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</si>
  <si>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</si>
  <si>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</si>
  <si>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</si>
  <si>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</si>
  <si>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</si>
  <si>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</si>
  <si>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</si>
  <si>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</si>
  <si>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</si>
  <si>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</si>
  <si>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</si>
  <si>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</si>
  <si>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</si>
  <si>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</si>
  <si>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</si>
  <si>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</si>
  <si>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</si>
  <si>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</si>
  <si>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</si>
  <si>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</si>
  <si>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</si>
  <si>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</si>
  <si>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</si>
  <si>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</si>
  <si>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</si>
  <si>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</si>
  <si>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</si>
  <si>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</si>
  <si>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</si>
  <si>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</si>
  <si>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</si>
  <si>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</si>
  <si>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</si>
  <si>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</si>
  <si>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</si>
  <si>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</si>
  <si>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</si>
  <si>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</si>
  <si>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</si>
  <si>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</si>
  <si>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</si>
  <si>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</si>
  <si>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</si>
  <si>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</si>
  <si>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</si>
  <si>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</si>
  <si>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</si>
  <si>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</si>
  <si>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</si>
  <si>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</si>
  <si>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</si>
  <si>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</si>
  <si>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</si>
  <si>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</si>
  <si>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</si>
  <si>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</si>
  <si>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</si>
  <si>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</si>
  <si>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</si>
  <si>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</si>
  <si>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</si>
  <si>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</si>
  <si>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</si>
  <si>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</si>
  <si>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</si>
  <si>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</si>
  <si>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</si>
  <si>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</si>
  <si>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</si>
  <si>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</si>
  <si>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</si>
  <si>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</si>
  <si>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</si>
  <si>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</si>
  <si>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</si>
  <si>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</si>
  <si>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</si>
  <si>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</si>
  <si>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</si>
  <si>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</si>
  <si>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</si>
  <si>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</si>
  <si>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</si>
  <si>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</si>
  <si>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</si>
  <si>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</si>
  <si>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</si>
  <si>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</si>
  <si>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</si>
  <si>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</si>
  <si>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</si>
  <si>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</si>
  <si>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</si>
  <si>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</si>
  <si>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</si>
  <si>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</si>
  <si>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</si>
  <si>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</si>
  <si>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</si>
  <si>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</si>
  <si>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</si>
  <si>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</si>
  <si>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</si>
  <si>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</si>
  <si>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</si>
  <si>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</si>
  <si>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</si>
  <si>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</si>
  <si>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</si>
  <si>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</si>
  <si>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</si>
  <si>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</si>
  <si>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</si>
  <si>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</si>
  <si>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</si>
  <si>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</si>
  <si>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</si>
  <si>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</si>
  <si>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</si>
  <si>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</si>
  <si>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</si>
  <si>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</si>
  <si>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</si>
  <si>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</si>
  <si>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</si>
  <si>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</si>
  <si>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</si>
  <si>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</si>
  <si>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</si>
  <si>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</si>
  <si>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</si>
  <si>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</si>
  <si>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</si>
  <si>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</si>
  <si>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</si>
  <si>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</si>
  <si>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</si>
  <si>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</si>
  <si>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</si>
  <si>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</si>
  <si>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</si>
  <si>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</si>
  <si>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</si>
  <si>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</si>
  <si>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</si>
  <si>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</si>
  <si>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</si>
  <si>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</si>
  <si>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</si>
  <si>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</si>
  <si>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</si>
  <si>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</si>
  <si>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</si>
  <si>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</si>
  <si>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</si>
  <si>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</si>
  <si>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</si>
  <si>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</si>
  <si>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</si>
  <si>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</si>
  <si>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</si>
  <si>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</si>
  <si>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</si>
  <si>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</si>
  <si>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</si>
  <si>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</si>
  <si>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</si>
  <si>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</si>
  <si>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</si>
  <si>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</si>
  <si>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</si>
  <si>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</si>
  <si>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</si>
  <si>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</si>
  <si>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</si>
  <si>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</si>
  <si>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</si>
  <si>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</si>
  <si>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</si>
  <si>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</si>
  <si>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</si>
  <si>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</si>
  <si>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</si>
  <si>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</si>
  <si>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</si>
  <si>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</si>
  <si>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</si>
  <si>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</si>
  <si>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</si>
  <si>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</si>
  <si>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</si>
  <si>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</si>
  <si>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</si>
  <si>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</si>
  <si>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</si>
  <si>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</si>
  <si>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</si>
  <si>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</si>
  <si>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</si>
  <si>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</si>
  <si>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</si>
  <si>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</si>
  <si>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</si>
  <si>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</si>
  <si>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</si>
  <si>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</si>
  <si>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</si>
  <si>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</si>
  <si>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</si>
  <si>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</si>
  <si>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</si>
  <si>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</si>
  <si>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</si>
  <si>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</si>
  <si>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</si>
  <si>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</si>
  <si>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</si>
  <si>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</si>
  <si>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</si>
  <si>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</si>
  <si>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</si>
  <si>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</si>
  <si>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</si>
  <si>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</si>
  <si>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</si>
  <si>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</si>
  <si>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</si>
  <si>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</si>
  <si>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</si>
  <si>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</si>
  <si>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</si>
  <si>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</si>
  <si>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</si>
  <si>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</si>
  <si>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</si>
  <si>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</si>
  <si>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</si>
  <si>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</si>
  <si>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</si>
  <si>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</si>
  <si>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</si>
  <si>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</si>
  <si>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</si>
  <si>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</si>
  <si>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</si>
  <si>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</si>
  <si>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</si>
  <si>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</si>
  <si>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</si>
  <si>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</si>
  <si>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</si>
  <si>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</si>
  <si>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</si>
  <si>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</si>
  <si>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</si>
  <si>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</si>
  <si>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</si>
  <si>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</si>
  <si>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</si>
  <si>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</si>
  <si>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</si>
  <si>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</si>
  <si>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</si>
  <si>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</si>
  <si>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</si>
  <si>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</si>
  <si>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</si>
  <si>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</si>
  <si>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</si>
  <si>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</si>
  <si>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</si>
  <si>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</si>
  <si>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</si>
  <si>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</si>
  <si>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</si>
  <si>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</si>
  <si>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</si>
  <si>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</si>
  <si>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</si>
  <si>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</si>
  <si>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</si>
  <si>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</si>
  <si>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</si>
  <si>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</si>
  <si>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</si>
  <si>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</si>
  <si>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</si>
  <si>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</si>
  <si>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</si>
  <si>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</si>
  <si>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</si>
  <si>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</si>
  <si>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</si>
  <si>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</si>
  <si>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</si>
  <si>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</si>
  <si>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</si>
  <si>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</si>
  <si>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</si>
  <si>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</si>
  <si>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</si>
  <si>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</si>
  <si>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</si>
  <si>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</si>
  <si>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</si>
  <si>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</si>
  <si>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</si>
  <si>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</si>
  <si>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</si>
  <si>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</si>
  <si>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</si>
  <si>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</si>
  <si>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</si>
  <si>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</si>
  <si>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</si>
  <si>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</si>
  <si>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</si>
  <si>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</si>
  <si>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</si>
  <si>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</si>
  <si>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</si>
  <si>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</si>
  <si>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</si>
  <si>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</si>
  <si>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</si>
  <si>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</si>
  <si>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</si>
  <si>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</si>
  <si>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</si>
  <si>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</si>
  <si>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</si>
  <si>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</si>
  <si>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</si>
  <si>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</si>
  <si>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</si>
  <si>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</si>
  <si>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</si>
  <si>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</si>
  <si>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</si>
  <si>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</si>
  <si>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</si>
  <si>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</si>
  <si>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</si>
  <si>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</si>
  <si>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</si>
  <si>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</si>
  <si>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</si>
  <si>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</si>
  <si>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</si>
  <si>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</si>
  <si>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</si>
  <si>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</si>
  <si>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</si>
  <si>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</si>
  <si>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</si>
  <si>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</si>
  <si>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</si>
  <si>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</si>
  <si>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</si>
  <si>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</si>
  <si>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</si>
  <si>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</si>
  <si>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</si>
  <si>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</si>
  <si>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</si>
  <si>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</si>
  <si>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</si>
  <si>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</si>
  <si>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</si>
  <si>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</si>
  <si>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</si>
  <si>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</si>
  <si>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</si>
  <si>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</si>
  <si>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</si>
  <si>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</si>
  <si>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</si>
  <si>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</si>
  <si>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</si>
  <si>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</si>
  <si>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</si>
  <si>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</si>
  <si>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</si>
  <si>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</si>
  <si>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</si>
  <si>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</si>
  <si>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</si>
  <si>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</si>
  <si>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</si>
  <si>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</si>
  <si>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</si>
  <si>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</si>
  <si>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</si>
  <si>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</si>
  <si>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</si>
  <si>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</si>
  <si>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</si>
  <si>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</si>
  <si>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</si>
  <si>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</si>
  <si>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</si>
  <si>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</si>
  <si>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</si>
  <si>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</si>
  <si>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</si>
  <si>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</si>
  <si>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</si>
  <si>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</si>
  <si>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</si>
  <si>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</si>
  <si>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</si>
  <si>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</si>
  <si>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</si>
  <si>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</si>
  <si>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</si>
  <si>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</si>
  <si>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</si>
  <si>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</si>
  <si>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</si>
  <si>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</si>
  <si>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</si>
  <si>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</si>
  <si>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</si>
  <si>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</si>
  <si>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</si>
  <si>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</si>
  <si>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</si>
  <si>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</si>
  <si>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</si>
  <si>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</si>
  <si>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</si>
  <si>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</si>
  <si>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</si>
  <si>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</si>
  <si>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</si>
  <si>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</si>
  <si>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</si>
  <si>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</si>
  <si>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</si>
  <si>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</si>
  <si>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</si>
  <si>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</si>
  <si>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</si>
  <si>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</si>
  <si>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</si>
  <si>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</si>
  <si>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</si>
  <si>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</si>
  <si>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</si>
  <si>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</si>
  <si>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</si>
  <si>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</si>
  <si>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</si>
  <si>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</si>
  <si>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</si>
  <si>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</si>
  <si>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</si>
  <si>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</si>
  <si>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</si>
  <si>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</si>
  <si>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</si>
  <si>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</si>
  <si>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</si>
  <si>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</si>
  <si>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</si>
  <si>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</si>
  <si>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</si>
  <si>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</si>
  <si>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</si>
  <si>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</si>
  <si>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</si>
  <si>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</si>
  <si>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</si>
  <si>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</si>
  <si>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</si>
  <si>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</si>
  <si>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</si>
  <si>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</si>
  <si>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</si>
  <si>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</si>
  <si>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</si>
  <si>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</si>
  <si>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</si>
  <si>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</si>
  <si>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</si>
  <si>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</si>
  <si>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</si>
  <si>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</si>
  <si>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</si>
  <si>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</si>
  <si>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</si>
  <si>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</si>
  <si>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</si>
  <si>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</si>
  <si>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</si>
  <si>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</si>
  <si>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</si>
  <si>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</si>
  <si>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</si>
  <si>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</si>
  <si>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</si>
  <si>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</si>
  <si>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</si>
  <si>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</si>
  <si>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</si>
  <si>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</si>
  <si>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</si>
  <si>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</si>
  <si>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</si>
  <si>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</si>
  <si>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</si>
  <si>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</si>
  <si>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</si>
  <si>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</si>
  <si>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</si>
  <si>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</si>
  <si>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</si>
  <si>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</si>
  <si>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</si>
  <si>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</si>
  <si>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</si>
  <si>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</si>
  <si>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</si>
  <si>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</si>
  <si>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</si>
  <si>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</si>
  <si>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</si>
  <si>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</si>
  <si>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</si>
  <si>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</si>
  <si>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</si>
  <si>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</si>
  <si>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</si>
  <si>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</si>
  <si>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</si>
  <si>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</si>
  <si>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</si>
  <si>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</si>
  <si>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</si>
  <si>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</si>
  <si>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</si>
  <si>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</si>
  <si>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</si>
  <si>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</si>
  <si>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</si>
  <si>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</si>
  <si>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</si>
  <si>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</si>
  <si>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</si>
  <si>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</si>
  <si>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</si>
  <si>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</si>
  <si>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</si>
  <si>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</si>
  <si>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</si>
  <si>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</si>
  <si>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</si>
  <si>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</si>
  <si>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</si>
  <si>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</si>
  <si>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</si>
  <si>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</si>
  <si>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</si>
  <si>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</si>
  <si>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</si>
  <si>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</si>
  <si>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</si>
  <si>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</si>
  <si>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</si>
  <si>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</si>
  <si>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</si>
  <si>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</si>
  <si>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</si>
  <si>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</si>
  <si>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</si>
  <si>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</si>
  <si>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</si>
  <si>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</si>
  <si>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</si>
  <si>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</si>
  <si>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</si>
  <si>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</si>
  <si>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</si>
  <si>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</si>
  <si>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</si>
  <si>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</si>
  <si>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</si>
  <si>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</si>
  <si>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</si>
  <si>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</si>
  <si>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</si>
  <si>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</si>
  <si>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</si>
  <si>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</si>
  <si>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</si>
  <si>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</si>
  <si>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</si>
  <si>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</si>
  <si>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</si>
  <si>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</si>
  <si>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</si>
  <si>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</si>
  <si>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</si>
  <si>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</si>
  <si>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</si>
  <si>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</si>
  <si>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</si>
  <si>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</si>
  <si>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</si>
  <si>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</si>
  <si>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</si>
  <si>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</si>
  <si>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</si>
  <si>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</si>
  <si>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</si>
  <si>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</si>
  <si>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</si>
  <si>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</si>
  <si>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</si>
  <si>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</si>
  <si>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</si>
  <si>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</si>
  <si>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</si>
  <si>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</si>
  <si>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</si>
  <si>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</si>
  <si>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</si>
  <si>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</si>
  <si>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</si>
  <si>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</si>
  <si>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</si>
  <si>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</si>
  <si>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</si>
  <si>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</si>
  <si>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</si>
  <si>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</si>
  <si>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</si>
  <si>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</si>
  <si>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</si>
  <si>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</si>
  <si>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</si>
  <si>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</si>
  <si>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</si>
  <si>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</si>
  <si>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</si>
  <si>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</si>
  <si>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</si>
  <si>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</si>
  <si>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</si>
  <si>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</si>
  <si>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</si>
  <si>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</si>
  <si>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</si>
  <si>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</si>
  <si>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</si>
  <si>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</si>
  <si>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</si>
  <si>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</si>
  <si>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</si>
  <si>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</si>
  <si>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</si>
  <si>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</si>
  <si>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</si>
  <si>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</si>
  <si>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</si>
  <si>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</si>
  <si>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</si>
  <si>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</si>
  <si>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</si>
  <si>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</si>
  <si>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</si>
  <si>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</si>
  <si>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</si>
  <si>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</si>
  <si>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</si>
  <si>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</si>
  <si>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</si>
  <si>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</si>
  <si>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</si>
  <si>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</si>
  <si>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</si>
  <si>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</si>
  <si>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</si>
  <si>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</si>
  <si>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</si>
  <si>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</si>
  <si>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</si>
  <si>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</si>
  <si>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</si>
  <si>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</si>
  <si>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</si>
  <si>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</si>
  <si>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</si>
  <si>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</si>
  <si>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</si>
  <si>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</si>
  <si>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</si>
  <si>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</si>
  <si>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</si>
  <si>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</si>
  <si>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</si>
  <si>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</si>
  <si>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</si>
  <si>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</si>
  <si>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</si>
  <si>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</si>
  <si>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</si>
  <si>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</si>
  <si>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</si>
  <si>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</si>
  <si>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</si>
  <si>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</si>
  <si>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</si>
  <si>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</si>
  <si>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</si>
  <si>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</si>
  <si>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</si>
  <si>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</si>
  <si>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</si>
  <si>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</si>
  <si>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</si>
  <si>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</si>
  <si>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</si>
  <si>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</si>
  <si>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</si>
  <si>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</si>
  <si>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</si>
  <si>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</si>
  <si>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</si>
  <si>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</si>
  <si>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</si>
  <si>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</si>
  <si>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</si>
  <si>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</si>
  <si>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</si>
  <si>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</si>
  <si>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</si>
  <si>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</si>
  <si>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</si>
  <si>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</si>
  <si>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</si>
  <si>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</si>
  <si>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</si>
  <si>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</si>
  <si>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</si>
  <si>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</si>
  <si>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</si>
  <si>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</si>
  <si>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</si>
  <si>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</si>
  <si>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</si>
  <si>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</si>
  <si>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</si>
  <si>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</si>
  <si>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</si>
  <si>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</si>
  <si>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</si>
  <si>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</si>
  <si>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</si>
  <si>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</si>
  <si>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</si>
  <si>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</si>
  <si>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</si>
  <si>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</si>
  <si>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</si>
  <si>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</si>
  <si>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</si>
  <si>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</si>
  <si>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</si>
  <si>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</si>
  <si>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</si>
  <si>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</si>
  <si>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</si>
  <si>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</si>
  <si>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</si>
  <si>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</si>
  <si>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</si>
  <si>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</si>
  <si>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</si>
  <si>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</si>
  <si>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</si>
  <si>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</si>
  <si>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</si>
  <si>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</si>
  <si>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</si>
  <si>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</si>
  <si>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</si>
  <si>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</si>
  <si>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</si>
  <si>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</si>
  <si>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</si>
  <si>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</si>
  <si>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</si>
  <si>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</si>
  <si>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</si>
  <si>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</si>
  <si>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</si>
  <si>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</si>
  <si>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</si>
  <si>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</si>
  <si>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</si>
  <si>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</si>
  <si>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</si>
  <si>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</si>
  <si>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</si>
  <si>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</si>
  <si>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</si>
  <si>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</si>
  <si>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</si>
  <si>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</si>
  <si>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</si>
  <si>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</si>
  <si>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</si>
  <si>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</si>
  <si>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</si>
  <si>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</si>
  <si>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</si>
  <si>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</si>
  <si>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</si>
  <si>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</si>
  <si>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</si>
  <si>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</si>
  <si>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</si>
  <si>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</si>
  <si>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</si>
  <si>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</si>
  <si>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</si>
  <si>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</si>
  <si>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</si>
  <si>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</si>
  <si>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</si>
  <si>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</si>
  <si>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</si>
  <si>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</si>
  <si>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</si>
  <si>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</si>
  <si>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</si>
  <si>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</si>
  <si>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</si>
  <si>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</si>
  <si>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</si>
  <si>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</si>
  <si>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</si>
  <si>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</si>
  <si>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</si>
  <si>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</si>
  <si>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</si>
  <si>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</si>
  <si>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</si>
  <si>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</si>
  <si>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</si>
  <si>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</si>
  <si>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</si>
  <si>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</si>
  <si>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</si>
  <si>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</si>
  <si>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</si>
  <si>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</si>
  <si>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</si>
  <si>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</si>
  <si>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</si>
  <si>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</si>
  <si>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</si>
  <si>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</si>
  <si>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</si>
  <si>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</si>
  <si>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</si>
  <si>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</si>
  <si>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</si>
  <si>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</si>
  <si>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</si>
  <si>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</si>
  <si>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</si>
  <si>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</si>
  <si>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</si>
  <si>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</si>
  <si>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</si>
  <si>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</si>
  <si>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</si>
  <si>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</si>
  <si>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</si>
  <si>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</si>
  <si>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</si>
  <si>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</si>
  <si>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</si>
  <si>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</si>
  <si>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</si>
  <si>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</si>
  <si>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</si>
  <si>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</si>
  <si>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</si>
  <si>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</si>
  <si>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</si>
  <si>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</si>
  <si>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</si>
  <si>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</si>
  <si>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</si>
  <si>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</si>
  <si>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</si>
  <si>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</si>
  <si>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</si>
  <si>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</si>
  <si>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</si>
  <si>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</si>
  <si>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</si>
  <si>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</si>
  <si>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</si>
  <si>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</si>
  <si>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</si>
  <si>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</si>
  <si>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</si>
  <si>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</si>
  <si>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</si>
  <si>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</si>
  <si>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</si>
  <si>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</si>
  <si>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</si>
  <si>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</si>
  <si>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</si>
  <si>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</si>
  <si>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</si>
  <si>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</si>
  <si>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</si>
  <si>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</si>
  <si>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</si>
  <si>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</si>
  <si>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</si>
  <si>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</si>
  <si>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</si>
  <si>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</si>
  <si>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</si>
  <si>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</si>
  <si>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</si>
  <si>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</si>
  <si>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</si>
  <si>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</si>
  <si>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</si>
  <si>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</si>
  <si>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</si>
  <si>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</si>
  <si>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</si>
  <si>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</si>
  <si>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</si>
  <si>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</si>
  <si>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</si>
  <si>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</si>
  <si>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</si>
  <si>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</si>
  <si>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</si>
  <si>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</si>
  <si>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</si>
  <si>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</si>
  <si>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</si>
  <si>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</si>
  <si>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</si>
  <si>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</si>
  <si>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</si>
  <si>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</si>
  <si>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</si>
  <si>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</si>
  <si>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</si>
  <si>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</si>
  <si>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</si>
  <si>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</si>
  <si>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</si>
  <si>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</si>
  <si>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</si>
  <si>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</si>
  <si>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</si>
  <si>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</si>
  <si>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</si>
  <si>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</si>
  <si>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</si>
  <si>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</si>
  <si>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</si>
  <si>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</si>
  <si>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</si>
  <si>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</si>
  <si>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</si>
  <si>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</si>
  <si>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</si>
  <si>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</si>
  <si>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</si>
  <si>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</si>
  <si>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</si>
  <si>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</si>
  <si>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</si>
  <si>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</si>
  <si>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</si>
  <si>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</si>
  <si>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</si>
  <si>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</si>
  <si>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</si>
  <si>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</si>
  <si>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</si>
  <si>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</si>
  <si>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</si>
  <si>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</si>
  <si>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</si>
  <si>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</si>
  <si>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</si>
  <si>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</si>
  <si>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</si>
  <si>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</si>
  <si>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</si>
  <si>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</si>
  <si>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</si>
  <si>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</si>
  <si>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</si>
  <si>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</si>
  <si>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</si>
  <si>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</si>
  <si>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</si>
  <si>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</si>
  <si>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</si>
  <si>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</si>
  <si>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</si>
  <si>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</si>
  <si>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</si>
  <si>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</si>
  <si>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</si>
  <si>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</si>
  <si>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</si>
  <si>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</si>
  <si>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</si>
  <si>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</si>
  <si>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</si>
  <si>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</si>
  <si>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</si>
  <si>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</si>
  <si>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</si>
  <si>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</si>
  <si>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</si>
  <si>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</si>
  <si>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</si>
  <si>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</si>
  <si>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</si>
  <si>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</si>
  <si>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</si>
  <si>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</si>
  <si>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</si>
  <si>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</si>
  <si>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</si>
  <si>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</si>
  <si>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</si>
  <si>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</si>
  <si>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</si>
  <si>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</si>
  <si>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</si>
  <si>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</si>
  <si>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</si>
  <si>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</si>
  <si>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</si>
  <si>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</si>
  <si>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</si>
  <si>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</si>
  <si>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</si>
  <si>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</si>
  <si>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</si>
  <si>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</si>
  <si>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</si>
  <si>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</si>
  <si>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</si>
  <si>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</si>
  <si>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</si>
  <si>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</si>
  <si>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</si>
  <si>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</si>
  <si>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</si>
  <si>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</si>
  <si>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</si>
  <si>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</si>
  <si>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</si>
  <si>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</si>
  <si>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</si>
  <si>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</si>
  <si>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</si>
  <si>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</si>
  <si>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</si>
  <si>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</si>
  <si>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</si>
  <si>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</si>
  <si>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</si>
  <si>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</si>
  <si>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</si>
  <si>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</si>
  <si>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</si>
  <si>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</si>
  <si>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</si>
  <si>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</si>
  <si>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</si>
  <si>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</si>
  <si>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</si>
  <si>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</si>
  <si>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</si>
  <si>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</si>
  <si>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</si>
  <si>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</si>
  <si>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</si>
  <si>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</si>
  <si>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</si>
  <si>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</si>
  <si>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</si>
  <si>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</si>
  <si>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</si>
  <si>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</si>
  <si>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</si>
  <si>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</si>
  <si>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</si>
  <si>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</si>
  <si>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</si>
  <si>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</si>
  <si>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</si>
  <si>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</si>
  <si>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</si>
  <si>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</si>
  <si>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</si>
  <si>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</si>
  <si>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</si>
  <si>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</si>
  <si>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</si>
  <si>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</si>
  <si>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</si>
  <si>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</si>
  <si>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</si>
  <si>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</si>
  <si>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</si>
  <si>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</si>
  <si>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</si>
  <si>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</si>
  <si>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</si>
  <si>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</si>
  <si>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</si>
  <si>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</si>
  <si>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</si>
  <si>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</si>
  <si>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</si>
  <si>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</si>
  <si>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</si>
  <si>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</si>
  <si>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</si>
  <si>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</si>
  <si>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</si>
  <si>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</si>
  <si>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</si>
  <si>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</si>
  <si>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</si>
  <si>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</si>
  <si>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</si>
  <si>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</si>
  <si>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</si>
  <si>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</si>
  <si>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</si>
  <si>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</si>
  <si>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</si>
  <si>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</si>
  <si>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</si>
  <si>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</si>
  <si>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</si>
  <si>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</si>
  <si>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</si>
  <si>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</si>
  <si>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</si>
  <si>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</si>
  <si>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</si>
  <si>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</si>
  <si>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</si>
  <si>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</si>
  <si>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</si>
  <si>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</si>
  <si>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</si>
  <si>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</si>
  <si>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</si>
  <si>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</si>
  <si>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</si>
  <si>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</si>
  <si>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</si>
  <si>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</si>
  <si>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</si>
  <si>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</si>
  <si>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</si>
  <si>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</si>
  <si>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</si>
  <si>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</si>
  <si>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</si>
  <si>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</si>
  <si>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</si>
  <si>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</si>
  <si>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</si>
  <si>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</si>
  <si>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</si>
  <si>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</si>
  <si>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</si>
  <si>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</si>
  <si>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</si>
  <si>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</si>
  <si>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</si>
  <si>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</si>
  <si>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</si>
  <si>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</si>
  <si>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</si>
  <si>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</si>
  <si>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</si>
  <si>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</si>
  <si>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</si>
  <si>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</si>
  <si>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</si>
  <si>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</si>
  <si>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</si>
  <si>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</si>
  <si>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</si>
  <si>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</si>
  <si>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</si>
  <si>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</si>
  <si>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</si>
  <si>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</si>
  <si>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</si>
  <si>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</si>
  <si>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</si>
  <si>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</si>
  <si>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</si>
  <si>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</si>
  <si>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</si>
  <si>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</si>
  <si>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</si>
  <si>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</si>
  <si>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</si>
  <si>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</si>
  <si>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</si>
  <si>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</si>
  <si>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</si>
  <si>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</si>
  <si>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</si>
  <si>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</si>
  <si>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</si>
  <si>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</si>
  <si>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</si>
  <si>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</si>
  <si>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</si>
  <si>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</si>
  <si>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</si>
  <si>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</si>
  <si>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</si>
  <si>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</si>
  <si>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</si>
  <si>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</si>
  <si>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</si>
  <si>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</si>
  <si>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</si>
  <si>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</si>
  <si>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</si>
  <si>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</si>
  <si>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</si>
  <si>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</si>
  <si>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</si>
  <si>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</si>
  <si>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</si>
  <si>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</si>
  <si>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</si>
  <si>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</si>
  <si>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</si>
  <si>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</si>
  <si>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</si>
  <si>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</si>
  <si>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</si>
  <si>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</si>
  <si>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</si>
  <si>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</si>
  <si>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</si>
  <si>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</si>
  <si>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</si>
  <si>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</si>
  <si>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</si>
  <si>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</si>
  <si>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</si>
  <si>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</si>
  <si>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</si>
  <si>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</si>
  <si>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</si>
  <si>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</si>
  <si>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</si>
  <si>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</si>
  <si>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</si>
  <si>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</si>
  <si>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</si>
  <si>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</si>
  <si>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</si>
  <si>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</si>
  <si>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</si>
  <si>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</si>
  <si>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</si>
  <si>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</si>
  <si>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</si>
  <si>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</si>
  <si>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</si>
  <si>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</si>
  <si>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</si>
  <si>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</si>
  <si>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</si>
  <si>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</si>
  <si>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</si>
  <si>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</si>
  <si>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</si>
  <si>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</si>
  <si>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</si>
  <si>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</si>
  <si>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</si>
  <si>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</si>
  <si>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</si>
  <si>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</si>
  <si>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</si>
  <si>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</si>
  <si>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</si>
  <si>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</si>
  <si>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</si>
  <si>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</si>
  <si>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</si>
  <si>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</si>
  <si>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</si>
  <si>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</si>
  <si>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</si>
  <si>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</si>
  <si>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</si>
  <si>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</si>
  <si>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</si>
  <si>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</si>
  <si>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</si>
  <si>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</si>
  <si>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</si>
  <si>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</si>
  <si>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</si>
  <si>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</si>
  <si>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</si>
  <si>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</si>
  <si>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</si>
  <si>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</si>
  <si>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</si>
  <si>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</si>
  <si>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</si>
  <si>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</si>
  <si>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</si>
  <si>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</si>
  <si>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</si>
  <si>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</si>
  <si>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</si>
  <si>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</si>
  <si>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</si>
  <si>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</si>
  <si>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</si>
  <si>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</si>
  <si>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</si>
  <si>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</si>
  <si>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</si>
  <si>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</si>
  <si>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</si>
  <si>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</si>
  <si>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</si>
  <si>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</si>
  <si>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</si>
  <si>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</si>
  <si>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</si>
  <si>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</si>
  <si>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</si>
  <si>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</si>
  <si>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</si>
  <si>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</si>
  <si>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</si>
  <si>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</si>
  <si>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</si>
  <si>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</si>
  <si>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</si>
  <si>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</si>
  <si>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</si>
  <si>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</si>
  <si>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</si>
  <si>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</si>
  <si>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</si>
  <si>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</si>
  <si>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</si>
  <si>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</si>
  <si>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</si>
  <si>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</si>
  <si>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</si>
  <si>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</si>
  <si>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</si>
  <si>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</si>
  <si>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</si>
  <si>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</si>
  <si>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</si>
  <si>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</si>
  <si>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</si>
  <si>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</si>
  <si>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</si>
  <si>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</si>
  <si>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</si>
  <si>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</si>
  <si>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</si>
  <si>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</si>
  <si>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</si>
  <si>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</si>
  <si>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</si>
  <si>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</si>
  <si>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</si>
  <si>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</si>
  <si>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</si>
  <si>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</si>
  <si>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</si>
  <si>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</si>
  <si>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</si>
  <si>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</si>
  <si>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</si>
  <si>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</si>
  <si>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</si>
  <si>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</si>
  <si>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</si>
  <si>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</si>
  <si>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</si>
  <si>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</si>
  <si>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</si>
  <si>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</si>
  <si>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</si>
  <si>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</si>
  <si>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</si>
  <si>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</si>
  <si>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</si>
  <si>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</si>
  <si>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</si>
  <si>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</si>
  <si>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</si>
  <si>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</si>
  <si>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</si>
  <si>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</si>
  <si>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</si>
  <si>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</si>
  <si>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</si>
  <si>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</si>
  <si>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</si>
  <si>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</si>
  <si>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</si>
  <si>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</si>
  <si>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</si>
  <si>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</si>
  <si>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</si>
  <si>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</si>
  <si>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</si>
  <si>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</si>
  <si>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</si>
  <si>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</si>
  <si>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</si>
  <si>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</si>
  <si>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</si>
  <si>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</si>
  <si>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</si>
  <si>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</si>
  <si>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</si>
  <si>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</si>
  <si>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</si>
  <si>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</si>
  <si>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</si>
  <si>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</si>
  <si>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</si>
  <si>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</si>
  <si>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</si>
  <si>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</si>
  <si>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</si>
  <si>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</si>
  <si>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</si>
  <si>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</si>
  <si>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</si>
  <si>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</si>
  <si>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</si>
  <si>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</si>
  <si>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</si>
  <si>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</si>
  <si>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</si>
  <si>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</si>
  <si>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</si>
  <si>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</si>
  <si>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</si>
  <si>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</si>
  <si>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</si>
  <si>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</si>
  <si>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</si>
  <si>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</si>
  <si>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</si>
  <si>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</si>
  <si>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</si>
  <si>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</si>
  <si>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</si>
  <si>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</si>
  <si>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</si>
  <si>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</si>
  <si>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</si>
  <si>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</si>
  <si>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</si>
  <si>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</si>
  <si>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</si>
  <si>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</si>
  <si>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</si>
  <si>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</si>
  <si>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</si>
  <si>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</si>
  <si>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</si>
  <si>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</si>
  <si>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</si>
  <si>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</si>
  <si>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</si>
  <si>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</si>
  <si>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</si>
  <si>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</si>
  <si>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</si>
  <si>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</si>
  <si>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</si>
  <si>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</si>
  <si>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</si>
  <si>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</si>
  <si>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</si>
  <si>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</si>
  <si>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</si>
  <si>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</si>
  <si>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</si>
  <si>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</si>
  <si>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</si>
  <si>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</si>
  <si>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</si>
  <si>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</si>
  <si>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</si>
  <si>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</si>
  <si>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</si>
  <si>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</si>
  <si>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</si>
  <si>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</si>
  <si>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</si>
  <si>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</si>
  <si>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</si>
  <si>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</si>
  <si>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</si>
  <si>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</si>
  <si>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</si>
  <si>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</si>
  <si>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</si>
  <si>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</si>
  <si>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</si>
  <si>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</si>
  <si>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</si>
  <si>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</si>
  <si>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</si>
  <si>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</si>
  <si>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</si>
  <si>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</si>
  <si>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</si>
  <si>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</si>
  <si>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</si>
  <si>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</si>
  <si>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</si>
  <si>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</si>
  <si>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</si>
  <si>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</si>
  <si>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</si>
  <si>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</si>
  <si>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</si>
  <si>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</si>
  <si>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</si>
  <si>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</si>
  <si>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</si>
  <si>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</si>
  <si>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</si>
  <si>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</si>
  <si>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</si>
  <si>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</si>
  <si>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</si>
  <si>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</si>
  <si>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</si>
  <si>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</si>
  <si>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</si>
  <si>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</si>
  <si>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</si>
  <si>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</si>
  <si>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</si>
  <si>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</si>
  <si>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</si>
  <si>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</si>
  <si>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</si>
  <si>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</si>
  <si>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</si>
  <si>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</si>
  <si>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</si>
  <si>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</si>
  <si>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</si>
  <si>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</si>
  <si>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</si>
  <si>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</si>
  <si>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</si>
  <si>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</si>
  <si>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</si>
  <si>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</si>
  <si>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</si>
  <si>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</si>
  <si>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</si>
  <si>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</si>
  <si>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</si>
  <si>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</si>
  <si>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</si>
  <si>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</si>
  <si>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</si>
  <si>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</si>
  <si>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</si>
  <si>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</si>
  <si>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</si>
  <si>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</si>
  <si>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</si>
  <si>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</si>
  <si>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</si>
  <si>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</si>
  <si>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</si>
  <si>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</si>
  <si>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</si>
  <si>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</si>
  <si>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</si>
  <si>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</si>
  <si>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</si>
  <si>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</si>
  <si>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</si>
  <si>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</si>
  <si>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</si>
  <si>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</si>
  <si>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</si>
  <si>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</si>
  <si>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</si>
  <si>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</si>
  <si>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</si>
  <si>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</si>
  <si>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</si>
  <si>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</si>
  <si>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</si>
  <si>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</si>
  <si>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</si>
  <si>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</si>
  <si>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</si>
  <si>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</si>
  <si>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</si>
  <si>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</si>
  <si>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</si>
  <si>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</si>
  <si>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</si>
  <si>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</si>
  <si>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</si>
  <si>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</si>
  <si>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</si>
  <si>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</si>
  <si>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</si>
  <si>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</si>
  <si>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</si>
  <si>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</si>
  <si>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</si>
  <si>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</si>
  <si>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</si>
  <si>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</si>
  <si>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</si>
  <si>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</si>
  <si>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</si>
  <si>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</si>
  <si>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</si>
  <si>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</si>
  <si>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</si>
  <si>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</si>
  <si>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</si>
  <si>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</si>
  <si>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</si>
  <si>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</si>
  <si>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</si>
  <si>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</si>
  <si>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</si>
  <si>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</si>
  <si>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</si>
  <si>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</si>
  <si>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</si>
  <si>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</si>
  <si>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</si>
  <si>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</si>
  <si>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</si>
  <si>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</si>
  <si>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</si>
  <si>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</si>
  <si>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</si>
  <si>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</si>
  <si>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</si>
  <si>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</si>
  <si>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</si>
  <si>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</si>
  <si>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</si>
  <si>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</si>
  <si>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</si>
  <si>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</si>
  <si>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</si>
  <si>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</si>
  <si>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</si>
  <si>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</si>
  <si>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</si>
  <si>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</si>
  <si>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</si>
  <si>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</si>
  <si>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</si>
  <si>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</si>
  <si>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</si>
  <si>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</si>
  <si>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</si>
  <si>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</si>
  <si>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</si>
  <si>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</si>
  <si>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</si>
  <si>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</si>
  <si>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</si>
  <si>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</si>
  <si>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</si>
  <si>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</si>
  <si>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</si>
  <si>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</si>
  <si>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</si>
  <si>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</si>
  <si>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</si>
  <si>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</si>
  <si>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</si>
  <si>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</si>
  <si>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</si>
  <si>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</si>
  <si>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</si>
  <si>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</si>
  <si>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</si>
  <si>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</si>
  <si>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</si>
  <si>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</si>
  <si>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</si>
  <si>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</si>
  <si>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</si>
  <si>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</si>
  <si>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</si>
  <si>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</si>
  <si>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</si>
  <si>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</si>
  <si>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</si>
  <si>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</si>
  <si>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</si>
  <si>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</si>
  <si>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</si>
  <si>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</si>
  <si>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</si>
  <si>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</si>
  <si>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</si>
  <si>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</si>
  <si>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</si>
  <si>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</si>
  <si>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</si>
  <si>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</si>
  <si>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</si>
  <si>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</si>
  <si>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</si>
  <si>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</si>
  <si>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</si>
  <si>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</si>
  <si>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</si>
  <si>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</si>
  <si>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</si>
  <si>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</si>
  <si>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</si>
  <si>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</si>
  <si>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</si>
  <si>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</si>
  <si>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</si>
  <si>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</si>
  <si>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</si>
  <si>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</si>
  <si>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</si>
  <si>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</si>
  <si>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</si>
  <si>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</si>
  <si>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</si>
  <si>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</si>
  <si>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</si>
  <si>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</si>
  <si>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</si>
  <si>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</si>
  <si>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</si>
  <si>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</si>
  <si>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</si>
  <si>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</si>
  <si>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</si>
  <si>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</si>
  <si>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</si>
  <si>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</si>
  <si>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</si>
  <si>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</si>
  <si>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</si>
  <si>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</si>
  <si>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</si>
  <si>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</si>
  <si>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</si>
  <si>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</si>
  <si>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</si>
  <si>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</si>
  <si>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</si>
  <si>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</si>
  <si>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</si>
  <si>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</si>
  <si>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</si>
  <si>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</si>
  <si>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</si>
  <si>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</si>
  <si>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</si>
  <si>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</si>
  <si>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</si>
  <si>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</si>
  <si>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</si>
  <si>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</si>
  <si>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</si>
  <si>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</si>
  <si>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</si>
  <si>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</si>
  <si>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</si>
  <si>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</si>
  <si>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</si>
  <si>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</si>
  <si>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</si>
  <si>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</si>
  <si>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</si>
  <si>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</si>
  <si>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</si>
  <si>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</si>
  <si>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</si>
  <si>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</si>
  <si>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</si>
  <si>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</si>
  <si>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</si>
  <si>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</si>
  <si>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</si>
  <si>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</si>
  <si>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</si>
  <si>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</si>
  <si>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</si>
  <si>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</si>
  <si>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</si>
  <si>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</si>
  <si>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</si>
  <si>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</si>
  <si>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</si>
  <si>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</si>
  <si>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</si>
  <si>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</si>
  <si>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</si>
  <si>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</si>
  <si>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</si>
  <si>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</si>
  <si>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</si>
  <si>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</si>
  <si>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</si>
  <si>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</si>
  <si>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</si>
  <si>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</si>
  <si>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</si>
  <si>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</si>
  <si>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</si>
  <si>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</si>
  <si>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</si>
  <si>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</si>
  <si>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</si>
  <si>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</si>
  <si>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</si>
  <si>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</si>
  <si>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</si>
  <si>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</si>
  <si>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</si>
  <si>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</si>
  <si>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</si>
  <si>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</si>
  <si>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</si>
  <si>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</si>
  <si>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</si>
  <si>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</si>
  <si>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</si>
  <si>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</si>
  <si>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</si>
  <si>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</si>
  <si>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</si>
  <si>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</si>
  <si>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</si>
  <si>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</si>
  <si>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</si>
  <si>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</si>
  <si>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</si>
  <si>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</si>
  <si>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</si>
  <si>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</si>
  <si>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</si>
  <si>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</si>
  <si>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</si>
  <si>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</si>
  <si>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</si>
  <si>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</si>
  <si>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</si>
  <si>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</si>
  <si>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</si>
  <si>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</si>
  <si>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</si>
  <si>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</si>
  <si>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</si>
  <si>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</si>
  <si>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</si>
  <si>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</si>
  <si>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</si>
  <si>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</si>
  <si>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</si>
  <si>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</si>
  <si>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</si>
  <si>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</si>
  <si>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</si>
  <si>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</si>
  <si>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</si>
  <si>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</si>
  <si>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</si>
  <si>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</si>
  <si>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</si>
  <si>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</si>
  <si>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</si>
  <si>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</si>
  <si>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</si>
  <si>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</si>
  <si>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</si>
  <si>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</si>
  <si>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</si>
  <si>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</si>
  <si>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</si>
  <si>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</si>
  <si>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</si>
  <si>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</si>
  <si>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</si>
  <si>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</si>
  <si>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</si>
  <si>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</si>
  <si>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</si>
  <si>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</si>
  <si>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</si>
  <si>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</si>
  <si>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</si>
  <si>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</si>
  <si>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</si>
  <si>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</si>
  <si>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</si>
  <si>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</si>
  <si>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</si>
  <si>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</si>
  <si>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</si>
  <si>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</si>
  <si>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</si>
  <si>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</si>
  <si>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</si>
  <si>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</si>
  <si>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</si>
  <si>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</si>
  <si>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</si>
  <si>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</si>
  <si>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</si>
  <si>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</si>
  <si>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</si>
  <si>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</si>
  <si>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</si>
  <si>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</si>
  <si>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</si>
  <si>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</si>
  <si>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</si>
  <si>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</si>
  <si>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</si>
  <si>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</si>
  <si>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</si>
  <si>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</si>
  <si>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</si>
  <si>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</si>
  <si>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</si>
  <si>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</si>
  <si>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</si>
  <si>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</si>
  <si>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</si>
  <si>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</si>
  <si>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</si>
  <si>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</si>
  <si>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</si>
  <si>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</si>
  <si>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</si>
  <si>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</si>
  <si>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</si>
  <si>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</si>
  <si>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</si>
  <si>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</si>
  <si>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</si>
  <si>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</si>
  <si>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</si>
  <si>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</si>
  <si>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</si>
  <si>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</si>
  <si>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</si>
  <si>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</si>
  <si>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</si>
  <si>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</si>
  <si>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</si>
  <si>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</si>
  <si>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</si>
  <si>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</si>
  <si>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</si>
  <si>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</si>
  <si>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</si>
  <si>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</si>
  <si>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</si>
  <si>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</si>
  <si>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</si>
  <si>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</si>
  <si>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</si>
  <si>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</si>
  <si>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</si>
  <si>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</si>
  <si>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</si>
  <si>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</si>
  <si>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</si>
  <si>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</si>
  <si>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</si>
  <si>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</si>
  <si>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</si>
  <si>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</si>
  <si>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</si>
  <si>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</si>
  <si>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</si>
  <si>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</si>
  <si>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</si>
  <si>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</si>
  <si>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</si>
  <si>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</si>
  <si>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</si>
  <si>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</si>
  <si>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</si>
  <si>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</si>
  <si>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</si>
  <si>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</si>
  <si>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</si>
  <si>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</si>
  <si>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</si>
  <si>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</si>
  <si>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</si>
  <si>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</si>
  <si>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</si>
  <si>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</si>
  <si>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</si>
  <si>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</si>
  <si>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</si>
  <si>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</si>
  <si>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</si>
  <si>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</si>
  <si>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</si>
  <si>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</si>
  <si>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</si>
  <si>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</si>
  <si>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</si>
  <si>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</si>
  <si>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</si>
  <si>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</si>
  <si>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</si>
  <si>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</si>
  <si>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</si>
  <si>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</si>
  <si>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</si>
  <si>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</si>
  <si>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</si>
  <si>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</si>
  <si>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</si>
  <si>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</si>
  <si>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</si>
  <si>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</si>
  <si>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</si>
  <si>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</si>
  <si>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</si>
  <si>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</si>
  <si>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</si>
  <si>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</si>
  <si>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</si>
  <si>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</si>
  <si>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</si>
  <si>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</si>
  <si>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</si>
  <si>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</si>
  <si>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</si>
  <si>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</si>
  <si>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</si>
  <si>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</si>
  <si>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</si>
  <si>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</si>
  <si>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</si>
  <si>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</si>
  <si>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</si>
  <si>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</si>
  <si>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</si>
  <si>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</si>
  <si>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</si>
  <si>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</si>
  <si>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</si>
  <si>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</si>
  <si>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</si>
  <si>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</si>
  <si>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</si>
  <si>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</si>
  <si>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</si>
  <si>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</si>
  <si>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</si>
  <si>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</si>
  <si>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</si>
  <si>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</si>
  <si>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</si>
  <si>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</si>
  <si>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</si>
  <si>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</si>
  <si>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</si>
  <si>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</si>
  <si>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</si>
  <si>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</si>
  <si>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</si>
  <si>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</si>
  <si>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</si>
  <si>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</si>
  <si>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</si>
  <si>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</si>
  <si>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</si>
  <si>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</si>
  <si>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</si>
  <si>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</si>
  <si>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</si>
  <si>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</si>
  <si>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</si>
  <si>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</si>
  <si>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</si>
  <si>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</si>
  <si>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</si>
  <si>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</si>
  <si>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</si>
  <si>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</si>
  <si>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</si>
  <si>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</si>
  <si>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</si>
  <si>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</si>
  <si>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</si>
  <si>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</si>
  <si>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</si>
  <si>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</si>
  <si>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</si>
  <si>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</si>
  <si>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</si>
  <si>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</si>
  <si>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</si>
  <si>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</si>
  <si>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</si>
  <si>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</si>
  <si>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</si>
  <si>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</si>
  <si>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</si>
  <si>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</si>
  <si>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</si>
  <si>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</si>
  <si>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</si>
  <si>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</si>
  <si>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</si>
  <si>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</si>
  <si>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</si>
  <si>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</si>
  <si>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</si>
  <si>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</si>
  <si>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</si>
  <si>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</si>
  <si>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</si>
  <si>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</si>
  <si>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</si>
  <si>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</si>
  <si>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</si>
  <si>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</si>
  <si>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</si>
  <si>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</si>
  <si>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</si>
  <si>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</si>
  <si>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</si>
  <si>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</si>
  <si>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</si>
  <si>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</si>
  <si>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</si>
  <si>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</si>
  <si>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</si>
  <si>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</si>
  <si>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</si>
  <si>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</si>
  <si>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</si>
  <si>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</si>
  <si>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</si>
  <si>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</si>
  <si>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</si>
  <si>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</si>
  <si>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</si>
  <si>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</si>
  <si>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</si>
  <si>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</si>
  <si>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</si>
  <si>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</si>
  <si>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</si>
  <si>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</si>
  <si>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</si>
  <si>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</si>
  <si>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</si>
  <si>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</si>
  <si>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</si>
  <si>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</si>
  <si>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</si>
  <si>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</si>
  <si>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</si>
  <si>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</si>
  <si>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</si>
  <si>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</si>
  <si>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</si>
  <si>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</si>
  <si>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</si>
  <si>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</si>
  <si>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</si>
  <si>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</si>
  <si>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</si>
  <si>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</si>
  <si>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</si>
  <si>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</si>
  <si>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</si>
  <si>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</si>
  <si>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</si>
  <si>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</si>
  <si>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</si>
  <si>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</si>
  <si>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</si>
  <si>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</si>
  <si>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</si>
  <si>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</si>
  <si>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</si>
  <si>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</si>
  <si>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</si>
  <si>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</si>
  <si>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</si>
  <si>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</si>
  <si>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</si>
  <si>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</si>
  <si>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</si>
  <si>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</si>
  <si>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</si>
  <si>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</si>
  <si>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</si>
  <si>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</si>
  <si>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</si>
  <si>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</si>
  <si>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</si>
  <si>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</si>
  <si>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</si>
  <si>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</si>
  <si>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</si>
  <si>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</si>
  <si>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</si>
  <si>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</si>
  <si>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</si>
  <si>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</si>
  <si>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</si>
  <si>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</si>
  <si>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</si>
  <si>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</si>
  <si>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</si>
  <si>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</si>
  <si>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</si>
  <si>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</si>
  <si>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</si>
  <si>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</si>
  <si>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</si>
  <si>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</si>
  <si>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</si>
  <si>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</si>
  <si>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</si>
  <si>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</si>
  <si>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</si>
  <si>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</si>
  <si>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</si>
  <si>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</si>
  <si>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</si>
  <si>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</si>
  <si>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</si>
  <si>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</si>
  <si>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</si>
  <si>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</si>
  <si>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</si>
  <si>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</si>
  <si>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</si>
  <si>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</si>
  <si>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</si>
  <si>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</si>
  <si>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</si>
  <si>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</si>
  <si>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</si>
  <si>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</si>
  <si>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</si>
  <si>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</si>
  <si>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</si>
  <si>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</si>
  <si>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</si>
  <si>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</si>
  <si>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</si>
  <si>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</si>
  <si>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</si>
  <si>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</si>
  <si>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</si>
  <si>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</si>
  <si>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</si>
  <si>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</si>
  <si>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</si>
  <si>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</si>
  <si>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</si>
  <si>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</si>
  <si>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</si>
  <si>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</si>
  <si>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</si>
  <si>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</si>
  <si>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</si>
  <si>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</si>
  <si>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</si>
  <si>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</si>
  <si>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</si>
  <si>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</si>
  <si>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</si>
  <si>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</si>
  <si>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</si>
  <si>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</si>
  <si>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</si>
  <si>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</si>
  <si>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</si>
  <si>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</si>
  <si>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</si>
  <si>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</si>
  <si>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</si>
  <si>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</si>
  <si>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</si>
  <si>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</si>
  <si>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</si>
  <si>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</si>
  <si>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</si>
  <si>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</si>
  <si>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</si>
  <si>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</si>
  <si>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</si>
  <si>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</si>
  <si>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</si>
  <si>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</si>
  <si>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</si>
  <si>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</si>
  <si>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</si>
  <si>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</si>
  <si>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</si>
  <si>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</si>
  <si>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</si>
  <si>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</si>
  <si>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</si>
  <si>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</si>
  <si>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</si>
  <si>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</si>
  <si>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</si>
  <si>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</si>
  <si>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</si>
  <si>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</si>
  <si>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</si>
  <si>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</si>
  <si>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</si>
  <si>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</si>
  <si>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</si>
  <si>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</si>
  <si>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</si>
  <si>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</si>
  <si>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</si>
  <si>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</si>
  <si>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</si>
  <si>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</si>
  <si>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</si>
  <si>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</si>
  <si>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</si>
  <si>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</si>
  <si>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</si>
  <si>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</si>
  <si>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</si>
  <si>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</si>
  <si>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</si>
  <si>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</si>
  <si>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</si>
  <si>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</si>
  <si>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</si>
  <si>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</si>
  <si>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</si>
  <si>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</si>
  <si>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</si>
  <si>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</si>
  <si>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</si>
  <si>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</si>
  <si>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</si>
  <si>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</si>
  <si>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</si>
  <si>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</si>
  <si>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</si>
  <si>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</si>
  <si>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</si>
  <si>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</si>
  <si>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</si>
  <si>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</si>
  <si>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</si>
  <si>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</si>
  <si>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</si>
  <si>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</si>
  <si>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</si>
  <si>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</si>
  <si>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</si>
  <si>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</si>
  <si>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</si>
  <si>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</si>
  <si>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</si>
  <si>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</si>
  <si>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</si>
  <si>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</si>
  <si>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</si>
  <si>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</si>
  <si>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</si>
  <si>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</si>
  <si>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</si>
  <si>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</si>
  <si>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</si>
  <si>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</si>
  <si>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</si>
  <si>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</si>
  <si>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</si>
  <si>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</si>
  <si>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</si>
  <si>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</si>
  <si>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</si>
  <si>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</si>
  <si>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</si>
  <si>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</si>
  <si>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</si>
  <si>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</si>
  <si>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</si>
  <si>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</si>
  <si>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</si>
  <si>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</si>
  <si>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</si>
  <si>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</si>
  <si>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</si>
  <si>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</si>
  <si>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</si>
  <si>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</si>
  <si>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</si>
  <si>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</si>
  <si>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</si>
  <si>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</si>
  <si>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</si>
  <si>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</si>
  <si>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</si>
  <si>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</si>
  <si>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</si>
  <si>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</si>
  <si>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</si>
  <si>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</si>
  <si>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</si>
  <si>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</si>
  <si>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</si>
  <si>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</si>
  <si>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</si>
  <si>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</si>
  <si>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</si>
  <si>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</si>
  <si>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</si>
  <si>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</si>
  <si>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</si>
  <si>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</si>
  <si>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</si>
  <si>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</si>
  <si>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</si>
  <si>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</si>
  <si>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</si>
  <si>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</si>
  <si>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</si>
  <si>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</si>
  <si>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</si>
  <si>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</si>
  <si>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</si>
  <si>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</si>
  <si>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</si>
  <si>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</si>
  <si>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</si>
  <si>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</si>
  <si>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</si>
  <si>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</si>
  <si>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</si>
  <si>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</si>
  <si>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</si>
  <si>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</si>
  <si>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</si>
  <si>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</si>
  <si>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</si>
  <si>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</si>
  <si>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</si>
  <si>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</si>
  <si>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</si>
  <si>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</si>
  <si>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</si>
  <si>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</si>
  <si>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</si>
  <si>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</si>
  <si>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</si>
  <si>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</si>
  <si>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</si>
  <si>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</si>
  <si>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</si>
  <si>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</si>
  <si>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</si>
  <si>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</si>
  <si>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</si>
  <si>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</si>
  <si>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</si>
  <si>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</si>
  <si>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</si>
  <si>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</si>
  <si>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</si>
  <si>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</si>
  <si>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</si>
  <si>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</si>
  <si>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</si>
  <si>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</si>
  <si>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</si>
  <si>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</si>
  <si>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</si>
  <si>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</si>
  <si>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</si>
  <si>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</si>
  <si>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</si>
  <si>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</si>
  <si>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</si>
  <si>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</si>
  <si>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</si>
  <si>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</si>
  <si>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</si>
  <si>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</si>
  <si>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</si>
  <si>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</si>
  <si>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</si>
  <si>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</si>
  <si>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</si>
  <si>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</si>
  <si>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</si>
  <si>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</si>
  <si>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</si>
  <si>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</si>
  <si>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</si>
  <si>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</si>
  <si>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</si>
  <si>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</si>
  <si>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</si>
  <si>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</si>
  <si>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</si>
  <si>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</si>
  <si>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</si>
  <si>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</si>
  <si>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</si>
  <si>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</si>
  <si>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</si>
  <si>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</si>
  <si>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</si>
  <si>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</si>
  <si>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</si>
  <si>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</si>
  <si>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</si>
  <si>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</si>
  <si>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</si>
  <si>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</si>
  <si>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</si>
  <si>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</si>
  <si>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</si>
  <si>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</si>
  <si>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</si>
  <si>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</si>
  <si>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</si>
  <si>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</si>
  <si>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</si>
  <si>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</si>
  <si>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</si>
  <si>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</si>
  <si>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</si>
  <si>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</si>
  <si>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</si>
  <si>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</si>
  <si>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</si>
  <si>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</si>
  <si>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</si>
  <si>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</si>
  <si>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</si>
  <si>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</si>
  <si>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</si>
  <si>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</si>
  <si>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</si>
  <si>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</si>
  <si>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</si>
  <si>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</si>
  <si>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</si>
  <si>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</si>
  <si>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</si>
  <si>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</si>
  <si>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</si>
  <si>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</si>
  <si>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</si>
  <si>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</si>
  <si>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</si>
  <si>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</si>
  <si>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</si>
  <si>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</si>
  <si>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</si>
  <si>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</si>
  <si>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</si>
  <si>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</si>
  <si>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</si>
  <si>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</si>
  <si>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</si>
  <si>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</si>
  <si>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</si>
  <si>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</si>
  <si>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</si>
  <si>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</si>
  <si>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</si>
  <si>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</si>
  <si>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</si>
  <si>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</si>
  <si>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</si>
  <si>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</si>
  <si>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</si>
  <si>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</si>
  <si>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</si>
  <si>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</si>
  <si>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</si>
  <si>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</si>
  <si>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</si>
  <si>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</si>
  <si>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</si>
  <si>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</si>
  <si>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</si>
  <si>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</si>
  <si>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</si>
  <si>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</si>
  <si>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</si>
  <si>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</si>
  <si>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</si>
  <si>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</si>
  <si>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</si>
  <si>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</si>
  <si>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</si>
  <si>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</si>
  <si>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</si>
  <si>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</si>
  <si>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</si>
  <si>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</si>
  <si>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</si>
  <si>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</si>
  <si>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</si>
  <si>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</si>
  <si>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</si>
  <si>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</si>
  <si>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</si>
  <si>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</si>
  <si>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</si>
  <si>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</si>
  <si>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</si>
  <si>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</si>
  <si>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</si>
  <si>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</si>
  <si>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</si>
  <si>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</si>
  <si>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</si>
  <si>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</si>
  <si>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</si>
  <si>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</si>
  <si>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</si>
  <si>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</si>
  <si>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</si>
  <si>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</si>
  <si>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</si>
  <si>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</si>
  <si>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</si>
  <si>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</si>
  <si>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</si>
  <si>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</si>
  <si>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</si>
  <si>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</si>
  <si>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</si>
  <si>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</si>
  <si>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</si>
  <si>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</si>
  <si>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</si>
  <si>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</si>
  <si>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</si>
  <si>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</si>
  <si>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</si>
  <si>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</si>
  <si>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</si>
  <si>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</si>
  <si>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</si>
  <si>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</si>
  <si>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</si>
  <si>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</si>
  <si>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</si>
  <si>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</si>
  <si>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</si>
  <si>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</si>
  <si>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</si>
  <si>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</si>
  <si>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</si>
  <si>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</si>
  <si>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</si>
  <si>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</si>
  <si>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</si>
  <si>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</si>
  <si>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</si>
  <si>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</si>
  <si>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</si>
  <si>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</si>
  <si>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</si>
  <si>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</si>
  <si>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</si>
  <si>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</si>
  <si>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</si>
  <si>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</si>
  <si>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</si>
  <si>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</si>
  <si>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</si>
  <si>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</si>
  <si>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</si>
  <si>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</si>
  <si>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</si>
  <si>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</si>
  <si>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</si>
  <si>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</si>
  <si>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</si>
  <si>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</si>
  <si>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</si>
  <si>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</si>
  <si>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</si>
  <si>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</si>
  <si>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</si>
  <si>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</si>
  <si>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</si>
  <si>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</si>
  <si>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</si>
  <si>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</si>
  <si>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</si>
  <si>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</si>
  <si>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</si>
  <si>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</si>
  <si>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</si>
  <si>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</si>
  <si>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</si>
  <si>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</si>
  <si>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</si>
  <si>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</si>
  <si>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</si>
  <si>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</si>
  <si>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</si>
  <si>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</si>
  <si>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</si>
  <si>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</si>
  <si>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</si>
  <si>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</si>
  <si>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</si>
  <si>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</si>
  <si>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</si>
  <si>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</si>
  <si>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</si>
  <si>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</si>
  <si>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</si>
  <si>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</si>
  <si>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</si>
  <si>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</si>
  <si>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</si>
  <si>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</si>
  <si>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</si>
  <si>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</si>
  <si>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</si>
  <si>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</si>
  <si>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</si>
  <si>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</si>
  <si>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</si>
  <si>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</si>
  <si>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</si>
  <si>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</si>
  <si>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</si>
  <si>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</si>
  <si>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</si>
  <si>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</si>
  <si>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</si>
  <si>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</si>
  <si>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</si>
  <si>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</si>
  <si>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</si>
  <si>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</si>
  <si>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</si>
  <si>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</si>
  <si>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</si>
  <si>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</si>
  <si>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</si>
  <si>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</si>
  <si>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</si>
  <si>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</si>
  <si>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</si>
  <si>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</si>
  <si>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</si>
  <si>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</si>
  <si>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</si>
  <si>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</si>
  <si>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</si>
  <si>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</si>
  <si>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</si>
  <si>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</si>
  <si>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</si>
  <si>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</si>
  <si>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</si>
  <si>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</si>
  <si>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</si>
  <si>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</si>
  <si>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</si>
  <si>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</si>
  <si>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</si>
  <si>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</si>
  <si>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</si>
  <si>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</si>
  <si>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</si>
  <si>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</si>
  <si>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</si>
  <si>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</si>
  <si>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</si>
  <si>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</si>
  <si>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</si>
  <si>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</si>
  <si>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</si>
  <si>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</si>
  <si>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</si>
  <si>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</si>
  <si>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</si>
  <si>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</si>
  <si>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</si>
  <si>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</si>
  <si>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</si>
  <si>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</si>
  <si>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</si>
  <si>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</si>
  <si>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</si>
  <si>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</si>
  <si>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</si>
  <si>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</si>
  <si>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</si>
  <si>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</si>
  <si>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</si>
  <si>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</si>
  <si>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</si>
  <si>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</si>
  <si>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</si>
  <si>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</si>
  <si>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</si>
  <si>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</si>
  <si>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</si>
  <si>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</si>
  <si>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</si>
  <si>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</si>
  <si>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</si>
  <si>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</si>
  <si>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</si>
  <si>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</si>
  <si>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</si>
  <si>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</si>
  <si>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</si>
  <si>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</si>
  <si>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</si>
  <si>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</si>
  <si>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</si>
  <si>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</si>
  <si>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</si>
  <si>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</si>
  <si>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</si>
  <si>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</si>
  <si>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</si>
  <si>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</si>
  <si>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</si>
  <si>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</si>
  <si>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</si>
  <si>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</si>
  <si>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</si>
  <si>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</si>
  <si>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</si>
  <si>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</si>
  <si>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</si>
  <si>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</si>
  <si>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</si>
  <si>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</si>
  <si>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</si>
  <si>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</si>
  <si>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</si>
  <si>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</si>
  <si>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</si>
  <si>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</si>
  <si>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</si>
  <si>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</si>
  <si>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</si>
  <si>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</si>
  <si>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</si>
  <si>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</si>
  <si>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</si>
  <si>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</si>
  <si>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</si>
  <si>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</si>
  <si>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</si>
  <si>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</si>
  <si>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</si>
  <si>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</si>
  <si>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</si>
  <si>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</si>
  <si>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</si>
  <si>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</si>
  <si>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</si>
  <si>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</si>
  <si>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</si>
  <si>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</si>
  <si>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</si>
  <si>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</si>
  <si>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</si>
  <si>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</si>
  <si>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</si>
  <si>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</si>
  <si>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</si>
  <si>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</si>
  <si>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</si>
  <si>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</si>
  <si>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</si>
  <si>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</si>
  <si>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</si>
  <si>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</si>
  <si>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</si>
  <si>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</si>
  <si>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</si>
  <si>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</si>
  <si>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</si>
  <si>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</si>
  <si>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</si>
  <si>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</si>
  <si>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</si>
  <si>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</si>
  <si>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</si>
  <si>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</si>
  <si>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</si>
  <si>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</si>
  <si>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</si>
  <si>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</si>
  <si>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</si>
  <si>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</si>
  <si>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</si>
  <si>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</si>
  <si>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</si>
  <si>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</si>
  <si>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</si>
  <si>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</si>
  <si>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</si>
  <si>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</si>
  <si>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</si>
  <si>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</si>
  <si>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</si>
  <si>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</si>
  <si>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</si>
  <si>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</si>
  <si>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</si>
  <si>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</si>
  <si>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</si>
  <si>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</si>
  <si>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</si>
  <si>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</si>
  <si>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</si>
  <si>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</si>
  <si>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</si>
  <si>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</si>
  <si>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</si>
  <si>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</si>
  <si>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</si>
  <si>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</si>
  <si>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</si>
  <si>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</si>
  <si>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</si>
  <si>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</si>
  <si>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</si>
  <si>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</si>
  <si>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</si>
  <si>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</si>
  <si>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</si>
  <si>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</si>
  <si>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</si>
  <si>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</si>
  <si>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</si>
  <si>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</si>
  <si>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</si>
  <si>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</si>
  <si>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</si>
  <si>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</si>
  <si>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</si>
  <si>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</si>
  <si>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</si>
  <si>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</si>
  <si>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</si>
  <si>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</si>
  <si>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</si>
  <si>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</si>
  <si>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</si>
  <si>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</si>
  <si>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</si>
  <si>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</si>
  <si>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</si>
  <si>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</si>
  <si>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</si>
  <si>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</si>
  <si>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</si>
  <si>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</si>
  <si>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</si>
  <si>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</si>
  <si>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</si>
  <si>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</si>
  <si>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</si>
  <si>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</si>
  <si>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</si>
  <si>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</si>
  <si>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</si>
  <si>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</si>
  <si>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</si>
  <si>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</si>
  <si>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</si>
  <si>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</si>
  <si>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</si>
  <si>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</si>
  <si>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</si>
  <si>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</si>
  <si>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</si>
  <si>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</si>
  <si>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</si>
  <si>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</si>
  <si>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</si>
  <si>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</si>
  <si>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</si>
  <si>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</si>
  <si>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</si>
  <si>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</si>
  <si>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</si>
  <si>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</si>
  <si>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</si>
  <si>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</si>
  <si>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</si>
  <si>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</si>
  <si>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</si>
  <si>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</si>
  <si>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</si>
  <si>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</si>
  <si>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</si>
  <si>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</si>
  <si>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</si>
  <si>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</si>
  <si>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</si>
  <si>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</si>
  <si>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</si>
  <si>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</si>
  <si>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</si>
  <si>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</si>
  <si>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</si>
  <si>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</si>
  <si>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</si>
  <si>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</si>
  <si>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</si>
  <si>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</si>
  <si>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</si>
  <si>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</si>
  <si>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</si>
  <si>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</si>
  <si>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</si>
  <si>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</si>
  <si>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</si>
  <si>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</si>
  <si>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</si>
  <si>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</si>
  <si>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</si>
  <si>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</si>
  <si>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</si>
  <si>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</si>
  <si>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</si>
  <si>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</si>
  <si>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</si>
  <si>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</si>
  <si>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</si>
  <si>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</si>
  <si>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</si>
  <si>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</si>
  <si>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</si>
  <si>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</si>
  <si>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</si>
  <si>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</si>
  <si>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</si>
  <si>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</si>
  <si>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</si>
  <si>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</si>
  <si>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</si>
  <si>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</si>
  <si>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</si>
  <si>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</si>
  <si>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</si>
  <si>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</si>
  <si>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</si>
  <si>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</si>
  <si>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</si>
  <si>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</si>
  <si>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</si>
  <si>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</si>
  <si>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</si>
  <si>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</si>
  <si>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</si>
  <si>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</si>
  <si>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</si>
  <si>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</si>
  <si>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</si>
  <si>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</si>
  <si>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</si>
  <si>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</si>
  <si>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</si>
  <si>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</si>
  <si>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</si>
  <si>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</si>
  <si>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</si>
  <si>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</si>
  <si>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</si>
  <si>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</si>
  <si>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</si>
  <si>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</si>
  <si>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</si>
  <si>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</si>
  <si>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</si>
  <si>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</si>
  <si>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</si>
  <si>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</si>
  <si>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</si>
  <si>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</si>
  <si>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</si>
  <si>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</si>
  <si>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</si>
  <si>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</si>
  <si>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</si>
  <si>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</si>
  <si>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</si>
  <si>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</si>
  <si>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</si>
  <si>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</si>
  <si>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</si>
  <si>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</si>
  <si>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</si>
  <si>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</si>
  <si>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</si>
  <si>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</si>
  <si>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</si>
  <si>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</si>
  <si>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</si>
  <si>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</si>
  <si>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</si>
  <si>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</si>
  <si>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</si>
  <si>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</si>
  <si>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</si>
  <si>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</si>
  <si>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</si>
  <si>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</si>
  <si>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</si>
  <si>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</si>
  <si>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</si>
  <si>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</si>
  <si>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</si>
  <si>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</si>
  <si>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</si>
  <si>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</si>
  <si>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</si>
  <si>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</si>
  <si>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</si>
  <si>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</si>
  <si>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</si>
  <si>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</si>
  <si>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</si>
  <si>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</si>
  <si>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</si>
  <si>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</si>
  <si>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</si>
  <si>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</si>
  <si>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</si>
  <si>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</si>
  <si>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</si>
  <si>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</si>
  <si>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</si>
  <si>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</si>
  <si>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</si>
  <si>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</si>
  <si>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</si>
  <si>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</si>
  <si>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</si>
  <si>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</si>
  <si>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</si>
  <si>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</si>
  <si>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</si>
  <si>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</si>
  <si>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</si>
  <si>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</si>
  <si>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</si>
  <si>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</si>
  <si>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</si>
  <si>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</si>
  <si>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</si>
  <si>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</si>
  <si>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</si>
  <si>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</si>
  <si>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</si>
  <si>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</si>
  <si>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</si>
  <si>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</si>
  <si>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</si>
  <si>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</si>
  <si>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</si>
  <si>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</si>
  <si>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</si>
  <si>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</si>
  <si>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</si>
  <si>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</si>
  <si>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</si>
  <si>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</si>
  <si>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</si>
  <si>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</si>
  <si>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</si>
  <si>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</si>
  <si>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</si>
  <si>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</si>
  <si>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</si>
  <si>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</si>
  <si>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</si>
  <si>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</si>
  <si>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</si>
  <si>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</si>
  <si>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</si>
  <si>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</si>
  <si>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</si>
  <si>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</si>
  <si>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</si>
  <si>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</si>
  <si>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</si>
  <si>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</si>
  <si>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</si>
  <si>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</si>
  <si>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</si>
  <si>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</si>
  <si>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</si>
  <si>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</si>
  <si>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</si>
  <si>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</si>
  <si>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</si>
  <si>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</si>
  <si>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</si>
  <si>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</si>
  <si>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</si>
  <si>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</si>
  <si>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</si>
  <si>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</si>
  <si>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</si>
  <si>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</si>
  <si>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</si>
  <si>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</si>
  <si>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</si>
  <si>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</si>
  <si>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</si>
  <si>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</si>
  <si>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</si>
  <si>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</si>
  <si>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</si>
  <si>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</si>
  <si>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</si>
  <si>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</si>
  <si>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</si>
  <si>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</si>
  <si>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</si>
  <si>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</si>
  <si>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</si>
  <si>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</si>
  <si>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</si>
  <si>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</si>
  <si>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</si>
  <si>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</si>
  <si>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</si>
  <si>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</si>
  <si>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</si>
  <si>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</si>
  <si>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</si>
  <si>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</si>
  <si>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</si>
  <si>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</si>
  <si>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</si>
  <si>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</si>
  <si>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</si>
  <si>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</si>
  <si>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</si>
  <si>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</si>
  <si>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</si>
  <si>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</si>
  <si>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</si>
  <si>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</si>
  <si>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</si>
  <si>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</si>
  <si>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</si>
  <si>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</si>
  <si>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</si>
  <si>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</si>
  <si>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</si>
  <si>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</si>
  <si>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</si>
  <si>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</si>
  <si>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</si>
  <si>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</si>
  <si>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</si>
  <si>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</si>
  <si>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</si>
  <si>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</si>
  <si>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</si>
  <si>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</si>
  <si>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</si>
  <si>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</si>
  <si>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</si>
  <si>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</si>
  <si>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</si>
  <si>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</si>
  <si>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</si>
  <si>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</si>
  <si>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</si>
  <si>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</si>
  <si>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</si>
  <si>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</si>
  <si>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</si>
  <si>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</si>
  <si>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</si>
  <si>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</si>
  <si>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</si>
  <si>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</si>
  <si>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</si>
  <si>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</si>
  <si>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</si>
  <si>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</si>
  <si>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</si>
  <si>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</si>
  <si>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</si>
  <si>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</si>
  <si>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</si>
  <si>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</si>
  <si>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</si>
  <si>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</si>
  <si>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</si>
  <si>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</si>
  <si>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</si>
  <si>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</si>
  <si>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</si>
  <si>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</si>
  <si>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</si>
  <si>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</si>
  <si>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</si>
  <si>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</si>
  <si>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</si>
  <si>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</si>
  <si>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</si>
  <si>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</si>
  <si>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</si>
  <si>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</si>
  <si>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</si>
  <si>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</si>
  <si>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</si>
  <si>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</si>
  <si>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</si>
  <si>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</si>
  <si>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</si>
  <si>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</si>
  <si>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</si>
  <si>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</si>
  <si>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</si>
  <si>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</si>
  <si>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</si>
  <si>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</si>
  <si>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</si>
  <si>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</si>
  <si>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</si>
  <si>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</si>
  <si>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</si>
  <si>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</si>
  <si>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</si>
  <si>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</si>
  <si>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</si>
  <si>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</si>
  <si>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</si>
  <si>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</si>
  <si>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</si>
  <si>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</si>
  <si>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</si>
  <si>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</si>
  <si>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</si>
  <si>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</si>
  <si>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</si>
  <si>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</si>
  <si>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</si>
  <si>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</si>
  <si>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</si>
  <si>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</si>
  <si>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</si>
  <si>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</si>
  <si>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</si>
  <si>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</si>
  <si>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</si>
  <si>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</si>
  <si>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</si>
  <si>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</si>
  <si>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</si>
  <si>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</si>
  <si>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</si>
  <si>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</si>
  <si>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</si>
  <si>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</si>
  <si>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</si>
  <si>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</si>
  <si>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</si>
  <si>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</si>
  <si>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</si>
  <si>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</si>
  <si>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</si>
  <si>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</si>
  <si>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</si>
  <si>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</si>
  <si>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</si>
  <si>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</si>
  <si>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</si>
  <si>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</si>
  <si>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</si>
  <si>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</si>
  <si>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</si>
  <si>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</si>
  <si>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</si>
  <si>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</si>
  <si>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</si>
  <si>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</si>
  <si>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</si>
  <si>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</si>
  <si>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</si>
  <si>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</si>
  <si>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</si>
  <si>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</si>
  <si>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</si>
  <si>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</si>
  <si>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</si>
  <si>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</si>
  <si>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</si>
  <si>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</si>
  <si>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</si>
  <si>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</si>
  <si>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</si>
  <si>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</si>
  <si>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</si>
  <si>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</si>
  <si>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</si>
  <si>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</si>
  <si>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</si>
  <si>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</si>
  <si>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</si>
  <si>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</si>
  <si>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</si>
  <si>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</si>
  <si>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</si>
  <si>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</si>
  <si>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</si>
  <si>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</si>
  <si>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</si>
  <si>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</si>
  <si>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</si>
  <si>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</si>
  <si>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</si>
  <si>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</si>
  <si>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</si>
  <si>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</si>
  <si>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</si>
  <si>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</si>
  <si>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</si>
  <si>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</si>
  <si>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</si>
  <si>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</si>
  <si>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</si>
  <si>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</si>
  <si>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</si>
  <si>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</si>
  <si>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</si>
  <si>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</si>
  <si>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</si>
  <si>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</si>
  <si>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</si>
  <si>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</si>
  <si>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</si>
  <si>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</si>
  <si>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</si>
  <si>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</si>
  <si>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</si>
  <si>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</si>
  <si>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</si>
  <si>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</si>
  <si>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</si>
  <si>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</si>
  <si>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</si>
  <si>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</si>
  <si>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</si>
  <si>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</si>
  <si>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</si>
  <si>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</si>
  <si>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</si>
  <si>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</si>
  <si>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</si>
  <si>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</si>
  <si>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</si>
  <si>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</si>
  <si>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</si>
  <si>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</si>
  <si>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</si>
  <si>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</si>
  <si>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</si>
  <si>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</si>
  <si>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</si>
  <si>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</si>
  <si>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</si>
  <si>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</si>
  <si>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</si>
  <si>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</si>
  <si>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</si>
  <si>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</si>
  <si>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</si>
  <si>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</si>
  <si>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</si>
  <si>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</si>
  <si>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</si>
  <si>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</si>
  <si>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</si>
  <si>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</si>
  <si>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</si>
  <si>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</si>
  <si>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</si>
  <si>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</si>
  <si>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</si>
  <si>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</si>
  <si>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</si>
  <si>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</si>
  <si>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</si>
  <si>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</si>
  <si>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</si>
  <si>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</si>
  <si>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</si>
  <si>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</si>
  <si>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</si>
  <si>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</si>
  <si>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</si>
  <si>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</si>
  <si>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</si>
  <si>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</si>
  <si>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</si>
  <si>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</si>
  <si>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</si>
  <si>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</si>
  <si>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</si>
  <si>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</si>
  <si>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</si>
  <si>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</si>
  <si>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</si>
  <si>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</si>
  <si>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</si>
  <si>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</si>
  <si>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</si>
  <si>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</si>
  <si>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</si>
  <si>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</si>
  <si>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</si>
  <si>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</si>
  <si>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</si>
  <si>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</si>
  <si>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</si>
  <si>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</si>
  <si>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</si>
  <si>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</si>
  <si>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</si>
  <si>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</si>
  <si>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</si>
  <si>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</si>
  <si>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</si>
  <si>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</si>
  <si>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</si>
  <si>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</si>
  <si>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</si>
  <si>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</si>
  <si>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</si>
  <si>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</si>
  <si>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</si>
  <si>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</si>
  <si>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</si>
  <si>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</si>
  <si>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</si>
  <si>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</si>
  <si>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</si>
  <si>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</si>
  <si>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</si>
  <si>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</si>
  <si>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</si>
  <si>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</si>
  <si>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</si>
  <si>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</si>
  <si>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</si>
  <si>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</si>
  <si>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</si>
  <si>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</si>
  <si>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</si>
  <si>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</si>
  <si>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</si>
  <si>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</si>
  <si>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</si>
  <si>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</si>
  <si>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</si>
  <si>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</si>
  <si>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</si>
  <si>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</si>
  <si>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</si>
  <si>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</si>
  <si>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</si>
  <si>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</si>
  <si>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</si>
  <si>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</si>
  <si>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</si>
  <si>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</si>
  <si>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</si>
  <si>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</si>
  <si>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</si>
  <si>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</si>
  <si>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</si>
  <si>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</si>
  <si>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</si>
  <si>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</si>
  <si>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</si>
  <si>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</si>
  <si>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</si>
  <si>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</si>
  <si>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</si>
  <si>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</si>
  <si>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</si>
  <si>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</si>
  <si>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</si>
  <si>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</si>
  <si>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</si>
  <si>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</si>
  <si>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</si>
  <si>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</si>
  <si>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</si>
  <si>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</si>
  <si>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</si>
  <si>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</si>
  <si>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</si>
  <si>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</si>
  <si>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</si>
  <si>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</si>
  <si>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</si>
  <si>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</si>
  <si>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</si>
  <si>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</si>
  <si>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</si>
  <si>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</si>
  <si>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</si>
  <si>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</si>
  <si>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</si>
  <si>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</si>
  <si>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</si>
  <si>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</si>
  <si>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</si>
  <si>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</si>
  <si>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</si>
  <si>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</si>
  <si>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</si>
  <si>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</si>
  <si>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</si>
  <si>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</si>
  <si>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</si>
  <si>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</si>
  <si>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</si>
  <si>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</si>
  <si>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</si>
  <si>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</si>
  <si>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</si>
  <si>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</si>
  <si>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</si>
  <si>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</si>
  <si>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</si>
  <si>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</si>
  <si>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</si>
  <si>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</si>
  <si>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</si>
  <si>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</si>
  <si>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</si>
  <si>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</si>
  <si>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</si>
  <si>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</si>
  <si>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</si>
  <si>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</si>
  <si>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</si>
  <si>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</si>
  <si>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</si>
  <si>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</si>
  <si>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</si>
  <si>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</si>
  <si>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</si>
  <si>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</si>
  <si>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</si>
  <si>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</si>
  <si>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</si>
  <si>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</si>
  <si>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</si>
  <si>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</si>
  <si>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</si>
  <si>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</si>
  <si>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</si>
  <si>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</si>
  <si>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</si>
  <si>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</si>
  <si>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</si>
  <si>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</si>
  <si>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</si>
  <si>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</si>
  <si>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</si>
  <si>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</si>
  <si>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</si>
  <si>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</si>
  <si>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</si>
  <si>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</si>
  <si>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</si>
  <si>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</si>
  <si>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</si>
  <si>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</si>
  <si>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</si>
  <si>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</si>
  <si>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</si>
  <si>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</si>
  <si>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</si>
  <si>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</si>
  <si>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</si>
  <si>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</si>
  <si>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</si>
  <si>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</si>
  <si>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</si>
  <si>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</si>
  <si>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</si>
  <si>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</si>
  <si>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</si>
  <si>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</si>
  <si>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</si>
  <si>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</si>
  <si>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</si>
  <si>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</si>
  <si>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</si>
  <si>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</si>
  <si>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</si>
  <si>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</si>
  <si>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</si>
  <si>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</si>
  <si>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</si>
  <si>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</si>
  <si>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</si>
  <si>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</si>
  <si>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</si>
  <si>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</si>
  <si>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</si>
  <si>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</si>
  <si>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</si>
  <si>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</si>
  <si>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</si>
  <si>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</si>
  <si>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</si>
  <si>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</si>
  <si>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</si>
  <si>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</si>
  <si>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</si>
  <si>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</si>
  <si>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</si>
  <si>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</si>
  <si>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</si>
  <si>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</si>
  <si>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</si>
  <si>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</si>
  <si>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</si>
  <si>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</si>
  <si>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</si>
  <si>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</si>
  <si>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</si>
  <si>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</si>
  <si>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</si>
  <si>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</si>
  <si>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</si>
  <si>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</si>
  <si>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</si>
  <si>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</si>
  <si>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</si>
  <si>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</si>
  <si>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</si>
  <si>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</si>
  <si>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</si>
  <si>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</si>
  <si>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</si>
  <si>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</si>
  <si>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</si>
  <si>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</si>
  <si>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</si>
  <si>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</si>
  <si>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</si>
  <si>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</si>
  <si>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</si>
  <si>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</si>
  <si>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</si>
  <si>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</si>
  <si>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</si>
  <si>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</si>
  <si>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</si>
  <si>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</si>
  <si>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</si>
  <si>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</si>
  <si>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</si>
  <si>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</si>
  <si>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</si>
  <si>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</si>
  <si>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</si>
  <si>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</si>
  <si>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</si>
  <si>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</si>
  <si>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</si>
  <si>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</si>
  <si>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</si>
  <si>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</si>
  <si>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</si>
  <si>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</si>
  <si>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</si>
  <si>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</si>
  <si>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</si>
  <si>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</si>
  <si>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</si>
  <si>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</si>
  <si>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</si>
  <si>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</si>
  <si>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</si>
  <si>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</si>
  <si>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</si>
  <si>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</si>
  <si>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</si>
  <si>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</si>
  <si>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</si>
  <si>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</si>
  <si>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</si>
  <si>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</si>
  <si>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</si>
  <si>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</si>
  <si>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</si>
  <si>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</si>
  <si>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</si>
  <si>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</si>
  <si>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</si>
  <si>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</si>
  <si>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</si>
  <si>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</si>
  <si>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</si>
  <si>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</si>
  <si>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</si>
  <si>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</si>
  <si>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</si>
  <si>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</si>
  <si>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</si>
  <si>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</si>
  <si>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</si>
  <si>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</si>
  <si>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</si>
  <si>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</si>
  <si>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</si>
  <si>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</si>
  <si>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</si>
  <si>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</si>
  <si>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</si>
  <si>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</si>
  <si>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</si>
  <si>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</si>
  <si>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</si>
  <si>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</si>
  <si>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</si>
  <si>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</si>
  <si>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</si>
  <si>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</si>
  <si>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</si>
  <si>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</si>
  <si>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</si>
  <si>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</si>
  <si>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</si>
  <si>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</si>
  <si>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</si>
  <si>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</si>
  <si>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</si>
  <si>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</si>
  <si>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</si>
  <si>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</si>
  <si>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</si>
  <si>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</si>
  <si>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</si>
  <si>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</si>
  <si>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</si>
  <si>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</si>
  <si>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</si>
  <si>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</si>
  <si>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</si>
  <si>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</si>
  <si>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</si>
  <si>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</si>
  <si>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</si>
  <si>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</si>
  <si>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</si>
  <si>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</si>
  <si>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</si>
  <si>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</si>
  <si>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</si>
  <si>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</si>
  <si>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</si>
  <si>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</si>
  <si>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</si>
  <si>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</si>
  <si>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</si>
  <si>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</si>
  <si>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</si>
  <si>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</si>
  <si>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</si>
  <si>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</si>
  <si>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</si>
  <si>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</si>
  <si>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</si>
  <si>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</si>
  <si>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</si>
  <si>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</si>
  <si>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</si>
  <si>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</si>
  <si>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</si>
  <si>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</si>
  <si>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</si>
  <si>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</si>
  <si>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</si>
  <si>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</si>
  <si>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</si>
  <si>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</si>
  <si>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</si>
  <si>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</si>
  <si>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</si>
  <si>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</si>
  <si>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</si>
  <si>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</si>
  <si>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</si>
  <si>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</si>
  <si>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</si>
  <si>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</si>
  <si>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</si>
  <si>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</si>
  <si>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</si>
  <si>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</si>
  <si>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</si>
  <si>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</si>
  <si>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</si>
  <si>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</si>
  <si>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</si>
  <si>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</si>
  <si>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</si>
  <si>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</si>
  <si>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</si>
  <si>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</si>
  <si>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</si>
  <si>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</si>
  <si>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</si>
  <si>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</si>
  <si>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</si>
  <si>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</si>
  <si>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</si>
  <si>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</si>
  <si>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</si>
  <si>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</si>
  <si>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</si>
  <si>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</si>
  <si>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</si>
  <si>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</si>
  <si>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</si>
  <si>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</si>
  <si>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</si>
  <si>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</si>
  <si>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</si>
  <si>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</si>
  <si>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</si>
  <si>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</si>
  <si>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</si>
  <si>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</si>
  <si>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</si>
  <si>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</si>
  <si>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</si>
  <si>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</si>
  <si>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</si>
  <si>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</si>
  <si>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</si>
  <si>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</si>
  <si>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</si>
  <si>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</si>
  <si>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</si>
  <si>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</si>
  <si>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</si>
  <si>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</si>
  <si>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</si>
  <si>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</si>
  <si>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</si>
  <si>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</si>
  <si>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</si>
  <si>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</si>
  <si>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</si>
  <si>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</si>
  <si>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</si>
  <si>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</si>
  <si>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</si>
  <si>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</si>
  <si>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</si>
  <si>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</si>
  <si>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</si>
  <si>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</si>
  <si>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</si>
  <si>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</si>
  <si>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</si>
  <si>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</si>
  <si>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</si>
  <si>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</si>
  <si>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</si>
  <si>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</si>
  <si>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</si>
  <si>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</si>
  <si>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</si>
  <si>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</si>
  <si>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</si>
  <si>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</si>
  <si>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</si>
  <si>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</si>
  <si>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</si>
  <si>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</si>
  <si>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</si>
  <si>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</si>
  <si>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</si>
  <si>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</si>
  <si>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</si>
  <si>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</si>
  <si>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</si>
  <si>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</si>
  <si>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</si>
  <si>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</si>
  <si>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</si>
  <si>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</si>
  <si>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</si>
  <si>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</si>
  <si>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</si>
  <si>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</si>
  <si>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</si>
  <si>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</si>
  <si>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</si>
  <si>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</si>
  <si>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</si>
  <si>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</si>
  <si>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</si>
  <si>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</si>
  <si>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</si>
  <si>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</si>
  <si>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</si>
  <si>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</si>
  <si>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</si>
  <si>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</si>
  <si>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</si>
  <si>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</si>
  <si>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</si>
  <si>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</si>
  <si>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</si>
  <si>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</si>
  <si>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</si>
  <si>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</si>
  <si>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</si>
  <si>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</si>
  <si>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</si>
  <si>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</si>
  <si>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</si>
  <si>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</si>
  <si>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</si>
  <si>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</si>
  <si>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</si>
  <si>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</si>
  <si>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</si>
  <si>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</si>
  <si>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</si>
  <si>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</si>
  <si>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</si>
  <si>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</si>
  <si>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</si>
  <si>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</si>
  <si>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</si>
  <si>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</si>
  <si>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</si>
  <si>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</si>
  <si>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</si>
  <si>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</si>
  <si>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</si>
  <si>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</si>
  <si>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</si>
  <si>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</si>
  <si>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</si>
  <si>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</si>
  <si>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</si>
  <si>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</si>
  <si>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</si>
  <si>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</si>
  <si>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</si>
  <si>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</si>
  <si>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</si>
  <si>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</si>
  <si>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</si>
  <si>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</si>
  <si>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</si>
  <si>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</si>
  <si>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</si>
  <si>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</si>
  <si>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</si>
  <si>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</si>
  <si>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</si>
  <si>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</si>
  <si>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</si>
  <si>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</si>
  <si>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</si>
  <si>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</si>
  <si>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</si>
  <si>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</si>
  <si>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</si>
  <si>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</si>
  <si>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</si>
  <si>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</si>
  <si>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</si>
  <si>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</si>
  <si>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</si>
  <si>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</si>
  <si>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</si>
  <si>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</si>
  <si>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</si>
  <si>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</si>
  <si>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</si>
  <si>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</si>
  <si>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</si>
  <si>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</si>
  <si>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</si>
  <si>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</si>
  <si>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</si>
  <si>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</si>
  <si>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</si>
  <si>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</si>
  <si>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</si>
  <si>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</si>
  <si>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</si>
  <si>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</si>
  <si>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</si>
  <si>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</si>
  <si>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</si>
  <si>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</si>
  <si>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</si>
  <si>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</si>
  <si>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</si>
  <si>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</si>
  <si>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</si>
  <si>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</si>
  <si>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</si>
  <si>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</si>
  <si>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</si>
  <si>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</si>
  <si>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</si>
  <si>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</si>
  <si>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</si>
  <si>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</si>
  <si>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</si>
  <si>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</si>
  <si>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</si>
  <si>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</si>
  <si>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</si>
  <si>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</si>
  <si>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</si>
  <si>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</si>
  <si>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</si>
  <si>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</si>
  <si>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</si>
  <si>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</si>
  <si>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</si>
  <si>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</si>
  <si>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</si>
  <si>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</si>
  <si>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</si>
  <si>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</si>
  <si>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</si>
  <si>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</si>
  <si>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</si>
  <si>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</si>
  <si>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</si>
  <si>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</si>
  <si>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</si>
  <si>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</si>
  <si>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</si>
  <si>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</si>
  <si>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</si>
  <si>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</si>
  <si>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</si>
  <si>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</si>
  <si>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</si>
  <si>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</si>
  <si>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</si>
  <si>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</si>
  <si>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</si>
  <si>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</si>
  <si>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</si>
  <si>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</si>
  <si>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</si>
  <si>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</si>
  <si>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</si>
  <si>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</si>
  <si>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</si>
  <si>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</si>
  <si>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</si>
  <si>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</si>
  <si>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</si>
  <si>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</si>
  <si>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</si>
  <si>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</si>
  <si>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</si>
  <si>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</si>
  <si>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</si>
  <si>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</si>
  <si>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</si>
  <si>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</si>
  <si>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</si>
  <si>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</si>
  <si>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</si>
  <si>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</si>
  <si>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</si>
  <si>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</si>
  <si>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</si>
  <si>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</si>
  <si>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</si>
  <si>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</si>
  <si>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</si>
  <si>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</si>
  <si>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</si>
  <si>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</si>
  <si>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</si>
  <si>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</si>
  <si>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</si>
  <si>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</si>
  <si>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</si>
  <si>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</si>
  <si>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</si>
  <si>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</si>
  <si>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</si>
  <si>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</si>
  <si>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</si>
  <si>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</si>
  <si>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</si>
  <si>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</si>
  <si>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</si>
  <si>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</si>
  <si>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</si>
  <si>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</si>
  <si>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</si>
  <si>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</si>
  <si>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</si>
  <si>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</si>
  <si>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</si>
  <si>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</si>
  <si>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</si>
  <si>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</si>
  <si>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</si>
  <si>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</si>
  <si>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</si>
  <si>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</si>
  <si>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</si>
  <si>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</si>
  <si>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</si>
  <si>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</si>
  <si>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</si>
  <si>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</si>
  <si>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</si>
  <si>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</si>
  <si>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</si>
  <si>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</si>
  <si>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</si>
  <si>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</si>
  <si>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</si>
  <si>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</si>
  <si>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</si>
  <si>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</si>
  <si>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</si>
  <si>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</si>
  <si>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</si>
  <si>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</si>
  <si>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</si>
  <si>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</si>
  <si>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</si>
  <si>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</si>
  <si>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</si>
  <si>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</si>
  <si>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</si>
  <si>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</si>
  <si>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</si>
  <si>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</si>
  <si>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</si>
  <si>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</si>
  <si>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</si>
  <si>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</si>
  <si>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</si>
  <si>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</si>
  <si>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</si>
  <si>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</si>
  <si>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</si>
  <si>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</si>
  <si>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</si>
  <si>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</si>
  <si>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</si>
  <si>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</si>
  <si>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</si>
  <si>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</si>
  <si>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</si>
  <si>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</si>
  <si>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</si>
  <si>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</si>
  <si>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</si>
  <si>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</si>
  <si>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</si>
  <si>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</si>
  <si>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</si>
  <si>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</si>
  <si>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</si>
  <si>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</si>
  <si>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</si>
  <si>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</si>
  <si>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</si>
  <si>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</si>
  <si>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</si>
  <si>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</si>
  <si>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</si>
  <si>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</si>
  <si>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</si>
  <si>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</si>
  <si>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</si>
  <si>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</si>
  <si>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</si>
  <si>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</si>
  <si>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</si>
  <si>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</si>
  <si>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</si>
  <si>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</si>
  <si>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</si>
  <si>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</si>
  <si>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</si>
  <si>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</si>
  <si>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</si>
  <si>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</si>
  <si>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</si>
  <si>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</si>
  <si>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</si>
  <si>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</si>
  <si>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</si>
  <si>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</si>
  <si>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</si>
  <si>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</si>
  <si>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</si>
  <si>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</si>
  <si>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</si>
  <si>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</si>
  <si>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</si>
  <si>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</si>
  <si>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</si>
  <si>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</si>
  <si>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</si>
  <si>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</si>
  <si>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</si>
  <si>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</si>
  <si>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</si>
  <si>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</si>
  <si>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</si>
  <si>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</si>
  <si>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</si>
  <si>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</si>
  <si>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</si>
  <si>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</si>
  <si>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</si>
  <si>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</si>
  <si>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</si>
  <si>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</si>
  <si>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</si>
  <si>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</si>
  <si>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</si>
  <si>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</si>
  <si>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</si>
  <si>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</si>
  <si>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</si>
  <si>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</si>
  <si>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</si>
  <si>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</si>
  <si>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</si>
  <si>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</si>
  <si>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</si>
  <si>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</si>
  <si>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</si>
  <si>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</si>
  <si>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</si>
  <si>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</si>
  <si>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</si>
  <si>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</si>
  <si>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</si>
  <si>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</si>
  <si>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</si>
  <si>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</si>
  <si>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</si>
  <si>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</si>
  <si>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</si>
  <si>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</si>
  <si>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</si>
  <si>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</si>
  <si>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</si>
  <si>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</si>
  <si>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</si>
  <si>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</si>
  <si>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</si>
  <si>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</si>
  <si>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</si>
  <si>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</si>
  <si>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</si>
  <si>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</si>
  <si>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</si>
  <si>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</si>
  <si>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</si>
  <si>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</si>
  <si>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</si>
  <si>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</si>
  <si>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</si>
  <si>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</si>
  <si>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</si>
  <si>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</si>
  <si>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</si>
  <si>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</si>
  <si>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</si>
  <si>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</si>
  <si>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</si>
  <si>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</si>
  <si>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</si>
  <si>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</si>
  <si>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</si>
  <si>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</si>
  <si>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</si>
  <si>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</si>
  <si>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</si>
  <si>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</si>
  <si>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</si>
  <si>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</si>
  <si>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</si>
  <si>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</si>
  <si>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</si>
  <si>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</si>
  <si>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</si>
  <si>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</si>
  <si>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</si>
  <si>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</si>
  <si>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</si>
  <si>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</si>
  <si>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</si>
  <si>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</si>
  <si>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</si>
  <si>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</si>
  <si>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</si>
  <si>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</si>
  <si>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</si>
  <si>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</si>
  <si>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</si>
  <si>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</si>
  <si>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</si>
  <si>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</si>
  <si>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</si>
  <si>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</si>
  <si>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</si>
  <si>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</si>
  <si>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</si>
  <si>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</si>
  <si>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</si>
  <si>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</si>
  <si>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</si>
  <si>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</si>
  <si>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</si>
  <si>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</si>
  <si>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</si>
  <si>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</si>
  <si>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</si>
  <si>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</si>
  <si>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</si>
  <si>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</si>
  <si>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</si>
  <si>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</si>
  <si>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</si>
  <si>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</si>
  <si>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</si>
  <si>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</si>
  <si>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</si>
  <si>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</si>
  <si>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</si>
  <si>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</si>
  <si>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</si>
  <si>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</si>
  <si>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</si>
  <si>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</si>
  <si>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</si>
  <si>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</si>
  <si>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</si>
  <si>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</si>
  <si>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</si>
  <si>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</si>
  <si>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</si>
  <si>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</si>
  <si>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</si>
  <si>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</si>
  <si>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</si>
  <si>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</si>
  <si>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</si>
  <si>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</si>
  <si>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</si>
  <si>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</si>
  <si>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</si>
  <si>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</si>
  <si>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</si>
  <si>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</si>
  <si>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</si>
  <si>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</si>
  <si>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</si>
  <si>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</si>
  <si>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</si>
  <si>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</si>
  <si>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</si>
  <si>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</si>
  <si>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</si>
  <si>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</si>
  <si>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</si>
  <si>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</si>
  <si>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</si>
  <si>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</si>
  <si>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</si>
  <si>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</si>
  <si>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</si>
  <si>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</si>
  <si>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</si>
  <si>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</si>
  <si>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</si>
  <si>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</si>
  <si>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</si>
  <si>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</si>
  <si>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</si>
  <si>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</si>
  <si>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</si>
  <si>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</si>
  <si>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</si>
  <si>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</si>
  <si>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</si>
  <si>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</si>
  <si>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</si>
  <si>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</si>
  <si>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</si>
  <si>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</si>
  <si>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</si>
  <si>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</si>
  <si>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</si>
  <si>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</si>
  <si>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</si>
  <si>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</si>
  <si>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</si>
  <si>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</si>
  <si>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</si>
  <si>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</si>
  <si>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</si>
  <si>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</si>
  <si>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</si>
  <si>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</si>
  <si>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</si>
  <si>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</si>
  <si>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</si>
  <si>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</si>
  <si>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</si>
  <si>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</si>
  <si>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</si>
  <si>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</si>
  <si>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</si>
  <si>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</si>
  <si>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</si>
  <si>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</si>
  <si>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</si>
  <si>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</si>
  <si>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</si>
  <si>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</si>
  <si>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</si>
  <si>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</si>
  <si>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</si>
  <si>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</si>
  <si>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</si>
  <si>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</si>
  <si>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</si>
  <si>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</si>
  <si>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</si>
  <si>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</si>
  <si>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</si>
  <si>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</si>
  <si>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</si>
  <si>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</si>
  <si>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</si>
  <si>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</si>
  <si>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</si>
  <si>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</si>
  <si>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</si>
  <si>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</si>
  <si>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</si>
  <si>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</si>
  <si>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</si>
  <si>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</si>
  <si>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</si>
  <si>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</si>
  <si>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</si>
  <si>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</si>
  <si>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</si>
  <si>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</si>
  <si>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</si>
  <si>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</si>
  <si>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</si>
  <si>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</si>
  <si>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</si>
  <si>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</si>
  <si>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</si>
  <si>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</si>
  <si>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</si>
  <si>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</si>
  <si>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</si>
  <si>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</si>
  <si>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</si>
  <si>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</si>
  <si>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</si>
  <si>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</si>
  <si>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</si>
  <si>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</si>
  <si>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</si>
  <si>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</si>
  <si>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</si>
  <si>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</si>
  <si>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</si>
  <si>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</si>
  <si>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</si>
  <si>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</si>
  <si>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</si>
  <si>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</si>
  <si>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</si>
  <si>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</si>
  <si>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</si>
  <si>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</si>
  <si>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</si>
  <si>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</si>
  <si>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</si>
  <si>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</si>
  <si>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</si>
  <si>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</si>
  <si>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</si>
  <si>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</si>
  <si>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</si>
  <si>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</si>
  <si>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</si>
  <si>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</si>
  <si>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</si>
  <si>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</si>
  <si>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</si>
  <si>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</si>
  <si>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</si>
  <si>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</si>
  <si>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</si>
  <si>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</si>
  <si>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</si>
  <si>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</si>
  <si>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</si>
  <si>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</si>
  <si>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</si>
  <si>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</si>
  <si>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</si>
  <si>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</si>
  <si>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</si>
  <si>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</si>
  <si>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</si>
  <si>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</si>
  <si>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</si>
  <si>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</si>
  <si>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</si>
  <si>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</si>
  <si>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</si>
  <si>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</si>
  <si>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</si>
  <si>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</si>
  <si>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</si>
  <si>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</si>
  <si>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</si>
  <si>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</si>
  <si>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</si>
  <si>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</si>
  <si>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</si>
  <si>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</si>
  <si>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</si>
  <si>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</si>
  <si>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</si>
  <si>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</si>
  <si>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</si>
  <si>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</si>
  <si>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</si>
  <si>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</si>
  <si>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</si>
  <si>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</si>
  <si>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</si>
  <si>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</si>
  <si>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</si>
  <si>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</si>
  <si>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</si>
  <si>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</si>
  <si>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</si>
  <si>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</si>
  <si>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</si>
  <si>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</si>
  <si>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</si>
  <si>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</si>
  <si>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</si>
  <si>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</si>
  <si>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</si>
  <si>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</si>
  <si>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</si>
  <si>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</si>
  <si>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</si>
  <si>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</si>
  <si>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</si>
  <si>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</si>
  <si>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</si>
  <si>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</si>
  <si>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</si>
  <si>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</si>
  <si>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</si>
  <si>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</si>
  <si>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</si>
  <si>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</si>
  <si>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</si>
  <si>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</si>
  <si>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</si>
  <si>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</si>
  <si>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</si>
  <si>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</si>
  <si>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</si>
  <si>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</si>
  <si>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</si>
  <si>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</si>
  <si>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</si>
  <si>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</si>
  <si>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</si>
  <si>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</si>
  <si>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</si>
  <si>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</si>
  <si>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</si>
  <si>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</si>
  <si>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</si>
  <si>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</si>
  <si>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</si>
  <si>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</si>
  <si>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</si>
  <si>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</si>
  <si>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</si>
  <si>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</si>
  <si>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</si>
  <si>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</si>
  <si>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</si>
  <si>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</si>
  <si>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</si>
  <si>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</si>
  <si>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</si>
  <si>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</si>
  <si>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</si>
  <si>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</si>
  <si>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</si>
  <si>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</si>
  <si>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</si>
  <si>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</si>
  <si>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</si>
  <si>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</si>
  <si>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</si>
  <si>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</si>
  <si>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</si>
  <si>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</si>
  <si>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</si>
  <si>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</si>
  <si>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</si>
  <si>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</si>
  <si>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</si>
  <si>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</si>
  <si>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</si>
  <si>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</si>
  <si>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</si>
  <si>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</si>
  <si>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</si>
  <si>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</si>
  <si>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</si>
  <si>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</si>
  <si>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</si>
  <si>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</si>
  <si>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</si>
  <si>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</si>
  <si>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</si>
  <si>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</si>
  <si>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</si>
  <si>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</si>
  <si>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</si>
  <si>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</si>
  <si>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</si>
  <si>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</si>
  <si>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</si>
  <si>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</si>
  <si>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</si>
  <si>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</si>
  <si>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</si>
  <si>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</si>
  <si>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</si>
  <si>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</si>
  <si>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</si>
  <si>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</si>
  <si>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</si>
  <si>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</si>
  <si>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</si>
  <si>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</si>
  <si>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</si>
  <si>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</si>
  <si>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</si>
  <si>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</si>
  <si>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</si>
  <si>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</si>
  <si>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</si>
  <si>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</si>
  <si>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</si>
  <si>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</si>
  <si>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</si>
  <si>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</si>
  <si>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</si>
  <si>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</si>
  <si>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</si>
  <si>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</si>
  <si>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</si>
  <si>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</si>
  <si>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</si>
  <si>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</si>
  <si>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</si>
  <si>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</si>
  <si>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</si>
  <si>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</si>
  <si>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</si>
  <si>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</si>
  <si>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</si>
  <si>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</si>
  <si>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</si>
  <si>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</si>
  <si>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</si>
  <si>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</si>
  <si>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</si>
  <si>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</si>
  <si>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</si>
  <si>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</si>
  <si>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</si>
  <si>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</si>
  <si>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</si>
  <si>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</si>
  <si>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</si>
  <si>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</si>
  <si>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</si>
  <si>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</si>
  <si>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</si>
  <si>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</si>
  <si>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</si>
  <si>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</si>
  <si>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</si>
  <si>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</si>
  <si>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</si>
  <si>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</si>
  <si>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</si>
  <si>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</si>
  <si>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</si>
  <si>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</si>
  <si>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</si>
  <si>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</si>
  <si>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</si>
  <si>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</si>
  <si>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</si>
  <si>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</si>
  <si>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</si>
  <si>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</si>
  <si>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</si>
  <si>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</si>
  <si>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</si>
  <si>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</si>
  <si>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</si>
  <si>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</si>
  <si>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</si>
  <si>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</si>
  <si>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</si>
  <si>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</si>
  <si>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</si>
  <si>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</si>
  <si>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</si>
  <si>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</si>
  <si>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</si>
  <si>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</si>
  <si>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</si>
  <si>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</si>
  <si>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</si>
  <si>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</si>
  <si>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</si>
  <si>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</si>
  <si>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</si>
  <si>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</si>
  <si>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</si>
  <si>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</si>
  <si>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</si>
  <si>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</si>
  <si>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</si>
  <si>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</si>
  <si>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</si>
  <si>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</si>
  <si>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</si>
  <si>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</si>
  <si>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</si>
  <si>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</si>
  <si>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</si>
  <si>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</si>
  <si>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</si>
  <si>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</si>
  <si>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</si>
  <si>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</si>
  <si>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</si>
  <si>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</si>
  <si>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</si>
  <si>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</si>
  <si>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</si>
  <si>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</si>
  <si>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</si>
  <si>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</si>
  <si>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</si>
  <si>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</si>
  <si>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</si>
  <si>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</si>
  <si>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</si>
  <si>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</si>
  <si>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</si>
  <si>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</si>
  <si>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</si>
  <si>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</si>
  <si>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</si>
  <si>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</si>
  <si>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</si>
  <si>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</si>
  <si>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</si>
  <si>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</si>
  <si>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</si>
  <si>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</si>
  <si>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</si>
  <si>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</si>
  <si>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</si>
  <si>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</si>
  <si>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</si>
  <si>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</si>
  <si>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</si>
  <si>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</si>
  <si>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</si>
  <si>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</si>
  <si>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</si>
  <si>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</si>
  <si>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</si>
  <si>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</si>
  <si>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</si>
  <si>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</si>
  <si>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</si>
  <si>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</si>
  <si>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</si>
  <si>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</si>
  <si>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</si>
  <si>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</si>
  <si>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</si>
  <si>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</si>
  <si>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</si>
  <si>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</si>
  <si>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</si>
  <si>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</si>
  <si>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</si>
  <si>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</si>
  <si>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</si>
  <si>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</si>
  <si>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</si>
  <si>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</si>
  <si>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</si>
  <si>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</si>
  <si>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</si>
  <si>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</si>
  <si>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</si>
  <si>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</si>
  <si>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</si>
  <si>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</si>
  <si>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</si>
  <si>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</si>
  <si>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</si>
  <si>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</si>
  <si>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</si>
  <si>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</si>
  <si>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</si>
  <si>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</si>
  <si>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</si>
  <si>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</si>
  <si>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</si>
  <si>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</si>
  <si>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</si>
  <si>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</si>
  <si>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</si>
  <si>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</si>
  <si>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</si>
  <si>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</si>
  <si>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</si>
  <si>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</si>
  <si>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</si>
  <si>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</si>
  <si>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</si>
  <si>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</si>
  <si>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</si>
  <si>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</si>
  <si>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</si>
  <si>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</si>
  <si>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</si>
  <si>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</si>
  <si>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</si>
  <si>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</si>
  <si>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</si>
  <si>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</si>
  <si>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</si>
  <si>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</si>
  <si>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</si>
  <si>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</si>
  <si>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</si>
  <si>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</si>
  <si>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</si>
  <si>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</si>
  <si>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</si>
  <si>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</si>
  <si>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</si>
  <si>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</si>
  <si>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</si>
  <si>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</si>
  <si>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</si>
  <si>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</si>
  <si>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</si>
  <si>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</si>
  <si>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</si>
  <si>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</si>
  <si>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</si>
  <si>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</si>
  <si>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</si>
  <si>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</si>
  <si>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</si>
  <si>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</si>
  <si>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</si>
  <si>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</si>
  <si>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</si>
  <si>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</si>
  <si>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</si>
  <si>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</si>
  <si>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</si>
  <si>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</si>
  <si>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</si>
  <si>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</si>
  <si>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</si>
  <si>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</si>
  <si>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</si>
  <si>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</si>
  <si>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</si>
  <si>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</si>
  <si>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</si>
  <si>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</si>
  <si>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</si>
  <si>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</si>
  <si>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</si>
  <si>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</si>
  <si>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</si>
  <si>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</si>
  <si>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</si>
  <si>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</si>
  <si>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</si>
  <si>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</si>
  <si>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</si>
  <si>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</si>
  <si>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</si>
  <si>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</si>
  <si>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</si>
  <si>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</si>
  <si>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</si>
  <si>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</si>
  <si>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</si>
  <si>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</si>
  <si>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</si>
  <si>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</si>
  <si>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</si>
  <si>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</si>
  <si>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</si>
  <si>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</si>
  <si>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</si>
  <si>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</si>
  <si>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</si>
  <si>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</si>
  <si>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</si>
  <si>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</si>
  <si>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</si>
  <si>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</si>
  <si>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</si>
  <si>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</si>
  <si>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</si>
  <si>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</si>
  <si>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</si>
  <si>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</si>
  <si>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</si>
  <si>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</si>
  <si>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</si>
  <si>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</si>
  <si>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</si>
  <si>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</si>
  <si>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</si>
  <si>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</si>
  <si>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</si>
  <si>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</si>
  <si>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</si>
  <si>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</si>
  <si>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</si>
  <si>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</si>
  <si>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</si>
  <si>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</si>
  <si>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</si>
  <si>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</si>
  <si>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</si>
  <si>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</si>
  <si>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</si>
  <si>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</si>
  <si>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</si>
  <si>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</si>
  <si>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</si>
  <si>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</si>
  <si>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</si>
  <si>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</si>
  <si>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</si>
  <si>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</si>
  <si>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</si>
  <si>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</si>
  <si>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</si>
  <si>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</si>
  <si>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</si>
  <si>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</si>
  <si>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</si>
  <si>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</si>
  <si>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</si>
  <si>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</si>
  <si>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</si>
  <si>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</si>
  <si>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</si>
  <si>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</si>
  <si>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</si>
  <si>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</si>
  <si>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</si>
  <si>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</si>
  <si>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</si>
  <si>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</si>
  <si>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</si>
  <si>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</si>
  <si>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</si>
  <si>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</si>
  <si>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</si>
  <si>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</si>
  <si>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</si>
  <si>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</si>
  <si>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</si>
  <si>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</si>
  <si>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</si>
  <si>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</si>
  <si>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</si>
  <si>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</si>
  <si>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</si>
  <si>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</si>
  <si>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</si>
  <si>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</si>
  <si>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</si>
  <si>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</si>
  <si>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</si>
  <si>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</si>
  <si>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</si>
  <si>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</si>
  <si>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</si>
  <si>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</si>
  <si>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</si>
  <si>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</si>
  <si>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</si>
  <si>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</si>
  <si>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</si>
  <si>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</si>
  <si>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</si>
  <si>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</si>
  <si>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</si>
  <si>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</si>
  <si>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</si>
  <si>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</si>
  <si>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</si>
  <si>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</si>
  <si>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</si>
  <si>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</si>
  <si>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</si>
  <si>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</si>
  <si>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</si>
  <si>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</si>
  <si>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</si>
  <si>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</si>
  <si>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</si>
  <si>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</si>
  <si>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</si>
  <si>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</si>
  <si>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</si>
  <si>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</si>
  <si>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</si>
  <si>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</si>
  <si>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</si>
  <si>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</si>
  <si>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</si>
  <si>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</si>
  <si>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</si>
  <si>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</si>
  <si>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</si>
  <si>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</si>
  <si>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</si>
  <si>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</si>
  <si>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</si>
  <si>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</si>
  <si>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</si>
  <si>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</si>
  <si>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</si>
  <si>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</si>
  <si>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</si>
  <si>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</si>
  <si>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</si>
  <si>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</si>
  <si>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</si>
  <si>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</si>
  <si>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</si>
  <si>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</si>
  <si>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</si>
  <si>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</si>
  <si>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</si>
  <si>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</si>
  <si>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</si>
  <si>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</si>
  <si>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</si>
  <si>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</si>
  <si>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</si>
  <si>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</si>
  <si>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</si>
  <si>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</si>
  <si>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</si>
  <si>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</si>
  <si>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</si>
  <si>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</si>
  <si>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</si>
  <si>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</si>
  <si>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</si>
  <si>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</si>
  <si>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</si>
  <si>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</si>
  <si>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</si>
  <si>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</si>
  <si>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</si>
  <si>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</si>
  <si>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</si>
  <si>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</si>
  <si>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</si>
  <si>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</si>
  <si>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</si>
  <si>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</si>
  <si>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</si>
  <si>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</si>
  <si>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</si>
  <si>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</si>
  <si>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</si>
  <si>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</si>
  <si>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</si>
  <si>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</si>
  <si>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</si>
  <si>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</si>
  <si>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</si>
  <si>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</si>
  <si>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</si>
  <si>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</si>
  <si>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</si>
  <si>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</si>
  <si>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</si>
  <si>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</si>
  <si>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</si>
  <si>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</si>
  <si>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</si>
  <si>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</si>
  <si>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</si>
  <si>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</si>
  <si>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</si>
  <si>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</si>
  <si>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</si>
  <si>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</si>
  <si>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</si>
  <si>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</si>
  <si>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</si>
  <si>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</si>
  <si>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</si>
  <si>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</si>
  <si>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</si>
  <si>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</si>
  <si>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</si>
  <si>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</si>
  <si>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</si>
  <si>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</si>
  <si>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</si>
  <si>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</si>
  <si>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</si>
  <si>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</si>
  <si>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</si>
  <si>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</si>
  <si>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</si>
  <si>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</si>
  <si>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</si>
  <si>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</si>
  <si>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</si>
  <si>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</si>
  <si>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</si>
  <si>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</si>
  <si>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</si>
  <si>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</si>
  <si>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</si>
  <si>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</si>
  <si>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</si>
  <si>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</si>
  <si>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</si>
  <si>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</si>
  <si>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</si>
  <si>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</si>
  <si>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</si>
  <si>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</si>
  <si>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</si>
  <si>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</si>
  <si>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</si>
  <si>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</si>
  <si>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</si>
  <si>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</si>
  <si>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</si>
  <si>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</si>
  <si>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</si>
  <si>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</si>
  <si>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</si>
  <si>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</si>
  <si>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</si>
  <si>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</si>
  <si>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</si>
  <si>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</si>
  <si>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</si>
  <si>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</si>
  <si>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</si>
  <si>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</si>
  <si>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</si>
  <si>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</si>
  <si>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</si>
  <si>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</si>
  <si>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</si>
  <si>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</si>
  <si>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</si>
  <si>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</si>
  <si>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</si>
  <si>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</si>
  <si>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</si>
  <si>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</si>
  <si>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</si>
  <si>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</si>
  <si>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</si>
  <si>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</si>
  <si>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</si>
  <si>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</si>
  <si>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</si>
  <si>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</si>
  <si>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</si>
  <si>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</si>
  <si>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</si>
  <si>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</si>
  <si>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</si>
  <si>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</si>
  <si>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</si>
  <si>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</si>
  <si>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</si>
  <si>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</si>
  <si>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</si>
  <si>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</si>
  <si>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</si>
  <si>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</si>
  <si>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</si>
  <si>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</si>
  <si>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</si>
  <si>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</si>
  <si>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</si>
  <si>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</si>
  <si>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</si>
  <si>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</si>
  <si>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</si>
  <si>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</si>
  <si>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</si>
  <si>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</si>
  <si>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</si>
  <si>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</si>
  <si>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</si>
  <si>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</si>
  <si>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</si>
  <si>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</si>
  <si>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</si>
  <si>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</si>
  <si>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</si>
  <si>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</si>
  <si>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</si>
  <si>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</si>
  <si>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</si>
  <si>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</si>
  <si>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</si>
  <si>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</si>
  <si>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</si>
  <si>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</si>
  <si>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</si>
  <si>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</si>
  <si>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</si>
  <si>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</si>
  <si>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</si>
  <si>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</si>
  <si>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</si>
  <si>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</si>
  <si>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</si>
  <si>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</si>
  <si>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</si>
  <si>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</si>
  <si>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</si>
  <si>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</si>
  <si>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</si>
  <si>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</si>
  <si>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</si>
  <si>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</si>
  <si>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</si>
  <si>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</si>
  <si>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</si>
  <si>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</si>
  <si>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</si>
  <si>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</si>
  <si>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</si>
  <si>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</si>
  <si>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</si>
  <si>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</si>
  <si>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</si>
  <si>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</si>
  <si>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</si>
  <si>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</si>
  <si>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</si>
  <si>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</si>
  <si>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</si>
  <si>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</si>
  <si>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</si>
  <si>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</si>
  <si>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</si>
  <si>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</si>
  <si>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</si>
  <si>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</si>
  <si>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</si>
  <si>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</si>
  <si>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</si>
  <si>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</si>
  <si>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</si>
  <si>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</si>
  <si>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</si>
  <si>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</si>
  <si>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</si>
  <si>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</si>
  <si>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</si>
  <si>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</si>
  <si>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</si>
  <si>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</si>
  <si>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</si>
  <si>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</si>
  <si>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</si>
  <si>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</si>
  <si>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</si>
  <si>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</si>
  <si>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</si>
  <si>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</si>
  <si>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</si>
  <si>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</si>
  <si>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</si>
  <si>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</si>
  <si>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</si>
  <si>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</si>
  <si>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</si>
  <si>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</si>
  <si>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</si>
  <si>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</si>
  <si>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</si>
  <si>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</si>
  <si>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</si>
  <si>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</si>
  <si>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</si>
  <si>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</si>
  <si>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</si>
  <si>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</si>
  <si>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</si>
  <si>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</si>
  <si>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</si>
  <si>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</si>
  <si>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</si>
  <si>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</si>
  <si>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</si>
  <si>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</si>
  <si>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</si>
  <si>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</si>
  <si>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</si>
  <si>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</si>
  <si>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</si>
  <si>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</si>
  <si>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</si>
  <si>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</si>
  <si>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</si>
  <si>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</si>
  <si>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</si>
  <si>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</si>
  <si>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</si>
  <si>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</si>
  <si>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</si>
  <si>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</si>
  <si>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</si>
  <si>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</si>
  <si>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</si>
  <si>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</si>
  <si>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</si>
  <si>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</si>
  <si>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</si>
  <si>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</si>
  <si>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</si>
  <si>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</si>
  <si>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</si>
  <si>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</si>
  <si>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</si>
  <si>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</si>
  <si>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</si>
  <si>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</si>
  <si>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</si>
  <si>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</si>
  <si>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</si>
  <si>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</si>
  <si>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</si>
  <si>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</si>
  <si>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</si>
  <si>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</si>
  <si>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</si>
  <si>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</si>
  <si>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</si>
  <si>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</si>
  <si>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</si>
  <si>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</si>
  <si>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</si>
  <si>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</si>
  <si>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</si>
  <si>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</si>
  <si>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</si>
  <si>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</si>
  <si>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</si>
  <si>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</si>
  <si>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</si>
  <si>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</si>
  <si>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</si>
  <si>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</si>
  <si>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</si>
  <si>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</si>
  <si>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</si>
  <si>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</si>
  <si>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</si>
  <si>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</si>
  <si>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</si>
  <si>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</si>
  <si>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</si>
  <si>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</si>
  <si>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</si>
  <si>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</si>
  <si>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</si>
  <si>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</si>
  <si>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</si>
  <si>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</si>
  <si>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</si>
  <si>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</si>
  <si>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</si>
  <si>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</si>
  <si>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</si>
  <si>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</si>
  <si>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</si>
  <si>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</si>
  <si>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</si>
  <si>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</si>
  <si>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</si>
  <si>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</si>
  <si>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</si>
  <si>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</si>
  <si>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</si>
  <si>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</si>
  <si>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</si>
  <si>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</si>
  <si>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</si>
  <si>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</si>
  <si>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</si>
  <si>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</si>
  <si>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</si>
  <si>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</si>
  <si>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</si>
  <si>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</si>
  <si>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</si>
  <si>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</si>
  <si>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</si>
  <si>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</si>
  <si>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</si>
  <si>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</si>
  <si>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</si>
  <si>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</si>
  <si>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</si>
  <si>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</si>
  <si>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</si>
  <si>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</si>
  <si>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</si>
  <si>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</si>
  <si>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</si>
  <si>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</si>
  <si>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</si>
  <si>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</si>
  <si>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</si>
  <si>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</si>
  <si>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</si>
  <si>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</si>
  <si>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</si>
  <si>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</si>
  <si>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</si>
  <si>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</si>
  <si>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</si>
  <si>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</si>
  <si>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</si>
  <si>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</si>
  <si>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</si>
  <si>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</si>
  <si>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</si>
  <si>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</si>
  <si>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</si>
  <si>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</si>
  <si>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</si>
  <si>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</si>
  <si>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</si>
  <si>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</si>
  <si>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</si>
  <si>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</si>
  <si>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</si>
  <si>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</si>
  <si>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</si>
  <si>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</si>
  <si>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</si>
  <si>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</si>
  <si>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</si>
  <si>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</si>
  <si>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</si>
  <si>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</si>
  <si>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</si>
  <si>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</si>
  <si>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</si>
  <si>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</si>
  <si>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</si>
  <si>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</si>
  <si>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</si>
  <si>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</si>
  <si>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</si>
  <si>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</si>
  <si>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</si>
  <si>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</si>
  <si>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</si>
  <si>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</si>
  <si>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</si>
  <si>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</si>
  <si>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</si>
  <si>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</si>
  <si>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</si>
  <si>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</si>
  <si>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</si>
  <si>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</si>
  <si>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</si>
  <si>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</si>
  <si>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</si>
  <si>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</si>
  <si>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</si>
  <si>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</si>
  <si>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</si>
  <si>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</si>
  <si>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</si>
  <si>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</si>
  <si>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</si>
  <si>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</si>
  <si>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</si>
  <si>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</si>
  <si>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</si>
  <si>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</si>
  <si>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</si>
  <si>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</si>
  <si>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</si>
  <si>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</si>
  <si>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</si>
  <si>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</si>
  <si>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</si>
  <si>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</si>
  <si>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</si>
  <si>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</si>
  <si>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</si>
  <si>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</si>
  <si>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</si>
  <si>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</si>
  <si>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</si>
  <si>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</si>
  <si>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</si>
  <si>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</si>
  <si>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</si>
  <si>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</si>
  <si>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</si>
  <si>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</si>
  <si>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</si>
  <si>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</si>
  <si>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</si>
  <si>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</si>
  <si>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</si>
  <si>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</si>
  <si>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</si>
  <si>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</si>
  <si>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</si>
  <si>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</si>
  <si>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</si>
  <si>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</si>
  <si>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</si>
  <si>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</si>
  <si>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</si>
  <si>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</si>
  <si>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</si>
  <si>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</si>
  <si>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</si>
  <si>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</si>
  <si>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</si>
  <si>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</si>
  <si>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</si>
  <si>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</si>
  <si>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</si>
  <si>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</si>
  <si>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</si>
  <si>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</si>
  <si>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</si>
  <si>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</si>
  <si>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</si>
  <si>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</si>
  <si>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</si>
  <si>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</si>
  <si>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</si>
  <si>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</si>
  <si>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</si>
  <si>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</si>
  <si>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</si>
  <si>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</si>
  <si>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</si>
  <si>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</si>
  <si>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</si>
  <si>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</si>
  <si>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</si>
  <si>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</si>
  <si>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</si>
  <si>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</si>
  <si>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</si>
  <si>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</si>
  <si>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</si>
  <si>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</si>
  <si>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</si>
  <si>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</si>
  <si>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</si>
  <si>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</si>
  <si>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</si>
  <si>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</si>
  <si>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</si>
  <si>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</si>
  <si>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</si>
  <si>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</si>
  <si>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</si>
  <si>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</si>
  <si>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</si>
  <si>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</si>
  <si>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</si>
  <si>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</si>
  <si>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</si>
  <si>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</si>
  <si>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</si>
  <si>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</si>
  <si>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</si>
  <si>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</si>
  <si>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</si>
  <si>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</si>
  <si>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</si>
  <si>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</si>
  <si>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</si>
  <si>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</si>
  <si>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</si>
  <si>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</si>
  <si>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</si>
  <si>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</si>
  <si>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</si>
  <si>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</si>
  <si>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</si>
  <si>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</si>
  <si>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</si>
  <si>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</si>
  <si>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</si>
  <si>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</si>
  <si>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</si>
  <si>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</si>
  <si>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</si>
  <si>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</si>
  <si>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</si>
  <si>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</si>
  <si>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</si>
  <si>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</si>
  <si>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</si>
  <si>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</si>
  <si>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</si>
  <si>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</si>
  <si>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</si>
  <si>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</si>
  <si>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</si>
  <si>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</si>
  <si>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</si>
  <si>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</si>
  <si>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</si>
  <si>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</si>
  <si>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</si>
  <si>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</si>
  <si>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</si>
  <si>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</si>
  <si>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</si>
  <si>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</si>
  <si>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</si>
  <si>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</si>
  <si>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</si>
  <si>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</si>
  <si>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</si>
  <si>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</si>
  <si>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</si>
  <si>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</si>
  <si>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</si>
  <si>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</si>
  <si>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</si>
  <si>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</si>
  <si>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</si>
  <si>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</si>
  <si>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</si>
  <si>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</si>
  <si>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</si>
  <si>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</si>
  <si>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</si>
  <si>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</si>
  <si>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</si>
  <si>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</si>
  <si>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</si>
  <si>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</si>
  <si>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</si>
  <si>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</si>
  <si>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</si>
  <si>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</si>
  <si>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</si>
  <si>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</si>
  <si>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</si>
  <si>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</si>
  <si>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</si>
  <si>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</si>
  <si>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</si>
  <si>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</si>
  <si>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</si>
  <si>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</si>
  <si>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</si>
  <si>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</si>
  <si>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</si>
  <si>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</si>
  <si>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</si>
  <si>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</si>
  <si>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</si>
  <si>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</si>
  <si>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</si>
  <si>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</si>
  <si>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</si>
  <si>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</si>
  <si>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</si>
  <si>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</si>
  <si>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</si>
  <si>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</si>
  <si>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</si>
  <si>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</si>
  <si>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</si>
  <si>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</si>
  <si>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</si>
  <si>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</si>
  <si>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</si>
  <si>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</si>
  <si>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</si>
  <si>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</si>
  <si>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</si>
  <si>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</si>
  <si>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</si>
  <si>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</si>
  <si>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</si>
  <si>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</si>
  <si>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</si>
  <si>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</si>
  <si>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</si>
  <si>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</si>
  <si>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</si>
  <si>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</si>
  <si>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</si>
  <si>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</si>
  <si>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</si>
  <si>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</si>
  <si>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</si>
  <si>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</si>
  <si>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</si>
  <si>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</si>
  <si>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</si>
  <si>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</si>
  <si>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</si>
  <si>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</si>
  <si>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</si>
  <si>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</si>
  <si>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</si>
  <si>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</si>
  <si>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</si>
  <si>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</si>
  <si>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</si>
  <si>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</si>
  <si>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</si>
  <si>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</si>
  <si>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</si>
  <si>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</si>
  <si>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</si>
  <si>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</si>
  <si>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</si>
  <si>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</si>
  <si>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</si>
  <si>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</si>
  <si>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</si>
  <si>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</si>
  <si>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</si>
  <si>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</si>
  <si>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</si>
  <si>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</si>
  <si>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</si>
  <si>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</si>
  <si>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</si>
  <si>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</si>
  <si>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</si>
  <si>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</si>
  <si>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</si>
  <si>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</si>
  <si>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</si>
  <si>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</si>
  <si>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</si>
  <si>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</si>
  <si>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</si>
  <si>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</si>
  <si>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</si>
  <si>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</si>
  <si>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</si>
  <si>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</si>
  <si>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</si>
  <si>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</si>
  <si>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</si>
  <si>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</si>
  <si>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</si>
  <si>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</si>
  <si>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</si>
  <si>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</si>
  <si>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</si>
  <si>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</si>
  <si>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</si>
  <si>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</si>
  <si>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</si>
  <si>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</si>
  <si>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</si>
  <si>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</si>
  <si>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</si>
  <si>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</si>
  <si>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</si>
  <si>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</si>
  <si>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</si>
  <si>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</si>
  <si>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</si>
  <si>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</si>
  <si>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</si>
  <si>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</si>
  <si>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</si>
  <si>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</si>
  <si>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</si>
  <si>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</si>
  <si>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</si>
  <si>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</si>
  <si>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</si>
  <si>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</si>
  <si>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</si>
  <si>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</si>
  <si>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</si>
  <si>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</si>
  <si>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</si>
  <si>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</si>
  <si>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</si>
  <si>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</si>
  <si>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</si>
  <si>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</si>
  <si>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</si>
  <si>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</si>
  <si>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</si>
  <si>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</si>
  <si>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</si>
  <si>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</si>
  <si>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</si>
  <si>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</si>
  <si>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</si>
  <si>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</si>
  <si>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</si>
  <si>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</si>
  <si>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</si>
  <si>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</si>
  <si>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</si>
  <si>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</si>
  <si>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</si>
  <si>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</si>
  <si>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</si>
  <si>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</si>
  <si>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</si>
  <si>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</si>
  <si>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</si>
  <si>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</si>
  <si>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</si>
  <si>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</si>
  <si>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</si>
  <si>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</si>
  <si>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</si>
  <si>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</si>
  <si>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</si>
  <si>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</si>
  <si>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</si>
  <si>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</si>
  <si>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</si>
  <si>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</si>
  <si>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</si>
  <si>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</si>
  <si>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</si>
  <si>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</si>
  <si>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</si>
  <si>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</si>
  <si>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</si>
  <si>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</si>
  <si>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</si>
  <si>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</si>
  <si>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</si>
  <si>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</si>
  <si>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</si>
  <si>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</si>
  <si>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</si>
  <si>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</si>
  <si>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</si>
  <si>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</si>
  <si>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</si>
  <si>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</si>
  <si>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</si>
  <si>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</si>
  <si>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</si>
  <si>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</si>
  <si>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</si>
  <si>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</si>
  <si>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</si>
  <si>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</si>
  <si>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</si>
  <si>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</si>
  <si>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</si>
  <si>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</si>
  <si>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</si>
  <si>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</si>
  <si>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</si>
  <si>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</si>
  <si>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</si>
  <si>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</si>
  <si>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</si>
  <si>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</si>
  <si>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</si>
  <si>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</si>
  <si>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</si>
  <si>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</si>
  <si>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</si>
  <si>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</si>
  <si>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</si>
  <si>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</si>
  <si>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</si>
  <si>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</si>
  <si>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</si>
  <si>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</si>
  <si>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</si>
  <si>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</si>
  <si>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</si>
  <si>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</si>
  <si>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</si>
  <si>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</si>
  <si>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</si>
  <si>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</si>
  <si>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</si>
  <si>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</si>
  <si>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</si>
  <si>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</si>
  <si>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</si>
  <si>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</si>
  <si>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</si>
  <si>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</si>
  <si>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</si>
  <si>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</si>
  <si>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</si>
  <si>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</si>
  <si>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</si>
  <si>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</si>
  <si>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</si>
  <si>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</si>
  <si>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</si>
  <si>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</si>
  <si>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</si>
  <si>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</si>
  <si>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</si>
  <si>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</si>
  <si>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</si>
  <si>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</si>
  <si>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</si>
  <si>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</si>
  <si>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</si>
  <si>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</si>
  <si>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</si>
  <si>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</si>
  <si>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</si>
  <si>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</si>
  <si>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</si>
  <si>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</si>
  <si>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</si>
  <si>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</si>
  <si>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</si>
  <si>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</si>
  <si>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</si>
  <si>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</si>
  <si>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</si>
  <si>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</si>
  <si>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</si>
  <si>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</si>
  <si>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</si>
  <si>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</si>
  <si>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</si>
  <si>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</si>
  <si>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</si>
  <si>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</si>
  <si>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</si>
  <si>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</si>
  <si>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</si>
  <si>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</si>
  <si>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</si>
  <si>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</si>
  <si>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</si>
  <si>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</si>
  <si>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</si>
  <si>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</si>
  <si>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</si>
  <si>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</si>
  <si>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</si>
  <si>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</si>
  <si>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</si>
  <si>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</si>
  <si>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</si>
  <si>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</si>
  <si>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</si>
  <si>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</si>
  <si>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</si>
  <si>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</si>
  <si>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</si>
  <si>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</si>
  <si>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</si>
  <si>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</si>
  <si>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</si>
  <si>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</si>
  <si>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</si>
  <si>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</si>
  <si>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</si>
  <si>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</si>
  <si>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</si>
  <si>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</si>
  <si>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</si>
  <si>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</si>
  <si>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</si>
  <si>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</si>
  <si>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</si>
  <si>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</si>
  <si>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</si>
  <si>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</si>
  <si>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</si>
  <si>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</si>
  <si>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</si>
  <si>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</si>
  <si>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</si>
  <si>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</si>
  <si>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</si>
  <si>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</si>
  <si>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</si>
  <si>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</si>
  <si>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</si>
  <si>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</si>
  <si>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</si>
  <si>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</si>
  <si>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</si>
  <si>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</si>
  <si>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</si>
  <si>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</si>
  <si>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</si>
  <si>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</si>
  <si>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</si>
  <si>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</si>
  <si>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</si>
  <si>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</si>
  <si>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</si>
  <si>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</si>
  <si>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</si>
  <si>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</si>
  <si>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</si>
  <si>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</si>
  <si>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</si>
  <si>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</si>
  <si>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</si>
  <si>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</si>
  <si>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</si>
  <si>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</si>
  <si>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</si>
  <si>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</si>
  <si>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</si>
  <si>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</si>
  <si>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</si>
  <si>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</si>
  <si>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</si>
  <si>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</si>
  <si>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</si>
  <si>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</si>
  <si>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</si>
  <si>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</si>
  <si>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</si>
  <si>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</si>
  <si>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</si>
  <si>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</si>
  <si>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</si>
  <si>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</si>
  <si>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</si>
  <si>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</si>
  <si>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</si>
  <si>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</si>
  <si>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</si>
  <si>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</si>
  <si>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</si>
  <si>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</si>
  <si>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</si>
  <si>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</si>
  <si>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</si>
  <si>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</si>
  <si>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</si>
  <si>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</si>
  <si>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</si>
  <si>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</si>
  <si>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</si>
  <si>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</si>
  <si>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</si>
  <si>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</si>
  <si>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</si>
  <si>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</si>
  <si>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</si>
  <si>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</si>
  <si>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</si>
  <si>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</si>
  <si>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</si>
  <si>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</si>
  <si>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</si>
  <si>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</si>
  <si>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</si>
  <si>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</si>
  <si>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</si>
  <si>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</si>
  <si>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</si>
  <si>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</si>
  <si>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</si>
  <si>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</si>
  <si>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</si>
  <si>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</si>
  <si>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</si>
  <si>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</si>
  <si>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</si>
  <si>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</si>
  <si>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</si>
  <si>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</si>
  <si>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</si>
  <si>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</si>
  <si>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</si>
  <si>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</si>
  <si>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</si>
  <si>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</si>
  <si>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</si>
  <si>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</si>
  <si>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</si>
  <si>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</si>
  <si>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</si>
  <si>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</si>
  <si>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</si>
  <si>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</si>
  <si>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</si>
  <si>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</si>
  <si>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</si>
  <si>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</si>
  <si>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</si>
  <si>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</si>
  <si>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</si>
  <si>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</si>
  <si>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</si>
  <si>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</si>
  <si>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</si>
  <si>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</si>
  <si>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</si>
  <si>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</si>
  <si>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</si>
  <si>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</si>
  <si>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</si>
  <si>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</si>
  <si>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</si>
  <si>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</si>
  <si>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</si>
  <si>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</si>
  <si>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</si>
  <si>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</si>
  <si>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</si>
  <si>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</si>
  <si>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</si>
  <si>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</si>
  <si>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</si>
  <si>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</si>
  <si>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</si>
  <si>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</si>
  <si>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</si>
  <si>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</si>
  <si>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</si>
  <si>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</si>
  <si>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</si>
  <si>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</si>
  <si>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</si>
  <si>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</si>
  <si>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</si>
  <si>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</si>
  <si>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</si>
  <si>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</si>
  <si>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</si>
  <si>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</si>
  <si>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</si>
  <si>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</si>
  <si>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</si>
  <si>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</si>
  <si>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</si>
  <si>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</si>
  <si>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</si>
  <si>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</si>
  <si>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</si>
  <si>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</si>
  <si>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</si>
  <si>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</si>
  <si>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</si>
  <si>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</si>
  <si>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</si>
  <si>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</si>
  <si>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</si>
  <si>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</si>
  <si>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</si>
  <si>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</si>
  <si>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</si>
  <si>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</si>
  <si>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</si>
  <si>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</si>
  <si>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</si>
  <si>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</si>
  <si>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</si>
  <si>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</si>
  <si>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</si>
  <si>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</si>
  <si>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</si>
  <si>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</si>
  <si>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</si>
  <si>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</si>
  <si>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</si>
  <si>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</si>
  <si>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</si>
  <si>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</si>
  <si>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</si>
  <si>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</si>
  <si>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</si>
  <si>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</si>
  <si>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</si>
  <si>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</si>
  <si>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</si>
  <si>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</si>
  <si>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</si>
  <si>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</si>
  <si>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</si>
  <si>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</si>
  <si>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</si>
  <si>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</si>
  <si>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</si>
  <si>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</si>
  <si>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</si>
  <si>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</si>
  <si>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</si>
  <si>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</si>
  <si>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</si>
  <si>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</si>
  <si>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</si>
  <si>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</si>
  <si>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</si>
  <si>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</si>
  <si>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</si>
  <si>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</si>
  <si>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</si>
  <si>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</si>
  <si>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</si>
  <si>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</si>
  <si>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</si>
  <si>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</si>
  <si>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</si>
  <si>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</si>
  <si>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</si>
  <si>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</si>
  <si>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</si>
  <si>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</si>
  <si>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</si>
  <si>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</si>
  <si>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</si>
  <si>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</si>
  <si>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</si>
  <si>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</si>
  <si>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</si>
  <si>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</si>
  <si>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</si>
  <si>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</si>
  <si>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</si>
  <si>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</si>
  <si>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</si>
  <si>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</si>
  <si>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</si>
  <si>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</si>
  <si>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</si>
  <si>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</si>
  <si>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</si>
  <si>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</si>
  <si>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</si>
  <si>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</si>
  <si>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</si>
  <si>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</si>
  <si>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</si>
  <si>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</si>
  <si>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</si>
  <si>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</si>
  <si>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</si>
  <si>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</si>
  <si>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</si>
  <si>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</si>
  <si>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</si>
  <si>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</si>
  <si>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</si>
  <si>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</si>
  <si>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</si>
  <si>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</si>
  <si>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</si>
  <si>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</si>
  <si>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</si>
  <si>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</si>
  <si>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</si>
  <si>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</si>
  <si>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</si>
  <si>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</si>
  <si>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</si>
  <si>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</si>
  <si>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</si>
  <si>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</si>
  <si>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</si>
  <si>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</si>
  <si>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</si>
  <si>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</si>
  <si>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</si>
  <si>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</si>
  <si>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</si>
  <si>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</si>
  <si>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</si>
  <si>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</si>
  <si>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</si>
  <si>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</si>
  <si>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</si>
  <si>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</si>
  <si>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</si>
  <si>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</si>
  <si>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</si>
  <si>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</si>
  <si>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</si>
  <si>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</si>
  <si>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</si>
  <si>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</si>
  <si>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</si>
  <si>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</si>
  <si>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</si>
  <si>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</si>
  <si>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</si>
  <si>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</si>
  <si>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</si>
  <si>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</si>
  <si>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</si>
  <si>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</si>
  <si>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</si>
  <si>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</si>
  <si>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</si>
  <si>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</si>
  <si>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</si>
  <si>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</si>
  <si>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</si>
  <si>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</si>
  <si>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</si>
  <si>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</si>
  <si>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</si>
  <si>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</si>
  <si>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</si>
  <si>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</si>
  <si>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</si>
  <si>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</si>
  <si>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</si>
  <si>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</si>
  <si>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</si>
  <si>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</si>
  <si>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</si>
  <si>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</si>
  <si>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</si>
  <si>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</si>
  <si>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</si>
  <si>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</si>
  <si>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</si>
  <si>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</si>
  <si>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</si>
  <si>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</si>
  <si>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</si>
  <si>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</si>
  <si>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</si>
  <si>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</si>
  <si>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</si>
  <si>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</si>
  <si>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</si>
  <si>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</si>
  <si>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</si>
  <si>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</si>
  <si>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</si>
  <si>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</si>
  <si>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</si>
  <si>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</si>
  <si>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</si>
  <si>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</si>
  <si>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</si>
  <si>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</si>
  <si>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</si>
  <si>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</si>
  <si>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</si>
  <si>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</si>
  <si>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</si>
  <si>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</si>
  <si>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</si>
  <si>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</si>
  <si>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</si>
  <si>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</si>
  <si>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</si>
  <si>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</si>
  <si>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</si>
  <si>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</si>
  <si>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</si>
  <si>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</si>
  <si>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</si>
  <si>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</si>
  <si>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</si>
  <si>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</si>
  <si>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</si>
  <si>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</si>
  <si>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</si>
  <si>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</si>
  <si>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</si>
  <si>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</si>
  <si>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</si>
  <si>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</si>
  <si>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</si>
  <si>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</si>
  <si>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</si>
  <si>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</si>
  <si>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</si>
  <si>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</si>
  <si>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</si>
  <si>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</si>
  <si>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</si>
  <si>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</si>
  <si>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</si>
  <si>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</si>
  <si>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</si>
  <si>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</si>
  <si>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</si>
  <si>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</si>
  <si>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</si>
  <si>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</si>
  <si>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</si>
  <si>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</si>
  <si>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</si>
  <si>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</si>
  <si>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</si>
  <si>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</si>
  <si>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</si>
  <si>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</si>
  <si>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</si>
  <si>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</si>
  <si>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</si>
  <si>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</si>
  <si>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</si>
  <si>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</si>
  <si>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</si>
  <si>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</si>
  <si>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</si>
  <si>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</si>
  <si>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</si>
  <si>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</si>
  <si>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</si>
  <si>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</si>
  <si>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</si>
  <si>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</si>
  <si>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</si>
  <si>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</si>
  <si>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</si>
  <si>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</si>
  <si>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</si>
  <si>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</si>
  <si>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</si>
  <si>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</si>
  <si>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</si>
  <si>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</si>
  <si>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</si>
  <si>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</si>
  <si>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</si>
  <si>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</si>
  <si>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</si>
  <si>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</si>
  <si>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</si>
  <si>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</si>
  <si>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</si>
  <si>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</si>
  <si>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</si>
  <si>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</si>
  <si>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</si>
  <si>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</si>
  <si>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</si>
  <si>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</si>
  <si>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</si>
  <si>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</si>
  <si>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</si>
  <si>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</si>
  <si>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</si>
  <si>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</si>
  <si>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</si>
  <si>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</si>
  <si>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</si>
  <si>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</si>
  <si>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</si>
  <si>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</si>
  <si>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</si>
  <si>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</si>
  <si>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</si>
  <si>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</si>
  <si>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</si>
  <si>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</si>
  <si>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</si>
  <si>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</si>
  <si>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</si>
  <si>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</si>
  <si>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</si>
  <si>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</si>
  <si>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</si>
  <si>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</si>
  <si>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</si>
  <si>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</si>
  <si>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</si>
  <si>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</si>
  <si>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</si>
  <si>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</si>
  <si>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</si>
  <si>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</si>
  <si>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</si>
  <si>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</si>
  <si>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</si>
  <si>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</si>
  <si>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</si>
  <si>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</si>
  <si>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</si>
  <si>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</si>
  <si>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</si>
  <si>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</si>
  <si>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</si>
  <si>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</si>
  <si>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</si>
  <si>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</si>
  <si>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</si>
  <si>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</si>
  <si>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</si>
  <si>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</si>
  <si>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</si>
  <si>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</si>
  <si>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</si>
  <si>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</si>
  <si>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</si>
  <si>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</si>
  <si>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</si>
  <si>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</si>
  <si>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</si>
  <si>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</si>
  <si>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</si>
  <si>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</si>
  <si>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</si>
  <si>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</si>
  <si>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</si>
  <si>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</si>
  <si>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</si>
  <si>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</si>
  <si>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</si>
  <si>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</si>
  <si>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</si>
  <si>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</si>
  <si>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</si>
  <si>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</si>
  <si>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</si>
  <si>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</si>
  <si>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</si>
  <si>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</si>
  <si>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</si>
  <si>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</si>
  <si>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</si>
  <si>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</si>
  <si>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</si>
  <si>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</si>
  <si>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</si>
  <si>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</si>
  <si>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</si>
  <si>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</si>
  <si>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</si>
  <si>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</si>
  <si>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</si>
  <si>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</si>
  <si>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</si>
  <si>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</si>
  <si>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</si>
  <si>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</si>
  <si>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</si>
  <si>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</si>
  <si>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</si>
  <si>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</si>
  <si>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</si>
  <si>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</si>
  <si>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</si>
  <si>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</si>
  <si>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</si>
  <si>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</si>
  <si>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</si>
  <si>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</si>
  <si>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</si>
  <si>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</si>
  <si>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</si>
  <si>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</si>
  <si>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</si>
  <si>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</si>
  <si>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</si>
  <si>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</si>
  <si>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</si>
  <si>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</si>
  <si>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</si>
  <si>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</si>
  <si>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</si>
  <si>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</si>
  <si>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</si>
  <si>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</si>
  <si>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</si>
  <si>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</si>
  <si>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</si>
  <si>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</si>
  <si>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</si>
  <si>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</si>
  <si>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</si>
  <si>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</si>
  <si>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</si>
  <si>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</si>
  <si>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</si>
  <si>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</si>
  <si>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</si>
  <si>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</si>
  <si>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</si>
  <si>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</si>
  <si>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</si>
  <si>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</si>
  <si>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</si>
  <si>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</si>
  <si>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</si>
  <si>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</si>
  <si>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</si>
  <si>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</si>
  <si>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</si>
  <si>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</si>
  <si>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</si>
  <si>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</si>
  <si>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</si>
  <si>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</si>
  <si>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</si>
  <si>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</si>
  <si>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</si>
  <si>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</si>
  <si>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</si>
  <si>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</si>
  <si>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</si>
  <si>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</si>
  <si>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</si>
  <si>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</si>
  <si>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</si>
  <si>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</si>
  <si>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</si>
  <si>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</si>
  <si>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</si>
  <si>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</si>
  <si>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</si>
  <si>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</si>
  <si>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</si>
  <si>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</si>
  <si>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</si>
  <si>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</si>
  <si>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</si>
  <si>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</si>
  <si>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</si>
  <si>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</si>
  <si>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</si>
  <si>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</si>
  <si>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</si>
  <si>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</si>
  <si>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</si>
  <si>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</si>
  <si>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</si>
  <si>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</si>
  <si>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</si>
  <si>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</si>
  <si>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</si>
  <si>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</si>
  <si>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</si>
  <si>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</si>
  <si>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</si>
  <si>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</si>
  <si>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</si>
  <si>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</si>
  <si>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</si>
  <si>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</si>
  <si>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</si>
  <si>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</si>
  <si>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</si>
  <si>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</si>
  <si>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</si>
  <si>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</si>
  <si>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</si>
  <si>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</si>
  <si>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</si>
  <si>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</si>
  <si>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</si>
  <si>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</si>
  <si>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</si>
  <si>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</si>
  <si>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</si>
  <si>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</si>
  <si>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</si>
  <si>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</si>
  <si>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</si>
  <si>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</si>
  <si>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</si>
  <si>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</si>
  <si>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</si>
  <si>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</si>
  <si>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</si>
  <si>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</si>
  <si>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</si>
  <si>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</si>
  <si>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</si>
  <si>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</si>
  <si>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</si>
  <si>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</si>
  <si>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</si>
  <si>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</si>
  <si>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</si>
  <si>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</si>
  <si>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</si>
  <si>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</si>
  <si>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</si>
  <si>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</si>
  <si>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</si>
  <si>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</si>
  <si>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</si>
  <si>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</si>
  <si>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</si>
  <si>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</si>
  <si>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</si>
  <si>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</si>
  <si>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</si>
  <si>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</si>
  <si>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</si>
  <si>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</si>
  <si>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</si>
  <si>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</si>
  <si>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</si>
  <si>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</si>
  <si>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</si>
  <si>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</si>
  <si>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</si>
  <si>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</si>
  <si>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</si>
  <si>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</si>
  <si>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</si>
  <si>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</si>
  <si>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</si>
  <si>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</si>
  <si>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</si>
  <si>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</si>
  <si>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</si>
  <si>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</si>
  <si>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</si>
  <si>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</si>
  <si>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</si>
  <si>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</si>
  <si>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</si>
  <si>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</si>
  <si>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</si>
  <si>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</si>
  <si>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</si>
  <si>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</si>
  <si>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</si>
  <si>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</si>
  <si>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</si>
  <si>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</si>
  <si>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</si>
  <si>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</si>
  <si>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</si>
  <si>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</si>
  <si>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</si>
  <si>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</si>
  <si>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</si>
  <si>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</si>
  <si>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</si>
  <si>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</si>
  <si>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</si>
  <si>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</si>
  <si>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</si>
  <si>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</si>
  <si>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</si>
  <si>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</si>
  <si>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</si>
  <si>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</si>
  <si>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</si>
  <si>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</si>
  <si>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</si>
  <si>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</si>
  <si>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</si>
  <si>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</si>
  <si>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</si>
  <si>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</si>
  <si>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</si>
  <si>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</si>
  <si>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</si>
  <si>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</si>
  <si>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</si>
  <si>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</si>
  <si>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</si>
  <si>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</si>
  <si>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</si>
  <si>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</si>
  <si>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</si>
  <si>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</si>
  <si>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</si>
  <si>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</si>
  <si>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</si>
  <si>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</si>
  <si>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</si>
  <si>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</si>
  <si>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</si>
  <si>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</si>
  <si>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</si>
  <si>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</si>
  <si>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</si>
  <si>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</si>
  <si>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</si>
  <si>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</si>
  <si>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</si>
  <si>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</si>
  <si>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</si>
  <si>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</si>
  <si>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</si>
  <si>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</si>
  <si>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</si>
  <si>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</si>
  <si>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</si>
  <si>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</si>
  <si>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</si>
  <si>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</si>
  <si>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</si>
  <si>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</si>
  <si>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</si>
  <si>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</si>
  <si>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</si>
  <si>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</si>
  <si>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</si>
  <si>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</si>
  <si>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</si>
  <si>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</si>
  <si>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</si>
  <si>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</si>
  <si>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</si>
  <si>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</si>
  <si>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</si>
  <si>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</si>
  <si>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</si>
  <si>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</si>
  <si>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</si>
  <si>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</si>
  <si>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</si>
  <si>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</si>
  <si>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</si>
  <si>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</si>
  <si>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</si>
  <si>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</si>
  <si>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</si>
  <si>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</si>
  <si>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</si>
  <si>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</si>
  <si>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</si>
  <si>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</si>
  <si>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</si>
  <si>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</si>
  <si>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</si>
  <si>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</si>
  <si>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</si>
  <si>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</si>
  <si>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</si>
  <si>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</si>
  <si>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</si>
  <si>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</si>
  <si>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</si>
  <si>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</si>
  <si>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</si>
  <si>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</si>
  <si>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</si>
  <si>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</si>
  <si>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</si>
  <si>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</si>
  <si>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</si>
  <si>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</si>
  <si>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</si>
  <si>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</si>
  <si>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</si>
  <si>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</si>
  <si>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</si>
  <si>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</si>
  <si>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</si>
  <si>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</si>
  <si>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</si>
  <si>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</si>
  <si>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</si>
  <si>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</si>
  <si>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</si>
  <si>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</si>
  <si>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</si>
  <si>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</si>
  <si>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</si>
  <si>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</si>
  <si>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</si>
  <si>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</si>
  <si>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</si>
  <si>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</si>
  <si>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</si>
  <si>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</si>
  <si>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</si>
  <si>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</si>
  <si>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</si>
  <si>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</si>
  <si>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</si>
  <si>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</si>
  <si>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</si>
  <si>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</si>
  <si>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</si>
  <si>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</si>
  <si>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</si>
  <si>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</si>
  <si>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</si>
  <si>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</si>
  <si>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</si>
  <si>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</si>
  <si>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</si>
  <si>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</si>
  <si>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</si>
  <si>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</si>
  <si>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</si>
  <si>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</si>
  <si>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</si>
  <si>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</si>
  <si>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</si>
  <si>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</si>
  <si>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</si>
  <si>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</si>
  <si>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</si>
  <si>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</si>
  <si>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</si>
  <si>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</si>
  <si>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</si>
  <si>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</si>
  <si>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</si>
  <si>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</si>
  <si>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</si>
  <si>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</si>
  <si>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</si>
  <si>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</si>
  <si>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</si>
  <si>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</si>
  <si>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</si>
  <si>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</si>
  <si>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</si>
  <si>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</si>
  <si>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</si>
  <si>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</si>
  <si>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</si>
  <si>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</si>
  <si>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</si>
  <si>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</si>
  <si>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</si>
  <si>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</si>
  <si>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</si>
  <si>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</si>
  <si>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</si>
  <si>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</si>
  <si>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</si>
  <si>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</si>
  <si>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</si>
  <si>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</si>
  <si>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</si>
  <si>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</si>
  <si>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</si>
  <si>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</si>
  <si>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</si>
  <si>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</si>
  <si>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</si>
  <si>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</si>
  <si>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</si>
  <si>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</si>
  <si>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</si>
  <si>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</si>
  <si>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</si>
  <si>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</si>
  <si>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</si>
  <si>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</si>
  <si>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</si>
  <si>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</si>
  <si>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</si>
  <si>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</si>
  <si>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</si>
  <si>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</si>
  <si>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</si>
  <si>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</si>
  <si>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</si>
  <si>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</si>
  <si>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</si>
  <si>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</si>
  <si>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</si>
  <si>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</si>
  <si>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</si>
  <si>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</si>
  <si>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</si>
  <si>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</si>
  <si>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</si>
  <si>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</si>
  <si>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</si>
  <si>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</si>
  <si>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</si>
  <si>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</si>
  <si>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</si>
  <si>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</si>
  <si>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</si>
  <si>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</si>
  <si>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</si>
  <si>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</si>
  <si>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</si>
  <si>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</si>
  <si>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</si>
  <si>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</si>
  <si>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</si>
  <si>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</si>
  <si>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</si>
  <si>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</si>
  <si>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</si>
  <si>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</si>
  <si>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</si>
  <si>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</si>
  <si>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</si>
  <si>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</si>
  <si>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</si>
  <si>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</si>
  <si>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</si>
  <si>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</si>
  <si>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</si>
  <si>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</si>
  <si>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</si>
  <si>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</si>
  <si>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</si>
  <si>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</si>
  <si>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</si>
  <si>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</si>
  <si>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</si>
  <si>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</si>
  <si>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</si>
  <si>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</si>
  <si>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</si>
  <si>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</si>
  <si>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</si>
  <si>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</si>
  <si>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</si>
  <si>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</si>
  <si>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</si>
  <si>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</si>
  <si>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</si>
  <si>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</si>
  <si>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</si>
  <si>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</si>
  <si>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</si>
  <si>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</si>
  <si>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</si>
  <si>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</si>
  <si>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</si>
  <si>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</si>
  <si>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</si>
  <si>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</si>
  <si>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</si>
  <si>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</si>
  <si>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</si>
  <si>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</si>
  <si>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</si>
  <si>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</si>
  <si>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</si>
  <si>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</si>
  <si>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</si>
  <si>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</si>
  <si>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</si>
  <si>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</si>
  <si>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</si>
  <si>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</si>
  <si>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</si>
  <si>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</si>
  <si>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</si>
  <si>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</si>
  <si>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</si>
  <si>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</si>
  <si>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</si>
  <si>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</si>
  <si>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</si>
  <si>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</si>
  <si>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</si>
  <si>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</si>
  <si>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</si>
  <si>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</si>
  <si>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</si>
  <si>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</si>
  <si>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</si>
  <si>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</si>
  <si>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</si>
  <si>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</si>
  <si>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</si>
  <si>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</si>
  <si>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</si>
  <si>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</si>
  <si>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</si>
  <si>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</si>
  <si>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</si>
  <si>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</si>
  <si>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</si>
  <si>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</si>
  <si>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</si>
  <si>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</si>
  <si>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</si>
  <si>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</si>
  <si>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</si>
  <si>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</si>
  <si>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</si>
  <si>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</si>
  <si>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</si>
  <si>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</si>
  <si>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</si>
  <si>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</si>
  <si>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</si>
  <si>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</si>
  <si>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</si>
  <si>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</si>
  <si>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</si>
  <si>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</si>
  <si>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</si>
  <si>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</si>
  <si>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</si>
  <si>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</si>
  <si>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</si>
  <si>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</si>
  <si>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</si>
  <si>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</si>
  <si>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</si>
  <si>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</si>
  <si>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</si>
  <si>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</si>
  <si>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</si>
  <si>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</si>
  <si>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</si>
  <si>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</si>
  <si>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</si>
  <si>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</si>
  <si>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</si>
  <si>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</si>
  <si>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</si>
  <si>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</si>
  <si>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</si>
  <si>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</si>
  <si>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</si>
  <si>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</si>
  <si>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</si>
  <si>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</si>
  <si>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</si>
  <si>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</si>
  <si>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</si>
  <si>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</si>
  <si>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</si>
  <si>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</si>
  <si>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</si>
  <si>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</si>
  <si>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</si>
  <si>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</si>
  <si>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</si>
  <si>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</si>
  <si>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</si>
  <si>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</si>
  <si>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</si>
  <si>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</si>
  <si>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</si>
  <si>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</si>
  <si>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</si>
  <si>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</si>
  <si>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</si>
  <si>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</si>
  <si>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</si>
  <si>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</si>
  <si>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</si>
  <si>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</si>
  <si>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</si>
  <si>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</si>
  <si>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</si>
  <si>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</si>
  <si>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</si>
  <si>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</si>
  <si>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</si>
  <si>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</si>
  <si>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</si>
  <si>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</si>
  <si>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</si>
  <si>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</si>
  <si>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</si>
  <si>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</si>
  <si>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</si>
  <si>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</si>
  <si>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</si>
  <si>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</si>
  <si>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</si>
  <si>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</si>
  <si>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</si>
  <si>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</si>
  <si>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</si>
  <si>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</si>
  <si>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</si>
  <si>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</si>
  <si>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</si>
  <si>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</si>
  <si>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</si>
  <si>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</si>
  <si>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</si>
  <si>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</si>
  <si>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</si>
  <si>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</si>
  <si>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</si>
  <si>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</si>
  <si>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</si>
  <si>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</si>
  <si>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</si>
  <si>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</si>
  <si>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</si>
  <si>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</si>
  <si>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</si>
  <si>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</si>
  <si>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</si>
  <si>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</si>
  <si>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</si>
  <si>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</si>
  <si>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</si>
  <si>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</si>
  <si>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</si>
  <si>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</si>
  <si>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</si>
  <si>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</si>
  <si>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</si>
  <si>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</si>
  <si>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</si>
  <si>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</si>
  <si>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</si>
  <si>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</si>
  <si>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</si>
  <si>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</si>
  <si>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</si>
  <si>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</si>
  <si>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</si>
  <si>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</si>
  <si>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</si>
  <si>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</si>
  <si>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</si>
  <si>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</si>
  <si>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</si>
  <si>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</si>
  <si>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</si>
  <si>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</si>
  <si>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</si>
  <si>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</si>
  <si>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</si>
  <si>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</si>
  <si>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</si>
  <si>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</si>
  <si>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</si>
  <si>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</si>
  <si>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</si>
  <si>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</si>
  <si>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</si>
  <si>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</si>
  <si>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</si>
  <si>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</si>
  <si>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</si>
  <si>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</si>
  <si>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</si>
  <si>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</si>
  <si>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</si>
  <si>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</si>
  <si>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</si>
  <si>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</si>
  <si>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</si>
  <si>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</si>
  <si>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</si>
  <si>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</si>
  <si>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</si>
  <si>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</si>
  <si>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</si>
  <si>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</si>
  <si>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</si>
  <si>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</si>
  <si>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</si>
  <si>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</si>
  <si>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</si>
  <si>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</si>
  <si>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</si>
  <si>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</si>
  <si>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</si>
  <si>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</si>
  <si>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</si>
  <si>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</si>
  <si>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</si>
  <si>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</si>
  <si>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</si>
  <si>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</si>
  <si>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</si>
  <si>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</si>
  <si>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</si>
  <si>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</si>
  <si>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</si>
  <si>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</si>
  <si>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</si>
  <si>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</si>
  <si>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</si>
  <si>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</si>
  <si>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</si>
  <si>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</si>
  <si>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</si>
  <si>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</si>
  <si>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</si>
  <si>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</si>
  <si>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</si>
  <si>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</si>
  <si>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</si>
  <si>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</si>
  <si>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</si>
  <si>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</si>
  <si>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</si>
  <si>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</si>
  <si>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</si>
  <si>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</si>
  <si>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</si>
  <si>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</si>
  <si>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</si>
  <si>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</si>
  <si>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</si>
  <si>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</si>
  <si>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</si>
  <si>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</si>
  <si>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</si>
  <si>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</si>
  <si>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</si>
  <si>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</si>
  <si>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</si>
  <si>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</si>
  <si>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</si>
  <si>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</si>
  <si>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</si>
  <si>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</si>
  <si>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</si>
  <si>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</si>
  <si>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</si>
  <si>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</si>
  <si>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</si>
  <si>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</si>
  <si>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</si>
  <si>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</si>
  <si>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</si>
  <si>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</si>
  <si>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</si>
  <si>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</si>
  <si>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</si>
  <si>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</si>
  <si>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</si>
  <si>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</si>
  <si>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</si>
  <si>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</si>
  <si>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</si>
  <si>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</si>
  <si>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</si>
  <si>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</si>
  <si>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</si>
  <si>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</si>
  <si>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</si>
  <si>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</si>
  <si>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</si>
  <si>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</si>
  <si>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</si>
  <si>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</si>
  <si>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</si>
  <si>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</si>
  <si>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</si>
  <si>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</si>
  <si>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</si>
  <si>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</si>
  <si>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</si>
  <si>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</si>
  <si>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</si>
  <si>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</si>
  <si>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</si>
  <si>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</si>
  <si>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</si>
  <si>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</si>
  <si>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</si>
  <si>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</si>
  <si>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</si>
  <si>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</si>
  <si>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</si>
  <si>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</si>
  <si>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</si>
  <si>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</si>
  <si>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</si>
  <si>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</si>
  <si>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</si>
  <si>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</si>
  <si>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</si>
  <si>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</si>
  <si>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</si>
  <si>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</si>
  <si>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</si>
  <si>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</si>
  <si>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</si>
  <si>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</si>
  <si>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</si>
  <si>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</si>
  <si>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</si>
  <si>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</si>
  <si>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</si>
  <si>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</si>
  <si>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</si>
  <si>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</si>
  <si>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</si>
  <si>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</si>
  <si>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</si>
  <si>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</si>
  <si>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</si>
  <si>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</si>
  <si>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</si>
  <si>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</si>
  <si>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</si>
  <si>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</si>
  <si>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</si>
  <si>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</si>
  <si>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</si>
  <si>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</si>
  <si>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</si>
  <si>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</si>
  <si>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</si>
  <si>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</si>
  <si>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</si>
  <si>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</si>
  <si>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</si>
  <si>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</si>
  <si>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</si>
  <si>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</si>
  <si>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</si>
  <si>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</si>
  <si>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</si>
  <si>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</si>
  <si>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</si>
  <si>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</si>
  <si>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</si>
  <si>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</si>
  <si>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</si>
  <si>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</si>
  <si>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</si>
  <si>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</si>
  <si>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</si>
  <si>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</si>
  <si>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</si>
  <si>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</si>
  <si>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</si>
  <si>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</si>
  <si>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</si>
  <si>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</si>
  <si>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</si>
  <si>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</si>
  <si>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</si>
  <si>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</si>
  <si>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</si>
  <si>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</si>
  <si>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</si>
  <si>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</si>
  <si>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</si>
  <si>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</si>
  <si>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</si>
  <si>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</si>
  <si>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</si>
  <si>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</si>
  <si>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</si>
  <si>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</si>
  <si>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</si>
  <si>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</si>
  <si>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</si>
  <si>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</si>
  <si>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</si>
  <si>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</si>
  <si>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</si>
  <si>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</si>
  <si>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</si>
  <si>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</si>
  <si>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</si>
  <si>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</si>
  <si>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</si>
  <si>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</si>
  <si>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</si>
  <si>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</si>
  <si>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</si>
  <si>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</si>
  <si>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</si>
  <si>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</si>
  <si>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</si>
  <si>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</si>
  <si>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</si>
  <si>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</si>
  <si>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</si>
  <si>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</si>
  <si>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</si>
  <si>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</si>
  <si>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</si>
  <si>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</si>
  <si>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</si>
  <si>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</si>
  <si>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</si>
  <si>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</si>
  <si>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</si>
  <si>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</si>
  <si>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</si>
  <si>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</si>
  <si>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</si>
  <si>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</si>
  <si>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</si>
  <si>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</si>
  <si>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</si>
  <si>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</si>
  <si>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</si>
  <si>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</si>
  <si>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</si>
  <si>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</si>
  <si>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</si>
  <si>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</si>
  <si>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</si>
  <si>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</si>
  <si>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</si>
  <si>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</si>
  <si>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</si>
  <si>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</si>
  <si>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</si>
  <si>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</si>
  <si>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</si>
  <si>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</si>
  <si>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</si>
  <si>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</si>
  <si>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</si>
  <si>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</si>
  <si>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</si>
  <si>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</si>
  <si>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</si>
  <si>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</si>
  <si>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</si>
  <si>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</si>
  <si>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</si>
  <si>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</si>
  <si>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</si>
  <si>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</si>
  <si>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</si>
  <si>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</si>
  <si>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</si>
  <si>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</si>
  <si>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</si>
  <si>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</si>
  <si>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</si>
  <si>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</si>
  <si>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</si>
  <si>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</si>
  <si>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</si>
  <si>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</si>
  <si>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</si>
  <si>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</si>
  <si>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</si>
  <si>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</si>
  <si>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</si>
  <si>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</si>
  <si>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</si>
  <si>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</si>
  <si>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</si>
  <si>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</si>
  <si>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</si>
  <si>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</si>
  <si>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</si>
  <si>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</si>
  <si>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</si>
  <si>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</si>
  <si>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</si>
  <si>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</si>
  <si>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</si>
  <si>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</si>
  <si>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</si>
  <si>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</si>
  <si>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</si>
  <si>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</si>
  <si>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</si>
  <si>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</si>
  <si>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</si>
  <si>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</si>
  <si>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</si>
  <si>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</si>
  <si>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</si>
  <si>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</si>
  <si>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</si>
  <si>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</si>
  <si>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</si>
  <si>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</si>
  <si>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</si>
  <si>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</si>
  <si>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</si>
  <si>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</si>
  <si>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</si>
  <si>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</si>
  <si>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</si>
  <si>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</si>
  <si>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</si>
  <si>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</si>
  <si>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</si>
  <si>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</si>
  <si>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</si>
  <si>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</si>
  <si>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</si>
  <si>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</si>
  <si>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</si>
  <si>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</si>
  <si>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</si>
  <si>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</si>
  <si>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</si>
  <si>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</si>
  <si>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</si>
  <si>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</si>
  <si>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</si>
  <si>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</si>
  <si>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</si>
  <si>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</si>
  <si>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</si>
  <si>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</si>
  <si>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</si>
  <si>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</si>
  <si>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</si>
  <si>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</si>
  <si>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</si>
  <si>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</si>
  <si>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</si>
  <si>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</si>
  <si>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</si>
  <si>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</si>
  <si>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</si>
  <si>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</si>
  <si>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</si>
  <si>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</si>
  <si>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</si>
  <si>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</si>
  <si>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</si>
  <si>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</si>
  <si>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</si>
  <si>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</si>
  <si>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</si>
  <si>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</si>
  <si>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</si>
  <si>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</si>
  <si>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</si>
  <si>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</si>
  <si>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</si>
  <si>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</si>
  <si>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</si>
  <si>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</si>
  <si>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</si>
  <si>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</si>
  <si>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</si>
  <si>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</si>
  <si>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</si>
  <si>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</si>
  <si>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</si>
  <si>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</si>
  <si>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</si>
  <si>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</si>
  <si>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</si>
  <si>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</si>
  <si>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</si>
  <si>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</si>
  <si>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</si>
  <si>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</si>
  <si>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</si>
  <si>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</si>
  <si>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</si>
  <si>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</si>
  <si>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</si>
  <si>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</si>
  <si>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</si>
  <si>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</si>
  <si>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</si>
  <si>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</si>
  <si>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</si>
  <si>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</si>
  <si>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</si>
  <si>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</si>
  <si>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</si>
  <si>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</si>
  <si>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</si>
  <si>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</si>
  <si>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</si>
  <si>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</si>
  <si>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</si>
  <si>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</si>
  <si>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</si>
  <si>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</si>
  <si>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</si>
  <si>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</si>
  <si>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</si>
  <si>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</si>
  <si>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</si>
  <si>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</si>
  <si>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</si>
  <si>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</si>
  <si>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</si>
  <si>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</si>
  <si>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</si>
  <si>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</si>
  <si>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</si>
  <si>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</si>
  <si>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</si>
  <si>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</si>
  <si>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</si>
  <si>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</si>
  <si>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</si>
  <si>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</si>
  <si>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</si>
  <si>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</si>
  <si>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</si>
  <si>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</si>
  <si>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</si>
  <si>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</si>
  <si>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</si>
  <si>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</si>
  <si>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</si>
  <si>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</si>
  <si>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</si>
  <si>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</si>
  <si>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</si>
  <si>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</si>
  <si>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</si>
  <si>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</si>
  <si>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</si>
  <si>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</si>
  <si>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</si>
  <si>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</si>
  <si>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</si>
  <si>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</si>
  <si>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</si>
  <si>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</si>
  <si>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</si>
  <si>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</si>
  <si>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</si>
  <si>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</si>
  <si>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</si>
  <si>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</si>
  <si>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</si>
  <si>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</si>
  <si>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</si>
  <si>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</si>
  <si>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</si>
  <si>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</si>
  <si>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</si>
  <si>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</si>
  <si>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</si>
  <si>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</si>
  <si>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</si>
  <si>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</si>
  <si>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</si>
  <si>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</si>
  <si>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</si>
  <si>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</si>
  <si>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</si>
  <si>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</si>
  <si>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</si>
  <si>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</si>
  <si>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</si>
  <si>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</si>
  <si>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</si>
  <si>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</si>
  <si>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</si>
  <si>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</si>
  <si>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</si>
  <si>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</si>
  <si>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</si>
  <si>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</si>
  <si>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</si>
  <si>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</si>
  <si>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</si>
  <si>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</si>
  <si>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</si>
  <si>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</si>
  <si>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</si>
  <si>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</si>
  <si>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</si>
  <si>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</si>
  <si>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</si>
  <si>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</si>
  <si>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</si>
  <si>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</si>
  <si>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</si>
  <si>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</si>
  <si>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</si>
  <si>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</si>
  <si>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</si>
  <si>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</si>
  <si>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</si>
  <si>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</si>
  <si>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</si>
  <si>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</si>
  <si>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</si>
  <si>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</si>
  <si>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</si>
  <si>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</si>
  <si>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</si>
  <si>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</si>
  <si>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</si>
  <si>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</si>
  <si>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</si>
  <si>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</si>
  <si>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</si>
  <si>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</si>
  <si>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</si>
  <si>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</si>
  <si>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</si>
  <si>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</si>
  <si>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</si>
  <si>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</si>
  <si>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</si>
  <si>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</si>
  <si>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</si>
  <si>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</si>
  <si>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</si>
  <si>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</si>
  <si>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</si>
  <si>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</si>
  <si>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</si>
  <si>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</si>
  <si>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</si>
  <si>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</si>
  <si>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</si>
  <si>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</si>
  <si>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</si>
  <si>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</si>
  <si>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</si>
  <si>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</si>
  <si>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</si>
  <si>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</si>
  <si>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</si>
  <si>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</si>
  <si>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</si>
  <si>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</si>
  <si>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</si>
  <si>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</si>
  <si>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</si>
  <si>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</si>
  <si>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</si>
  <si>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</si>
  <si>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</si>
  <si>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</si>
  <si>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</si>
  <si>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</si>
  <si>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</si>
  <si>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</si>
  <si>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</si>
  <si>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</si>
  <si>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</si>
  <si>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</si>
  <si>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</si>
  <si>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</si>
  <si>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</si>
  <si>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</si>
  <si>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</si>
  <si>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</si>
  <si>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</si>
  <si>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</si>
  <si>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</si>
  <si>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</si>
  <si>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</si>
  <si>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</si>
  <si>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</si>
  <si>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</si>
  <si>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</si>
  <si>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</si>
  <si>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</si>
  <si>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</si>
  <si>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</si>
  <si>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</si>
  <si>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</si>
  <si>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</si>
  <si>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</si>
  <si>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</si>
  <si>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</si>
  <si>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</si>
  <si>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</si>
  <si>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</si>
  <si>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</si>
  <si>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</si>
  <si>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</si>
  <si>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</si>
  <si>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</si>
  <si>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</si>
  <si>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</si>
  <si>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</si>
  <si>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</si>
  <si>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</si>
  <si>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</si>
  <si>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</si>
  <si>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</si>
  <si>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</si>
  <si>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</si>
  <si>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</si>
  <si>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</si>
  <si>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</si>
  <si>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</si>
  <si>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</si>
  <si>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</si>
  <si>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</si>
  <si>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</si>
  <si>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</si>
  <si>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</si>
  <si>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</si>
  <si>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</si>
  <si>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</si>
  <si>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</si>
  <si>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</si>
  <si>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</si>
  <si>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</si>
  <si>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</si>
  <si>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</si>
  <si>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</si>
  <si>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</si>
  <si>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</si>
  <si>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</si>
  <si>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</si>
  <si>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</si>
  <si>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</si>
  <si>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</si>
  <si>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</si>
  <si>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</si>
  <si>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</si>
  <si>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</si>
  <si>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</si>
  <si>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</si>
  <si>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</si>
  <si>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</si>
  <si>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</si>
  <si>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</si>
  <si>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</si>
  <si>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</si>
  <si>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</si>
  <si>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</si>
  <si>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</si>
  <si>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</si>
  <si>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</si>
  <si>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</si>
  <si>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</si>
  <si>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</si>
  <si>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</si>
  <si>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</si>
  <si>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</si>
  <si>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</si>
  <si>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</si>
  <si>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</si>
  <si>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</si>
  <si>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</si>
  <si>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</si>
  <si>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</si>
  <si>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</si>
  <si>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</si>
  <si>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</si>
  <si>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</si>
  <si>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</si>
  <si>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</si>
  <si>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</si>
  <si>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</si>
  <si>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</si>
  <si>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</si>
  <si>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</si>
  <si>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</si>
  <si>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</si>
  <si>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</si>
  <si>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</si>
  <si>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</si>
  <si>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</si>
  <si>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</si>
  <si>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</si>
  <si>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</si>
  <si>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</si>
  <si>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</si>
  <si>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</si>
  <si>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</si>
  <si>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</si>
  <si>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</si>
  <si>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</si>
  <si>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</si>
  <si>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</si>
  <si>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</si>
  <si>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</si>
  <si>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</si>
  <si>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</si>
  <si>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</si>
  <si>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</si>
  <si>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</si>
  <si>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</si>
  <si>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</si>
  <si>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</si>
  <si>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</si>
  <si>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</si>
  <si>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</si>
  <si>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</si>
  <si>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</si>
  <si>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</si>
  <si>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</si>
  <si>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</si>
  <si>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</si>
  <si>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</si>
  <si>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</si>
  <si>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</si>
  <si>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</si>
  <si>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</si>
  <si>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</si>
  <si>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</si>
  <si>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</si>
  <si>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</si>
  <si>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</si>
  <si>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</si>
  <si>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</si>
  <si>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</si>
  <si>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</si>
  <si>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</si>
  <si>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</si>
  <si>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</si>
  <si>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</si>
  <si>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</si>
  <si>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</si>
  <si>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</si>
  <si>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</si>
  <si>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</si>
  <si>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</si>
  <si>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</si>
  <si>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</si>
  <si>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</si>
  <si>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</si>
  <si>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</si>
  <si>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</si>
  <si>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</si>
  <si>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</si>
  <si>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</si>
  <si>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</si>
  <si>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</si>
  <si>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</si>
  <si>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</si>
  <si>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</si>
  <si>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</si>
  <si>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</si>
  <si>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</si>
  <si>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</si>
  <si>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</si>
  <si>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</si>
  <si>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</si>
  <si>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</si>
  <si>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</si>
  <si>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</si>
  <si>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</si>
  <si>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</si>
  <si>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</si>
  <si>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</si>
  <si>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</si>
  <si>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</si>
  <si>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</si>
  <si>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</si>
  <si>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</si>
  <si>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</si>
  <si>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</si>
  <si>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</si>
  <si>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</si>
  <si>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</si>
  <si>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</si>
  <si>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</si>
  <si>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</si>
  <si>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</si>
  <si>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</si>
  <si>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</si>
  <si>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</si>
  <si>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</si>
  <si>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</si>
  <si>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</si>
  <si>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</si>
  <si>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</si>
  <si>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</si>
  <si>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</si>
  <si>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</si>
  <si>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</si>
  <si>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</si>
  <si>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</si>
  <si>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</si>
  <si>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</si>
  <si>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</si>
  <si>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</si>
  <si>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</si>
  <si>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</si>
  <si>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</si>
  <si>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</si>
  <si>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</si>
  <si>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</si>
  <si>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</si>
  <si>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</si>
  <si>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</si>
  <si>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</si>
  <si>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</si>
  <si>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</si>
  <si>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</si>
  <si>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</si>
  <si>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</si>
  <si>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</si>
  <si>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</si>
  <si>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</si>
  <si>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</si>
  <si>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</si>
  <si>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</si>
  <si>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</si>
  <si>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</si>
  <si>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</si>
  <si>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</si>
  <si>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</si>
  <si>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</si>
  <si>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</si>
  <si>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</si>
  <si>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</si>
  <si>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</si>
  <si>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</si>
  <si>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</si>
  <si>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</si>
  <si>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</si>
  <si>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</si>
  <si>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</si>
  <si>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</si>
  <si>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</si>
  <si>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</si>
  <si>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</si>
  <si>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</si>
  <si>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</si>
  <si>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</si>
  <si>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</si>
  <si>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</si>
  <si>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</si>
  <si>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</si>
  <si>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</si>
  <si>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</si>
  <si>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</si>
  <si>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</si>
  <si>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</si>
  <si>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</si>
  <si>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</si>
  <si>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</si>
  <si>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</si>
  <si>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</si>
  <si>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</si>
  <si>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</si>
  <si>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</si>
  <si>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</si>
  <si>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</si>
  <si>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</si>
  <si>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</si>
  <si>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</si>
  <si>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</si>
  <si>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</si>
  <si>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</si>
  <si>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</si>
  <si>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</si>
  <si>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</si>
  <si>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</si>
  <si>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</si>
  <si>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</si>
  <si>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</si>
  <si>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</si>
  <si>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</si>
  <si>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</si>
  <si>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</si>
  <si>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</si>
  <si>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</si>
  <si>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</si>
  <si>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</si>
  <si>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</si>
  <si>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</si>
  <si>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</si>
  <si>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</si>
  <si>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</si>
  <si>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</si>
  <si>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</si>
  <si>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</si>
  <si>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</si>
  <si>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</si>
  <si>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</si>
  <si>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</si>
  <si>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</si>
  <si>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</si>
  <si>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</si>
  <si>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</si>
  <si>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</si>
  <si>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</si>
  <si>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</si>
  <si>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</si>
  <si>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</si>
  <si>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</si>
  <si>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</si>
  <si>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</si>
  <si>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</si>
  <si>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</si>
  <si>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</si>
  <si>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</si>
  <si>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</si>
  <si>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</si>
  <si>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</si>
  <si>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</si>
  <si>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</si>
  <si>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</si>
  <si>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</si>
  <si>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</si>
  <si>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</si>
  <si>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</si>
  <si>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</si>
  <si>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</si>
  <si>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</si>
  <si>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</si>
  <si>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</si>
  <si>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</si>
  <si>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</si>
  <si>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</si>
  <si>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</si>
  <si>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</si>
  <si>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</si>
  <si>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</si>
  <si>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</si>
  <si>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</si>
  <si>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</si>
  <si>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</si>
  <si>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</si>
  <si>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</si>
  <si>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</si>
  <si>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</si>
  <si>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</si>
  <si>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</si>
  <si>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</si>
  <si>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</si>
  <si>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</si>
  <si>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</si>
  <si>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</si>
  <si>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</si>
  <si>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</si>
  <si>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</si>
  <si>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</si>
  <si>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</si>
  <si>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</si>
  <si>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</si>
  <si>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</si>
  <si>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</si>
  <si>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</si>
  <si>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</si>
  <si>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</si>
  <si>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</si>
  <si>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</si>
  <si>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</si>
  <si>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</si>
  <si>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</si>
  <si>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</si>
  <si>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</si>
  <si>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</si>
  <si>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</si>
  <si>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</si>
  <si>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</si>
  <si>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</si>
  <si>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</si>
  <si>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</si>
  <si>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</si>
  <si>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</si>
  <si>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</si>
  <si>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</si>
  <si>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</si>
  <si>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</si>
  <si>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</si>
  <si>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</si>
  <si>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</si>
  <si>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</si>
  <si>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</si>
  <si>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</si>
  <si>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</si>
  <si>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</si>
  <si>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</si>
  <si>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</si>
  <si>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</si>
  <si>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</si>
  <si>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</si>
  <si>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</si>
  <si>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</si>
  <si>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</si>
  <si>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</si>
  <si>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</si>
  <si>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</si>
  <si>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</si>
  <si>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</si>
  <si>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</si>
  <si>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</si>
  <si>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</si>
  <si>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</si>
  <si>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</si>
  <si>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</si>
  <si>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</si>
  <si>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</si>
  <si>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</si>
  <si>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</si>
  <si>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</si>
  <si>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</si>
  <si>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</si>
  <si>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</si>
  <si>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</si>
  <si>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</si>
  <si>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</si>
  <si>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</si>
  <si>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</si>
  <si>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</si>
  <si>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</si>
  <si>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</si>
  <si>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</si>
  <si>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</si>
  <si>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</si>
  <si>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</si>
  <si>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</si>
  <si>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</si>
  <si>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</si>
  <si>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</si>
  <si>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</si>
  <si>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</si>
  <si>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</si>
  <si>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</si>
  <si>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</si>
  <si>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</si>
  <si>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</si>
  <si>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</si>
  <si>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</si>
  <si>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</si>
  <si>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</si>
  <si>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</si>
  <si>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</si>
  <si>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</si>
  <si>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</si>
  <si>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</si>
  <si>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</si>
  <si>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</si>
  <si>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</si>
  <si>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</si>
  <si>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</si>
  <si>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</si>
  <si>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</si>
  <si>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</si>
  <si>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</si>
  <si>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</si>
  <si>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</si>
  <si>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</si>
  <si>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</si>
  <si>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</si>
  <si>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</si>
  <si>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</si>
  <si>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</si>
  <si>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</si>
  <si>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</si>
  <si>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</si>
  <si>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</si>
  <si>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</si>
  <si>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</si>
  <si>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</si>
  <si>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</si>
  <si>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</si>
  <si>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</si>
  <si>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</si>
  <si>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</si>
  <si>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</si>
  <si>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</si>
  <si>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</si>
  <si>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</si>
  <si>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</si>
  <si>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</si>
  <si>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</si>
  <si>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</si>
  <si>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</si>
  <si>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</si>
  <si>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</si>
  <si>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</si>
  <si>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</si>
  <si>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</si>
  <si>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</si>
  <si>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</si>
  <si>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</si>
  <si>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</si>
  <si>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</si>
  <si>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</si>
  <si>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</si>
  <si>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</si>
  <si>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</si>
  <si>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</si>
  <si>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</si>
  <si>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</si>
  <si>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</si>
  <si>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</si>
  <si>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</si>
  <si>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</si>
  <si>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</si>
  <si>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</si>
  <si>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</si>
  <si>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</si>
  <si>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</si>
  <si>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</si>
  <si>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</si>
  <si>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</si>
  <si>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</si>
  <si>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</si>
  <si>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</si>
  <si>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</si>
  <si>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</si>
  <si>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</si>
  <si>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</si>
  <si>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</si>
  <si>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</si>
  <si>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</si>
  <si>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</si>
  <si>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</si>
  <si>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</si>
  <si>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</si>
  <si>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</si>
  <si>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</si>
  <si>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</si>
  <si>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</si>
  <si>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</si>
  <si>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</si>
  <si>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</si>
  <si>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</si>
  <si>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</si>
  <si>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</si>
  <si>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</si>
  <si>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</si>
  <si>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</si>
  <si>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</si>
  <si>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</si>
  <si>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</si>
  <si>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</si>
  <si>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</si>
  <si>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</si>
  <si>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</si>
  <si>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</si>
  <si>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</si>
  <si>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</si>
  <si>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</si>
  <si>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</si>
  <si>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</si>
  <si>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</si>
  <si>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</si>
  <si>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</si>
  <si>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</si>
  <si>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</si>
  <si>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</si>
  <si>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</si>
  <si>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</si>
  <si>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</si>
  <si>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</si>
  <si>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</si>
  <si>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</si>
  <si>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</si>
  <si>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</si>
  <si>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</si>
  <si>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</si>
  <si>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</si>
  <si>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</si>
  <si>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</si>
  <si>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</si>
  <si>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</si>
  <si>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</si>
  <si>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</si>
  <si>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</si>
  <si>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</si>
  <si>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</si>
  <si>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</si>
  <si>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</si>
  <si>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</si>
  <si>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</si>
  <si>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</si>
  <si>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</si>
  <si>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</si>
  <si>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</si>
  <si>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</si>
  <si>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</si>
  <si>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</si>
  <si>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</si>
  <si>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</si>
  <si>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</si>
  <si>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</si>
  <si>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</si>
  <si>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</si>
  <si>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</si>
  <si>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</si>
  <si>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</si>
  <si>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</si>
  <si>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</si>
  <si>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</si>
  <si>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</si>
  <si>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</si>
  <si>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</si>
  <si>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</si>
  <si>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</si>
  <si>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</si>
  <si>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</si>
  <si>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</si>
  <si>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</si>
  <si>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</si>
  <si>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</si>
  <si>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</si>
  <si>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</si>
  <si>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</si>
  <si>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</si>
  <si>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</si>
  <si>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</si>
  <si>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</si>
  <si>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</si>
  <si>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</si>
  <si>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</si>
  <si>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</si>
  <si>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</si>
  <si>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</si>
  <si>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</si>
  <si>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</si>
  <si>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</si>
  <si>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</si>
  <si>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</si>
  <si>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</si>
  <si>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</si>
  <si>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</si>
  <si>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</si>
  <si>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</si>
  <si>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</si>
  <si>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</si>
  <si>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</si>
  <si>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</si>
  <si>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</si>
  <si>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</si>
  <si>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</si>
  <si>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</si>
  <si>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</si>
  <si>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</si>
  <si>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</si>
  <si>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</si>
  <si>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</si>
  <si>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</si>
  <si>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</si>
  <si>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</si>
  <si>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</si>
  <si>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</si>
  <si>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</si>
  <si>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</si>
  <si>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</si>
  <si>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</si>
  <si>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</si>
  <si>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</si>
  <si>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</si>
  <si>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</si>
  <si>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</si>
  <si>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</si>
  <si>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</si>
  <si>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</si>
  <si>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</si>
  <si>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</si>
  <si>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</si>
  <si>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</si>
  <si>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</si>
  <si>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</si>
  <si>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</si>
  <si>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</si>
  <si>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</si>
  <si>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</si>
  <si>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</si>
  <si>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</si>
  <si>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</si>
  <si>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</si>
  <si>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</si>
  <si>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</si>
  <si>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</si>
  <si>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</si>
  <si>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</si>
  <si>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</si>
  <si>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</si>
  <si>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</si>
  <si>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</si>
  <si>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</si>
  <si>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</si>
  <si>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</si>
  <si>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</si>
  <si>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</si>
  <si>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</si>
  <si>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</si>
  <si>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</si>
  <si>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</si>
  <si>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</si>
  <si>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</si>
  <si>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</si>
  <si>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</si>
  <si>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</si>
  <si>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</si>
  <si>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</si>
  <si>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</si>
  <si>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</si>
  <si>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</si>
  <si>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</si>
  <si>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</si>
  <si>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</si>
  <si>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</si>
  <si>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</si>
  <si>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</si>
  <si>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</si>
  <si>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</si>
  <si>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</si>
  <si>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</si>
  <si>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</si>
  <si>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</si>
  <si>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</si>
  <si>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</si>
  <si>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</si>
  <si>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</si>
  <si>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</si>
  <si>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</si>
  <si>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</si>
  <si>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</si>
  <si>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</si>
  <si>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</si>
  <si>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</si>
  <si>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</si>
  <si>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</si>
  <si>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</si>
  <si>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</si>
  <si>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</si>
  <si>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</si>
  <si>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</si>
  <si>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</si>
  <si>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</si>
  <si>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</si>
  <si>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</si>
  <si>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</si>
  <si>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</si>
  <si>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</si>
  <si>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</si>
  <si>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</si>
  <si>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</si>
  <si>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</si>
  <si>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</si>
  <si>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</si>
  <si>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</si>
  <si>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</si>
  <si>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</si>
  <si>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</si>
  <si>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</si>
  <si>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</si>
  <si>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</si>
  <si>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</si>
  <si>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</si>
  <si>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</si>
  <si>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</si>
  <si>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</si>
  <si>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</si>
  <si>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</si>
  <si>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</si>
  <si>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</si>
  <si>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</si>
  <si>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</si>
  <si>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</si>
  <si>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</si>
  <si>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</si>
  <si>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</si>
  <si>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</si>
  <si>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</si>
  <si>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</si>
  <si>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</si>
  <si>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</si>
  <si>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</si>
  <si>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</si>
  <si>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</si>
  <si>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</si>
  <si>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</si>
  <si>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</si>
  <si>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</si>
  <si>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</si>
  <si>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</si>
  <si>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</si>
  <si>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</si>
  <si>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</si>
  <si>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</si>
  <si>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</si>
  <si>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</si>
  <si>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</si>
  <si>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</si>
  <si>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</si>
  <si>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</si>
  <si>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</si>
  <si>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</si>
  <si>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</si>
  <si>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</si>
  <si>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</si>
  <si>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</si>
  <si>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</si>
  <si>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</si>
  <si>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</si>
  <si>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</si>
  <si>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</si>
  <si>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</si>
  <si>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</si>
  <si>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</si>
  <si>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</si>
  <si>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</si>
  <si>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</si>
  <si>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</si>
  <si>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</si>
  <si>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</si>
  <si>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</si>
  <si>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</si>
  <si>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</si>
  <si>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</si>
  <si>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</si>
  <si>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</si>
  <si>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</si>
  <si>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</si>
  <si>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</si>
  <si>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</si>
  <si>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</si>
  <si>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</si>
  <si>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</si>
  <si>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</si>
  <si>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</si>
  <si>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</si>
  <si>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</si>
  <si>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</si>
  <si>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</si>
  <si>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</si>
  <si>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</si>
  <si>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</si>
  <si>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</si>
  <si>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</si>
  <si>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</si>
  <si>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</si>
  <si>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</si>
  <si>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</si>
  <si>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</si>
  <si>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</si>
  <si>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</si>
  <si>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</si>
  <si>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</si>
  <si>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</si>
  <si>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</si>
  <si>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</si>
  <si>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</si>
  <si>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</si>
  <si>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</si>
  <si>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</si>
  <si>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</si>
  <si>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</si>
  <si>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</si>
  <si>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</si>
  <si>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</si>
  <si>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</si>
  <si>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</si>
  <si>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</si>
  <si>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</si>
  <si>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</si>
  <si>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</si>
  <si>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</si>
  <si>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</si>
  <si>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</si>
  <si>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</si>
  <si>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</si>
  <si>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</si>
  <si>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</si>
  <si>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</si>
  <si>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</si>
  <si>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</si>
  <si>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</si>
  <si>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</si>
  <si>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</si>
  <si>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</si>
  <si>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</si>
  <si>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</si>
  <si>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</si>
  <si>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</si>
  <si>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</si>
  <si>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</si>
  <si>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</si>
  <si>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</si>
  <si>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</si>
  <si>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</si>
  <si>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</si>
  <si>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</si>
  <si>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</si>
  <si>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</si>
  <si>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</si>
  <si>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</si>
  <si>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</si>
  <si>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</si>
  <si>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</si>
  <si>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</si>
  <si>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</si>
  <si>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</si>
  <si>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</si>
  <si>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</si>
  <si>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</si>
  <si>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</si>
  <si>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</si>
  <si>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</si>
  <si>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</si>
  <si>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</si>
  <si>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</si>
  <si>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</si>
  <si>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</si>
  <si>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</si>
  <si>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</si>
  <si>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</si>
  <si>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</si>
  <si>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</si>
  <si>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</si>
  <si>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</si>
  <si>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</si>
  <si>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</si>
  <si>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</si>
  <si>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</si>
  <si>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</si>
  <si>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</si>
  <si>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</si>
  <si>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</si>
  <si>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</si>
  <si>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</si>
  <si>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</si>
  <si>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</si>
  <si>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</si>
  <si>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</si>
  <si>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</si>
  <si>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</si>
  <si>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</si>
  <si>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</si>
  <si>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</si>
  <si>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</si>
  <si>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</si>
  <si>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</si>
  <si>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</si>
  <si>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</si>
  <si>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</si>
  <si>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</si>
  <si>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</si>
  <si>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</si>
  <si>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</si>
  <si>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</si>
  <si>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</si>
  <si>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</si>
  <si>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</si>
  <si>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</si>
  <si>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</si>
  <si>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</si>
  <si>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</si>
  <si>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</si>
  <si>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</si>
  <si>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</si>
  <si>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</si>
  <si>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</si>
  <si>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</si>
  <si>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</si>
  <si>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</si>
  <si>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</si>
  <si>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</si>
  <si>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</si>
  <si>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</si>
  <si>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</si>
  <si>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</si>
  <si>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</si>
  <si>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</si>
  <si>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</si>
  <si>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</si>
  <si>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</si>
  <si>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</si>
  <si>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</si>
  <si>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</si>
  <si>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</si>
  <si>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</si>
  <si>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</si>
  <si>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</si>
  <si>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</si>
  <si>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</si>
  <si>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</si>
  <si>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</si>
  <si>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</si>
  <si>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</si>
  <si>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</si>
  <si>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</si>
  <si>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</si>
  <si>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</si>
  <si>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</si>
  <si>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</si>
  <si>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</si>
  <si>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</si>
  <si>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</si>
  <si>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</si>
  <si>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</si>
  <si>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</si>
  <si>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</si>
  <si>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</si>
  <si>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</si>
  <si>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</si>
  <si>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</si>
  <si>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</si>
  <si>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</si>
  <si>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</si>
  <si>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</si>
  <si>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</si>
  <si>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</si>
  <si>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</si>
  <si>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</si>
  <si>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</si>
  <si>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</si>
  <si>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</si>
  <si>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</si>
  <si>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</si>
  <si>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</si>
  <si>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</si>
  <si>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</si>
  <si>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</si>
  <si>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</si>
  <si>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</si>
  <si>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</si>
  <si>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</si>
  <si>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</si>
  <si>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</si>
  <si>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</si>
  <si>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</si>
  <si>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</si>
  <si>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</si>
  <si>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</si>
  <si>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</si>
  <si>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</si>
  <si>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</si>
  <si>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</si>
  <si>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</si>
  <si>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</si>
  <si>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</si>
  <si>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</si>
  <si>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</si>
  <si>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</si>
  <si>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</si>
  <si>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</si>
  <si>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</si>
  <si>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</si>
  <si>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</si>
  <si>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</si>
  <si>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</si>
  <si>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</si>
  <si>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</si>
  <si>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</si>
  <si>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</si>
  <si>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</si>
  <si>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</si>
  <si>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</si>
  <si>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</si>
  <si>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</si>
  <si>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</si>
  <si>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</si>
  <si>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</si>
  <si>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</si>
  <si>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</si>
  <si>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</si>
  <si>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</si>
  <si>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</si>
  <si>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</si>
  <si>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</si>
  <si>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</si>
  <si>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</si>
  <si>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</si>
  <si>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</si>
  <si>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</si>
  <si>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</si>
  <si>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</si>
  <si>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</si>
  <si>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</si>
  <si>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</si>
  <si>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</si>
  <si>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</si>
  <si>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</si>
  <si>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</si>
  <si>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</si>
  <si>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</si>
  <si>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</si>
  <si>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</si>
  <si>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</si>
  <si>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</si>
  <si>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</si>
  <si>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</si>
  <si>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</si>
  <si>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</si>
  <si>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</si>
  <si>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</si>
  <si>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</si>
  <si>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</si>
  <si>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</si>
  <si>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</si>
  <si>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</si>
  <si>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</si>
  <si>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</si>
  <si>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</si>
  <si>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</si>
  <si>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</si>
  <si>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</si>
  <si>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</si>
  <si>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</si>
  <si>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</si>
  <si>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</si>
  <si>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</si>
  <si>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</si>
  <si>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</si>
  <si>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</si>
  <si>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</si>
  <si>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</si>
  <si>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</si>
  <si>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</si>
  <si>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</si>
  <si>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</si>
  <si>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</si>
  <si>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</si>
  <si>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</si>
  <si>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</si>
  <si>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</si>
  <si>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</si>
  <si>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</si>
  <si>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</si>
  <si>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</si>
  <si>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</si>
  <si>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</si>
  <si>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</si>
  <si>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</si>
  <si>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</si>
  <si>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</si>
  <si>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</si>
  <si>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</si>
  <si>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</si>
  <si>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</si>
  <si>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</si>
  <si>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</si>
  <si>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</si>
  <si>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</si>
  <si>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</si>
  <si>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</si>
  <si>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</si>
  <si>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</si>
  <si>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</si>
  <si>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</si>
  <si>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</si>
  <si>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</si>
  <si>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</si>
  <si>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</si>
  <si>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</si>
  <si>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</si>
  <si>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</si>
  <si>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</si>
  <si>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</si>
  <si>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</si>
  <si>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</si>
  <si>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</si>
  <si>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</si>
  <si>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</si>
  <si>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</si>
  <si>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</si>
  <si>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</si>
  <si>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</si>
  <si>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</si>
  <si>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</si>
  <si>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</si>
  <si>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</si>
  <si>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</si>
  <si>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</si>
  <si>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</si>
  <si>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</si>
  <si>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</si>
  <si>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</si>
  <si>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</si>
  <si>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</si>
  <si>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</si>
  <si>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</si>
  <si>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</si>
  <si>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</si>
  <si>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</si>
  <si>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</si>
  <si>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</si>
  <si>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</si>
  <si>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</si>
  <si>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</si>
  <si>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</si>
  <si>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</si>
  <si>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</si>
  <si>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</si>
  <si>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</si>
  <si>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</si>
  <si>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</si>
  <si>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</si>
  <si>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</si>
  <si>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</si>
  <si>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</si>
  <si>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</si>
  <si>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</si>
  <si>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</si>
  <si>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</si>
  <si>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</si>
  <si>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</si>
  <si>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</si>
  <si>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</si>
  <si>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</si>
  <si>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</si>
  <si>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</si>
  <si>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</si>
  <si>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</si>
  <si>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</si>
  <si>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</si>
  <si>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</si>
  <si>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</si>
  <si>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</si>
  <si>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</si>
  <si>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</si>
  <si>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</si>
  <si>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</si>
  <si>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</si>
  <si>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</si>
  <si>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</si>
  <si>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</si>
  <si>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</si>
  <si>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</si>
  <si>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</si>
  <si>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</si>
  <si>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</si>
  <si>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</si>
  <si>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</si>
  <si>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</si>
  <si>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</si>
  <si>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</si>
  <si>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</si>
  <si>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</si>
  <si>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</si>
  <si>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</si>
  <si>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</si>
  <si>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</si>
  <si>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</si>
  <si>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</si>
  <si>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</si>
  <si>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</si>
  <si>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</si>
  <si>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</si>
  <si>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</si>
  <si>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</si>
  <si>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</si>
  <si>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</si>
  <si>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</si>
  <si>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</si>
  <si>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</si>
  <si>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</si>
  <si>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</si>
  <si>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</si>
  <si>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</si>
  <si>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</si>
  <si>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</si>
  <si>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</si>
  <si>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</si>
  <si>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</si>
  <si>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</si>
  <si>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</si>
  <si>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</si>
  <si>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</si>
  <si>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</si>
  <si>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</si>
  <si>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</si>
  <si>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</si>
  <si>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</si>
  <si>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</si>
  <si>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</si>
  <si>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</si>
  <si>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</si>
  <si>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</si>
  <si>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</si>
  <si>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</si>
  <si>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</si>
  <si>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</si>
  <si>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</si>
  <si>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</si>
  <si>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</si>
  <si>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</si>
  <si>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</si>
  <si>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</si>
  <si>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</si>
  <si>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</si>
  <si>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</si>
  <si>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</si>
  <si>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</si>
  <si>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</si>
  <si>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</si>
  <si>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</si>
  <si>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</si>
  <si>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</si>
  <si>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</si>
  <si>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</si>
  <si>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</si>
  <si>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</si>
  <si>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</si>
  <si>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</si>
  <si>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</si>
  <si>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</si>
  <si>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</si>
  <si>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</si>
  <si>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</si>
  <si>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</si>
  <si>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</si>
  <si>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</si>
  <si>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</si>
  <si>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</si>
  <si>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</si>
  <si>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</si>
  <si>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</si>
  <si>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</si>
  <si>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</si>
  <si>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</si>
  <si>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</si>
  <si>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</si>
  <si>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</si>
  <si>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</si>
  <si>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</si>
  <si>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</si>
  <si>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</si>
  <si>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</si>
  <si>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</si>
  <si>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</si>
  <si>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</si>
  <si>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</si>
  <si>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</si>
  <si>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</si>
  <si>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</si>
  <si>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</si>
  <si>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</si>
  <si>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</si>
  <si>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</si>
  <si>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</si>
  <si>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</si>
  <si>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</si>
  <si>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</si>
  <si>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</si>
  <si>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</si>
  <si>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</si>
  <si>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</si>
  <si>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</si>
  <si>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</si>
  <si>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</si>
  <si>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</si>
  <si>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</si>
  <si>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</si>
  <si>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</si>
  <si>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</si>
  <si>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</si>
  <si>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</si>
  <si>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</si>
  <si>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</si>
  <si>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</si>
  <si>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</si>
  <si>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</si>
  <si>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</si>
  <si>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</si>
  <si>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</si>
  <si>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</si>
  <si>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</si>
  <si>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</si>
  <si>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</si>
  <si>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</si>
  <si>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</si>
  <si>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</si>
  <si>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</si>
  <si>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</si>
  <si>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</si>
  <si>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</si>
  <si>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</si>
  <si>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</si>
  <si>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</si>
  <si>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</si>
  <si>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</si>
  <si>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</si>
  <si>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</si>
  <si>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</si>
  <si>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</si>
  <si>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</si>
  <si>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</si>
  <si>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</si>
  <si>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</si>
  <si>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</si>
  <si>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</si>
  <si>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</si>
  <si>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</si>
  <si>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</si>
  <si>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</si>
  <si>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</si>
  <si>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</si>
  <si>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</si>
  <si>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</si>
  <si>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</si>
  <si>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</si>
  <si>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</si>
  <si>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</si>
  <si>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</si>
  <si>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</si>
  <si>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</si>
  <si>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</si>
  <si>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</si>
  <si>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</si>
  <si>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</si>
  <si>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</si>
  <si>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</si>
  <si>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</si>
  <si>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</si>
  <si>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</si>
  <si>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</si>
  <si>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</si>
  <si>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</si>
  <si>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</si>
  <si>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</si>
  <si>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</si>
  <si>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</si>
  <si>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</si>
  <si>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</si>
  <si>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</si>
  <si>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</si>
  <si>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</si>
  <si>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</si>
  <si>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</si>
  <si>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</si>
  <si>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</si>
  <si>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</si>
  <si>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</si>
  <si>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</si>
  <si>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</si>
  <si>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</si>
  <si>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</si>
  <si>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</si>
  <si>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</si>
  <si>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</si>
  <si>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</si>
  <si>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</si>
  <si>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</si>
  <si>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</si>
  <si>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</si>
  <si>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</si>
  <si>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</si>
  <si>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</si>
  <si>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</si>
  <si>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</si>
  <si>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</si>
  <si>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</si>
  <si>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</si>
  <si>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</si>
  <si>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</si>
  <si>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</si>
  <si>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</si>
  <si>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</si>
  <si>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</si>
  <si>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</si>
  <si>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</si>
  <si>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</si>
  <si>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</si>
  <si>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</si>
  <si>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</si>
  <si>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</si>
  <si>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</si>
  <si>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</si>
  <si>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</si>
  <si>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</si>
  <si>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</si>
  <si>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</si>
  <si>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</si>
  <si>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</si>
  <si>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</si>
  <si>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</si>
  <si>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</si>
  <si>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</si>
  <si>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</si>
  <si>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</si>
  <si>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</si>
  <si>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</si>
  <si>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</si>
  <si>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</si>
  <si>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</si>
  <si>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</si>
  <si>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</si>
  <si>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</si>
  <si>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</si>
  <si>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</si>
  <si>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</si>
  <si>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</si>
  <si>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</si>
  <si>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</si>
  <si>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</si>
  <si>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</si>
  <si>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</si>
  <si>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</si>
  <si>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</si>
  <si>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</si>
  <si>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</si>
  <si>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</si>
  <si>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</si>
  <si>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</si>
  <si>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</si>
  <si>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</si>
  <si>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</si>
  <si>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</si>
  <si>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</si>
  <si>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</si>
  <si>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</si>
  <si>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</si>
  <si>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</si>
  <si>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</si>
  <si>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</si>
  <si>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</si>
  <si>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</si>
  <si>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</si>
  <si>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</si>
  <si>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</si>
  <si>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</si>
  <si>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</si>
  <si>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</si>
  <si>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</si>
  <si>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</si>
  <si>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</si>
  <si>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</si>
  <si>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</si>
  <si>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</si>
  <si>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</si>
  <si>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</si>
  <si>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</si>
  <si>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</si>
  <si>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</si>
  <si>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</si>
  <si>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</si>
  <si>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</si>
  <si>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</si>
  <si>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</si>
  <si>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</si>
  <si>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</si>
  <si>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</si>
  <si>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</si>
  <si>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</si>
  <si>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</si>
  <si>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</si>
  <si>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</si>
  <si>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</si>
  <si>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</si>
  <si>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</si>
  <si>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</si>
  <si>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</si>
  <si>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</si>
  <si>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</si>
  <si>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</si>
  <si>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</si>
  <si>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</si>
  <si>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</si>
  <si>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</si>
  <si>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</si>
  <si>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</si>
  <si>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</si>
  <si>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</si>
  <si>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</si>
  <si>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</si>
  <si>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</si>
  <si>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</si>
  <si>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</si>
  <si>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</si>
  <si>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</si>
  <si>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</si>
  <si>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</si>
  <si>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</si>
  <si>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</si>
  <si>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</si>
  <si>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</si>
  <si>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</si>
  <si>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</si>
  <si>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</si>
  <si>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</si>
  <si>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</si>
  <si>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</si>
  <si>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</si>
  <si>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</si>
  <si>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</si>
  <si>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</si>
  <si>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</si>
  <si>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</si>
  <si>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</si>
  <si>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</si>
  <si>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</si>
  <si>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</si>
  <si>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</si>
  <si>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</si>
  <si>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</si>
  <si>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</si>
  <si>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</si>
  <si>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</si>
  <si>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</si>
  <si>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</si>
  <si>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</si>
  <si>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</si>
  <si>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</si>
  <si>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</si>
  <si>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</si>
  <si>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</si>
  <si>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</si>
  <si>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</si>
  <si>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</si>
  <si>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</si>
  <si>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</si>
  <si>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</si>
  <si>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</si>
  <si>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</si>
  <si>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</si>
  <si>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</si>
  <si>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</si>
  <si>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</si>
  <si>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</si>
  <si>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</si>
  <si>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</si>
  <si>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</si>
  <si>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</si>
  <si>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</si>
  <si>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</si>
  <si>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</si>
  <si>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</si>
  <si>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</si>
  <si>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</si>
  <si>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</si>
  <si>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</si>
  <si>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</si>
  <si>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</si>
  <si>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</si>
  <si>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</si>
  <si>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</si>
  <si>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</si>
  <si>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</si>
  <si>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</si>
  <si>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</si>
  <si>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</si>
  <si>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</si>
  <si>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</si>
  <si>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</si>
  <si>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</si>
  <si>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</si>
  <si>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</si>
  <si>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</si>
  <si>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</si>
  <si>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</si>
  <si>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</si>
  <si>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</si>
  <si>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</si>
  <si>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</si>
  <si>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</si>
  <si>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</si>
  <si>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</si>
  <si>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</si>
  <si>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</si>
  <si>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</si>
  <si>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</si>
  <si>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</si>
  <si>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</si>
  <si>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</si>
  <si>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</si>
  <si>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</si>
  <si>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</si>
  <si>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</si>
  <si>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</si>
  <si>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</si>
  <si>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</si>
  <si>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</si>
  <si>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</si>
  <si>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</si>
  <si>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</si>
  <si>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</si>
  <si>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</si>
  <si>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</si>
  <si>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</si>
  <si>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</si>
  <si>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</si>
  <si>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</si>
  <si>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</si>
  <si>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</si>
  <si>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</si>
  <si>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</si>
  <si>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</si>
  <si>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</si>
  <si>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</si>
  <si>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</si>
  <si>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</si>
  <si>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</si>
  <si>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</si>
  <si>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</si>
  <si>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</si>
  <si>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</si>
  <si>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</si>
  <si>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</si>
  <si>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</si>
  <si>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</si>
  <si>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</si>
  <si>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</si>
  <si>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</si>
  <si>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</si>
  <si>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</si>
  <si>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</si>
  <si>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</si>
  <si>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</si>
  <si>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</si>
  <si>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</si>
  <si>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</si>
  <si>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</si>
  <si>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</si>
  <si>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</si>
  <si>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</si>
  <si>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</si>
  <si>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</si>
  <si>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</si>
  <si>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</si>
  <si>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</si>
  <si>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</si>
  <si>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</si>
  <si>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</si>
  <si>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</si>
  <si>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</si>
  <si>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</si>
  <si>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</si>
  <si>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</si>
  <si>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</si>
  <si>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</si>
  <si>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</si>
  <si>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</si>
  <si>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</si>
  <si>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</si>
  <si>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</si>
  <si>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</si>
  <si>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</si>
  <si>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</si>
  <si>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</si>
  <si>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</si>
  <si>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</si>
  <si>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</si>
  <si>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</si>
  <si>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</si>
  <si>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</si>
  <si>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</si>
  <si>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</si>
  <si>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</si>
  <si>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</si>
  <si>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</si>
  <si>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</si>
  <si>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</si>
  <si>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</si>
  <si>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</si>
  <si>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</si>
  <si>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</si>
  <si>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</si>
  <si>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</si>
  <si>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</si>
  <si>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</si>
  <si>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</si>
  <si>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</si>
  <si>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</si>
  <si>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</si>
  <si>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</si>
  <si>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</si>
  <si>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</si>
  <si>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</si>
  <si>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</si>
  <si>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</si>
  <si>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</si>
  <si>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</si>
  <si>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</si>
  <si>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</si>
  <si>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</si>
  <si>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</si>
  <si>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</si>
  <si>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</si>
  <si>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</si>
  <si>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</si>
  <si>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</si>
  <si>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</si>
  <si>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</si>
  <si>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</si>
  <si>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</si>
  <si>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</si>
  <si>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</si>
  <si>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</si>
  <si>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</si>
  <si>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</si>
  <si>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</si>
  <si>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</si>
  <si>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</si>
  <si>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</si>
  <si>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</si>
  <si>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</si>
  <si>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</si>
  <si>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</si>
  <si>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</si>
  <si>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</si>
  <si>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</si>
  <si>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</si>
  <si>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</si>
  <si>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</si>
  <si>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</si>
  <si>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</si>
  <si>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</si>
  <si>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</si>
  <si>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</si>
  <si>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</si>
  <si>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</si>
  <si>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</si>
  <si>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</si>
  <si>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</si>
  <si>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</si>
  <si>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</si>
  <si>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</si>
  <si>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</si>
  <si>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</si>
  <si>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</si>
  <si>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</si>
  <si>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</si>
  <si>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</si>
  <si>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</si>
  <si>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</si>
  <si>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</si>
  <si>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</si>
  <si>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</si>
  <si>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</si>
  <si>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</si>
  <si>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</si>
  <si>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</si>
  <si>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</si>
  <si>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</si>
  <si>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</si>
  <si>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</si>
  <si>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</si>
  <si>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</si>
  <si>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</si>
  <si>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</si>
  <si>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</si>
  <si>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</si>
  <si>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</si>
  <si>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</si>
  <si>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</si>
  <si>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</si>
  <si>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</si>
  <si>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</si>
  <si>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</si>
  <si>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</si>
  <si>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</si>
  <si>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</si>
  <si>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</si>
  <si>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</si>
  <si>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</si>
  <si>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</si>
  <si>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</si>
  <si>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</si>
  <si>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</si>
  <si>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</si>
  <si>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</si>
  <si>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</si>
  <si>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</si>
  <si>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</si>
  <si>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</si>
  <si>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</si>
  <si>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</si>
  <si>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</si>
  <si>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</si>
  <si>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</si>
  <si>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</si>
  <si>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</si>
  <si>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</si>
  <si>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</si>
  <si>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</si>
  <si>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</si>
  <si>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</si>
  <si>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</si>
  <si>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</si>
  <si>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</si>
  <si>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</si>
  <si>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</si>
  <si>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</si>
  <si>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</si>
  <si>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</si>
  <si>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</si>
  <si>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</si>
  <si>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</si>
  <si>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</si>
  <si>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</si>
  <si>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</si>
  <si>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</si>
  <si>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</si>
  <si>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</si>
  <si>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</si>
  <si>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</si>
  <si>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</si>
  <si>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</si>
  <si>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</si>
  <si>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</si>
  <si>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</si>
  <si>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</si>
  <si>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</si>
  <si>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</si>
  <si>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</si>
  <si>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</si>
  <si>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</si>
  <si>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</si>
  <si>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</si>
  <si>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</si>
  <si>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</si>
  <si>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</si>
  <si>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</si>
  <si>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</si>
  <si>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</si>
  <si>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</si>
  <si>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</si>
  <si>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</si>
  <si>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</si>
  <si>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</si>
  <si>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</si>
  <si>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</si>
  <si>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</si>
  <si>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</si>
  <si>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</si>
  <si>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</si>
  <si>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</si>
  <si>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</si>
  <si>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</si>
  <si>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</si>
  <si>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</si>
  <si>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</si>
  <si>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</si>
  <si>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</si>
  <si>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</si>
  <si>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</si>
  <si>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</si>
  <si>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</si>
  <si>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</si>
  <si>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</si>
  <si>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</si>
  <si>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</si>
  <si>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</si>
  <si>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</si>
  <si>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</si>
  <si>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</si>
  <si>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</si>
  <si>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</si>
  <si>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</si>
  <si>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</si>
  <si>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</si>
  <si>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</si>
  <si>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</si>
  <si>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</si>
  <si>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</si>
  <si>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</si>
  <si>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</si>
  <si>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</si>
  <si>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</si>
  <si>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</si>
  <si>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</si>
  <si>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</si>
  <si>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</si>
  <si>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</si>
  <si>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</si>
  <si>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</si>
  <si>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</si>
  <si>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</si>
  <si>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</si>
  <si>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</si>
  <si>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</si>
  <si>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</si>
  <si>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</si>
  <si>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</si>
  <si>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</si>
  <si>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</si>
  <si>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</si>
  <si>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</si>
  <si>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</si>
  <si>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</si>
  <si>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</si>
  <si>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</si>
  <si>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</si>
  <si>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</si>
  <si>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</si>
  <si>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</si>
  <si>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</si>
  <si>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</si>
  <si>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</si>
  <si>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</si>
  <si>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</si>
  <si>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</si>
  <si>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</si>
  <si>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</si>
  <si>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</si>
  <si>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</si>
  <si>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</si>
  <si>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</si>
  <si>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</si>
  <si>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</si>
  <si>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</si>
  <si>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</si>
  <si>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</si>
  <si>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</si>
  <si>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</si>
  <si>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</si>
  <si>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</si>
  <si>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</si>
  <si>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</si>
  <si>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</si>
  <si>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</si>
  <si>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</si>
  <si>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</si>
  <si>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</si>
  <si>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</si>
  <si>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</si>
  <si>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</si>
  <si>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</si>
  <si>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</si>
  <si>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</si>
  <si>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</si>
  <si>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</si>
  <si>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</si>
  <si>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</si>
  <si>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</si>
  <si>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</si>
  <si>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</si>
  <si>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</si>
  <si>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</si>
  <si>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</si>
  <si>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</si>
  <si>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</si>
  <si>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</si>
  <si>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</si>
  <si>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</si>
  <si>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</si>
  <si>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</si>
  <si>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</si>
  <si>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</si>
  <si>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</si>
  <si>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</si>
  <si>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</si>
  <si>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</si>
  <si>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</si>
  <si>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</si>
  <si>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</si>
  <si>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</si>
  <si>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</si>
  <si>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</si>
  <si>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</si>
  <si>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</si>
  <si>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</si>
  <si>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</si>
  <si>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</si>
  <si>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</si>
  <si>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</si>
  <si>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</si>
  <si>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</si>
  <si>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</si>
  <si>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</si>
  <si>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</si>
  <si>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</si>
  <si>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</si>
  <si>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</si>
  <si>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</si>
  <si>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</si>
  <si>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</si>
  <si>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</si>
  <si>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</si>
  <si>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</si>
  <si>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</si>
  <si>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</si>
  <si>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</si>
  <si>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</si>
  <si>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</si>
  <si>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</si>
  <si>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</si>
  <si>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</si>
  <si>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</si>
  <si>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</si>
  <si>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</si>
  <si>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</si>
  <si>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</si>
  <si>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</si>
  <si>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</si>
  <si>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</si>
  <si>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</si>
  <si>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</si>
  <si>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</si>
  <si>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</si>
  <si>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</si>
  <si>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</si>
  <si>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</si>
  <si>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</si>
  <si>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</si>
  <si>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</si>
  <si>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</si>
  <si>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</si>
  <si>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</si>
  <si>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</si>
  <si>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</si>
  <si>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</si>
  <si>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</si>
  <si>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</si>
  <si>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</si>
  <si>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</si>
  <si>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</si>
  <si>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</si>
  <si>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</si>
  <si>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</si>
  <si>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</si>
  <si>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</si>
  <si>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</si>
  <si>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</si>
  <si>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</si>
  <si>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</si>
  <si>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</si>
  <si>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</si>
  <si>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</si>
  <si>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</si>
  <si>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</si>
  <si>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</si>
  <si>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</si>
  <si>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</si>
  <si>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</si>
  <si>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</si>
  <si>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</si>
  <si>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</si>
  <si>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</si>
  <si>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</si>
  <si>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</si>
  <si>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</si>
  <si>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</si>
  <si>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</si>
  <si>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</si>
  <si>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</si>
  <si>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</si>
  <si>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</si>
  <si>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</si>
  <si>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</si>
  <si>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</si>
  <si>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</si>
  <si>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</si>
  <si>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</si>
  <si>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</si>
  <si>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</si>
  <si>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</si>
  <si>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</si>
  <si>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</si>
  <si>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</si>
  <si>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</si>
  <si>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</si>
  <si>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</si>
  <si>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</si>
  <si>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</si>
  <si>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</si>
  <si>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</si>
  <si>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</si>
  <si>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</si>
  <si>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</si>
  <si>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</si>
  <si>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</si>
  <si>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</si>
  <si>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</si>
  <si>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</si>
  <si>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</si>
  <si>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</si>
  <si>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</si>
  <si>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</si>
  <si>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</si>
  <si>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</si>
  <si>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</si>
  <si>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</si>
  <si>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</si>
  <si>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</si>
  <si>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</si>
  <si>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</si>
  <si>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</si>
  <si>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</si>
  <si>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</si>
  <si>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</si>
  <si>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</si>
  <si>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</si>
  <si>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</si>
  <si>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</si>
  <si>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</si>
  <si>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</si>
  <si>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</si>
  <si>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</si>
  <si>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</si>
  <si>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</si>
  <si>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</si>
  <si>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</si>
  <si>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</si>
  <si>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</si>
  <si>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</si>
  <si>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</si>
  <si>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</si>
  <si>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</si>
  <si>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</si>
  <si>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</si>
  <si>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</si>
  <si>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</si>
  <si>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</si>
  <si>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</si>
  <si>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</si>
  <si>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</si>
  <si>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</si>
  <si>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</si>
  <si>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</si>
  <si>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</si>
  <si>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</si>
  <si>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</si>
  <si>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</si>
  <si>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</si>
  <si>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</si>
  <si>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</si>
  <si>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</si>
  <si>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</si>
  <si>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</si>
  <si>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</si>
  <si>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</si>
  <si>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</si>
  <si>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</si>
  <si>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</si>
  <si>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</si>
  <si>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</si>
  <si>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</si>
  <si>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</si>
  <si>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</si>
  <si>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</si>
  <si>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</si>
  <si>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</si>
  <si>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</si>
  <si>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</si>
  <si>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</si>
  <si>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</si>
  <si>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</si>
  <si>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</si>
  <si>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</si>
  <si>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</si>
  <si>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</si>
  <si>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</si>
  <si>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</si>
  <si>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</si>
  <si>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</si>
  <si>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</si>
  <si>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</si>
  <si>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</si>
  <si>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</si>
  <si>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</si>
  <si>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</si>
  <si>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</si>
  <si>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</si>
  <si>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</si>
  <si>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</si>
  <si>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</si>
  <si>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</si>
  <si>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</si>
  <si>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</si>
  <si>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</si>
  <si>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</si>
  <si>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</si>
  <si>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</si>
  <si>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</si>
  <si>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</si>
  <si>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</si>
  <si>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</si>
  <si>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</si>
  <si>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</si>
  <si>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</si>
  <si>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</si>
  <si>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</si>
  <si>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</si>
  <si>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</si>
  <si>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</si>
  <si>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</si>
  <si>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</si>
  <si>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</si>
  <si>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</si>
  <si>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</si>
  <si>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</si>
  <si>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</si>
  <si>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</si>
  <si>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</si>
  <si>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</si>
  <si>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</si>
  <si>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</si>
  <si>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</si>
  <si>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</si>
  <si>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</si>
  <si>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</si>
  <si>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</si>
  <si>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</si>
  <si>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</si>
  <si>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</si>
  <si>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</si>
  <si>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</si>
  <si>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</si>
  <si>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</si>
  <si>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</si>
  <si>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</si>
  <si>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</si>
  <si>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</si>
  <si>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</si>
  <si>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</si>
  <si>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</si>
  <si>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</si>
  <si>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</si>
  <si>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</si>
  <si>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</si>
  <si>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</si>
  <si>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</si>
  <si>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</si>
  <si>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</si>
  <si>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</si>
  <si>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</si>
  <si>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</si>
  <si>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</si>
  <si>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</si>
  <si>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</si>
  <si>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</si>
  <si>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</si>
  <si>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</si>
  <si>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</si>
  <si>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</si>
  <si>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</si>
  <si>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</si>
  <si>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</si>
  <si>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</si>
  <si>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</si>
  <si>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</si>
  <si>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</si>
  <si>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</si>
  <si>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</si>
  <si>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</si>
  <si>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</si>
  <si>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</si>
  <si>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</si>
  <si>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</si>
  <si>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</si>
  <si>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</si>
  <si>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</si>
  <si>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</si>
  <si>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</si>
  <si>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</si>
  <si>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</si>
  <si>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</si>
  <si>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</si>
  <si>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</si>
  <si>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</si>
  <si>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</si>
  <si>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</si>
  <si>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</si>
  <si>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</si>
  <si>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</si>
  <si>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</si>
  <si>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</si>
  <si>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</si>
  <si>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</si>
  <si>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</si>
  <si>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</si>
  <si>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</si>
  <si>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</si>
  <si>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</si>
  <si>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</si>
  <si>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</si>
  <si>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</si>
  <si>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</si>
  <si>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</si>
  <si>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</si>
  <si>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</si>
  <si>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</si>
  <si>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</si>
  <si>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</si>
  <si>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</si>
  <si>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</si>
  <si>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</si>
  <si>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</si>
  <si>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</si>
  <si>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</si>
  <si>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</si>
  <si>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</si>
  <si>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</si>
  <si>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</si>
  <si>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</si>
  <si>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</si>
  <si>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</si>
  <si>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</si>
  <si>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</si>
  <si>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</si>
  <si>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</si>
  <si>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</si>
  <si>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</si>
  <si>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</si>
  <si>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</si>
  <si>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</si>
  <si>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</si>
  <si>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</si>
  <si>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</si>
  <si>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</si>
  <si>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</si>
  <si>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</si>
  <si>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</si>
  <si>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</si>
  <si>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</si>
  <si>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</si>
  <si>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</si>
  <si>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</si>
  <si>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</si>
  <si>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</si>
  <si>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</si>
  <si>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</si>
  <si>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</si>
  <si>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</si>
  <si>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</si>
  <si>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</si>
  <si>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</si>
  <si>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</si>
  <si>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</si>
  <si>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</si>
  <si>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</si>
  <si>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</si>
  <si>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</si>
  <si>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</si>
  <si>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</si>
  <si>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</si>
  <si>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</si>
  <si>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</si>
  <si>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</si>
  <si>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</si>
  <si>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</si>
  <si>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</si>
  <si>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</si>
  <si>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</si>
  <si>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</si>
  <si>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</si>
  <si>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</si>
  <si>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</si>
  <si>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</si>
  <si>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</si>
  <si>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</si>
  <si>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</si>
  <si>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</si>
  <si>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</si>
  <si>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</si>
  <si>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</si>
  <si>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</si>
  <si>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</si>
  <si>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</si>
  <si>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</si>
  <si>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</si>
  <si>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</si>
  <si>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</si>
  <si>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</si>
  <si>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</si>
  <si>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</si>
  <si>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</si>
  <si>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</si>
  <si>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</si>
  <si>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</si>
  <si>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</si>
  <si>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</si>
  <si>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</si>
  <si>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</si>
  <si>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</si>
  <si>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</si>
  <si>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</si>
  <si>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</si>
  <si>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</si>
  <si>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</si>
  <si>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</si>
  <si>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</si>
  <si>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</si>
  <si>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</si>
  <si>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</si>
  <si>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</si>
  <si>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</si>
  <si>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</si>
  <si>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</si>
  <si>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</si>
  <si>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</si>
  <si>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</si>
  <si>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</si>
  <si>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</si>
  <si>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</si>
  <si>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</si>
  <si>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</si>
  <si>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</si>
  <si>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</si>
  <si>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</si>
  <si>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</si>
  <si>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</si>
  <si>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</si>
  <si>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</si>
  <si>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</si>
  <si>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</si>
  <si>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</si>
  <si>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</si>
  <si>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</si>
  <si>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</si>
  <si>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</si>
  <si>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</si>
  <si>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</si>
  <si>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</si>
  <si>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</si>
  <si>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</si>
  <si>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</si>
  <si>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</si>
  <si>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</si>
  <si>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</si>
  <si>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</si>
  <si>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</si>
  <si>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</si>
  <si>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</si>
  <si>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</si>
  <si>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</si>
  <si>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</si>
  <si>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</si>
  <si>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</si>
  <si>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</si>
  <si>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</si>
  <si>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</si>
  <si>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</si>
  <si>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</si>
  <si>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</si>
  <si>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</si>
  <si>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</si>
  <si>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</si>
  <si>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</si>
  <si>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</si>
  <si>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</si>
  <si>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</si>
  <si>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</si>
  <si>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</si>
  <si>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</si>
  <si>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</si>
  <si>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</si>
  <si>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</si>
  <si>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</si>
  <si>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</si>
  <si>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</si>
  <si>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</si>
  <si>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</si>
  <si>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</si>
  <si>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</si>
  <si>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</si>
  <si>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</si>
  <si>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</si>
  <si>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</si>
  <si>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</si>
  <si>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</si>
  <si>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</si>
  <si>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</si>
  <si>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</si>
  <si>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</si>
  <si>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</si>
  <si>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</si>
  <si>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</si>
  <si>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</si>
  <si>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</si>
  <si>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</si>
  <si>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</si>
  <si>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</si>
  <si>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</si>
  <si>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</si>
  <si>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</si>
  <si>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</si>
  <si>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</si>
  <si>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</si>
  <si>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</si>
  <si>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</si>
  <si>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</si>
  <si>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</si>
  <si>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</si>
  <si>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</si>
  <si>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</si>
  <si>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</si>
  <si>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</si>
  <si>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</si>
  <si>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</si>
  <si>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</si>
  <si>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</si>
  <si>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</si>
  <si>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</si>
  <si>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</si>
  <si>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</si>
  <si>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</si>
  <si>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</si>
  <si>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</si>
  <si>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</si>
  <si>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</si>
  <si>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</si>
  <si>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</si>
  <si>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</si>
  <si>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</si>
  <si>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</si>
  <si>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</si>
  <si>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</si>
  <si>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</si>
  <si>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</si>
  <si>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</si>
  <si>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</si>
  <si>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</si>
  <si>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</si>
  <si>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</si>
  <si>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</si>
  <si>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</si>
  <si>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</si>
  <si>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</si>
  <si>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</si>
  <si>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</si>
  <si>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</si>
  <si>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</si>
  <si>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</si>
  <si>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</si>
  <si>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</si>
  <si>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</si>
  <si>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</si>
  <si>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</si>
  <si>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</si>
  <si>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</si>
  <si>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</si>
  <si>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</si>
  <si>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</si>
  <si>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</si>
  <si>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</si>
  <si>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</si>
  <si>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</si>
  <si>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</si>
  <si>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</si>
  <si>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</si>
  <si>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</si>
  <si>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</si>
  <si>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</si>
  <si>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</si>
  <si>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</si>
  <si>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</si>
  <si>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</si>
  <si>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</si>
  <si>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</si>
  <si>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</si>
  <si>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</si>
  <si>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</si>
  <si>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</si>
  <si>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</si>
  <si>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</si>
  <si>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</si>
  <si>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</si>
  <si>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</si>
  <si>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</si>
  <si>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</si>
  <si>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</si>
  <si>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</si>
  <si>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</si>
  <si>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</si>
  <si>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</si>
  <si>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</si>
  <si>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</si>
  <si>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</si>
  <si>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</si>
  <si>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</si>
  <si>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</si>
  <si>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</si>
  <si>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</si>
  <si>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</si>
  <si>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</si>
  <si>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</si>
  <si>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</si>
  <si>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</si>
  <si>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</si>
  <si>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</si>
  <si>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</si>
  <si>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</si>
  <si>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</si>
  <si>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</si>
  <si>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</si>
  <si>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</si>
  <si>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</si>
  <si>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</si>
  <si>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</si>
  <si>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</si>
  <si>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</si>
  <si>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</si>
  <si>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</si>
  <si>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</si>
  <si>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</si>
  <si>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</si>
  <si>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</si>
  <si>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</si>
  <si>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</si>
  <si>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</si>
  <si>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</si>
  <si>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</si>
  <si>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</si>
  <si>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</si>
  <si>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</si>
  <si>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</si>
  <si>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</si>
  <si>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</si>
  <si>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</si>
  <si>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</si>
  <si>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</si>
  <si>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</si>
  <si>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</si>
  <si>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</si>
  <si>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</si>
  <si>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</si>
  <si>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</si>
  <si>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</si>
  <si>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</si>
  <si>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</si>
  <si>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</si>
  <si>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</si>
  <si>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</si>
  <si>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</si>
  <si>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</si>
  <si>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</si>
  <si>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</si>
  <si>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</si>
  <si>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</si>
  <si>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</si>
  <si>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</si>
  <si>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</si>
  <si>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</si>
  <si>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</si>
  <si>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</si>
  <si>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</si>
  <si>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</si>
  <si>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</si>
  <si>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</si>
  <si>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</si>
  <si>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</si>
  <si>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</si>
  <si>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</si>
  <si>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</si>
  <si>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</si>
  <si>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</si>
  <si>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</si>
  <si>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</si>
  <si>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</si>
  <si>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</si>
  <si>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</si>
  <si>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</si>
  <si>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</si>
  <si>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</si>
  <si>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</si>
  <si>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</si>
  <si>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</si>
  <si>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</si>
  <si>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</si>
  <si>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</si>
  <si>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</si>
  <si>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</si>
  <si>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</si>
  <si>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</si>
  <si>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</si>
  <si>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</si>
  <si>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</si>
  <si>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</si>
  <si>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</si>
  <si>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</si>
  <si>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</si>
  <si>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</si>
  <si>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</si>
  <si>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</si>
  <si>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</si>
  <si>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</si>
  <si>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</si>
  <si>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</si>
  <si>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</si>
  <si>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</si>
  <si>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</si>
  <si>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</si>
  <si>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</si>
  <si>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</si>
  <si>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</si>
  <si>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</si>
  <si>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</si>
  <si>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</si>
  <si>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</si>
  <si>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</si>
  <si>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</si>
  <si>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</si>
  <si>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</si>
  <si>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</si>
  <si>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</si>
  <si>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</si>
  <si>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</si>
  <si>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</si>
  <si>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</si>
  <si>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</si>
  <si>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</si>
  <si>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</si>
  <si>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</si>
  <si>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</si>
  <si>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</si>
  <si>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</si>
  <si>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</si>
  <si>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</si>
  <si>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</si>
  <si>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</si>
  <si>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</si>
  <si>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</si>
  <si>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</si>
  <si>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</si>
  <si>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</si>
  <si>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</si>
  <si>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</si>
  <si>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</si>
  <si>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</si>
  <si>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</si>
  <si>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</si>
  <si>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</si>
  <si>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</si>
  <si>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</si>
  <si>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</si>
  <si>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</si>
  <si>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</si>
  <si>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</si>
  <si>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</si>
  <si>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</si>
  <si>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</si>
  <si>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</si>
  <si>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</si>
  <si>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</si>
  <si>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</si>
  <si>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</si>
  <si>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</si>
  <si>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</si>
  <si>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</si>
  <si>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</si>
  <si>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</si>
  <si>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</si>
  <si>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</si>
  <si>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</si>
  <si>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</si>
  <si>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</si>
  <si>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</si>
  <si>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</si>
  <si>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</si>
  <si>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</si>
  <si>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</si>
  <si>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</si>
  <si>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</si>
  <si>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</si>
  <si>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</si>
  <si>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</si>
  <si>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</si>
  <si>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</si>
  <si>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</si>
  <si>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</si>
  <si>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</si>
  <si>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</si>
  <si>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</si>
  <si>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</si>
  <si>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</si>
  <si>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</si>
  <si>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</si>
  <si>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</si>
  <si>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</si>
  <si>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</si>
  <si>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</si>
  <si>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</si>
  <si>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</si>
  <si>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</si>
  <si>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</si>
  <si>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</si>
  <si>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</si>
  <si>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</si>
  <si>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</si>
  <si>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</si>
  <si>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</si>
  <si>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</si>
  <si>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</si>
  <si>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</si>
  <si>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</si>
  <si>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</si>
  <si>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</si>
  <si>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</si>
  <si>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</si>
  <si>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</si>
  <si>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</si>
  <si>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</si>
  <si>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</si>
  <si>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</si>
  <si>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</si>
  <si>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</si>
  <si>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</si>
  <si>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</si>
  <si>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</si>
  <si>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</si>
  <si>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</si>
  <si>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</si>
  <si>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</si>
  <si>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</si>
  <si>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</si>
  <si>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</si>
  <si>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</si>
  <si>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</si>
  <si>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</si>
  <si>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</si>
  <si>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</si>
  <si>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</si>
  <si>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</si>
  <si>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</si>
  <si>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</si>
  <si>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</si>
  <si>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</si>
  <si>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</si>
  <si>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</si>
  <si>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</si>
  <si>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</si>
  <si>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</si>
  <si>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</si>
  <si>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</si>
  <si>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</si>
  <si>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</si>
  <si>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</si>
  <si>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</si>
  <si>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</si>
  <si>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</si>
  <si>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</si>
  <si>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</si>
  <si>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</si>
  <si>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</si>
  <si>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</si>
  <si>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</si>
  <si>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</si>
  <si>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</si>
  <si>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</si>
  <si>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</si>
  <si>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</si>
  <si>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</si>
  <si>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</si>
  <si>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</si>
  <si>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</si>
  <si>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</si>
  <si>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</si>
  <si>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</si>
  <si>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</si>
  <si>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</si>
  <si>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</si>
  <si>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</si>
  <si>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</si>
  <si>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</si>
  <si>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</si>
  <si>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</si>
  <si>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</si>
  <si>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</si>
  <si>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</si>
  <si>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</si>
  <si>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</si>
  <si>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</si>
  <si>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</si>
  <si>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</si>
  <si>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</si>
  <si>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</si>
  <si>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</si>
  <si>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</si>
  <si>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</si>
  <si>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</si>
  <si>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</si>
  <si>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</si>
  <si>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</si>
  <si>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</si>
  <si>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</si>
  <si>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</si>
  <si>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</si>
  <si>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</si>
  <si>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</si>
  <si>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</si>
  <si>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</si>
  <si>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</si>
  <si>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</si>
  <si>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</si>
  <si>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</si>
  <si>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</si>
  <si>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</si>
  <si>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</si>
  <si>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</si>
  <si>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</si>
  <si>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</si>
  <si>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</si>
  <si>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</si>
  <si>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</si>
  <si>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</si>
  <si>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</si>
  <si>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</si>
  <si>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</si>
  <si>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</si>
  <si>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</si>
  <si>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</si>
  <si>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</si>
  <si>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</si>
  <si>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</si>
  <si>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</si>
  <si>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</si>
  <si>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</si>
  <si>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</si>
  <si>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</si>
  <si>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</si>
  <si>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</si>
  <si>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</si>
  <si>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</si>
  <si>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</si>
  <si>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</si>
  <si>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</si>
  <si>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</si>
  <si>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</si>
  <si>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</si>
  <si>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</si>
  <si>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</si>
  <si>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</si>
  <si>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</si>
  <si>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</si>
  <si>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</si>
  <si>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</si>
  <si>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</si>
  <si>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</si>
  <si>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</si>
  <si>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</si>
  <si>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</si>
  <si>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</si>
  <si>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</si>
  <si>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</si>
  <si>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</si>
  <si>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</si>
  <si>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</si>
  <si>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</si>
  <si>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</si>
  <si>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</si>
  <si>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</si>
  <si>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</si>
  <si>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</si>
  <si>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</si>
  <si>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</si>
  <si>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</si>
  <si>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</si>
  <si>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</si>
  <si>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</si>
  <si>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</si>
  <si>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</si>
  <si>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</si>
  <si>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</si>
  <si>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</si>
  <si>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</si>
  <si>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</si>
  <si>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</si>
  <si>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</si>
  <si>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</si>
  <si>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</si>
  <si>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</si>
  <si>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</si>
  <si>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</si>
  <si>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</si>
  <si>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</si>
  <si>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</si>
  <si>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</si>
  <si>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</si>
  <si>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</si>
  <si>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</si>
  <si>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</si>
  <si>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</si>
  <si>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</si>
  <si>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</si>
  <si>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</si>
  <si>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</si>
  <si>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</si>
  <si>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</si>
  <si>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</si>
  <si>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</si>
  <si>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</si>
  <si>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</si>
  <si>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</si>
  <si>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</si>
  <si>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</si>
  <si>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</si>
  <si>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</si>
  <si>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</si>
  <si>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</si>
  <si>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</si>
  <si>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</si>
  <si>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</si>
  <si>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</si>
  <si>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</si>
  <si>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</si>
  <si>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</si>
  <si>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</si>
  <si>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</si>
  <si>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</si>
  <si>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</si>
  <si>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</si>
  <si>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</si>
  <si>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</si>
  <si>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</si>
  <si>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</si>
  <si>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</si>
  <si>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</si>
  <si>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</si>
  <si>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</si>
  <si>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</si>
  <si>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</si>
  <si>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</si>
  <si>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</si>
  <si>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</si>
  <si>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</si>
  <si>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</si>
  <si>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</si>
  <si>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</si>
  <si>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</si>
  <si>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</si>
  <si>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</si>
  <si>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</si>
  <si>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</si>
  <si>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</si>
  <si>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</si>
  <si>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</si>
  <si>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</si>
  <si>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</si>
  <si>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</si>
  <si>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</si>
  <si>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</si>
  <si>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</si>
  <si>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</si>
  <si>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</si>
  <si>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</si>
  <si>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</si>
  <si>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</si>
  <si>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</si>
  <si>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</si>
  <si>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</si>
  <si>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</si>
  <si>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</si>
  <si>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</si>
  <si>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</si>
  <si>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</si>
  <si>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</si>
  <si>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</si>
  <si>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</si>
  <si>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</si>
  <si>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</si>
  <si>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</si>
  <si>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</si>
  <si>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</si>
  <si>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</si>
  <si>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</si>
  <si>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</si>
  <si>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</si>
  <si>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</si>
  <si>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</si>
  <si>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</si>
  <si>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</si>
  <si>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</si>
  <si>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</si>
  <si>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</si>
  <si>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</si>
  <si>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</si>
  <si>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</si>
  <si>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</si>
  <si>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</si>
  <si>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</si>
  <si>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</si>
  <si>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</si>
  <si>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</si>
  <si>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</si>
  <si>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</si>
  <si>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</si>
  <si>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</si>
  <si>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</si>
  <si>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</si>
  <si>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</si>
  <si>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</si>
  <si>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</si>
  <si>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</si>
  <si>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</si>
  <si>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</si>
  <si>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</si>
  <si>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</si>
  <si>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</si>
  <si>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</si>
  <si>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</si>
  <si>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</si>
  <si>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</si>
  <si>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</si>
  <si>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</si>
  <si>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</si>
  <si>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</si>
  <si>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</si>
  <si>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</si>
  <si>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</si>
  <si>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</si>
  <si>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</si>
  <si>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</si>
  <si>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</si>
  <si>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</si>
  <si>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</si>
  <si>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</si>
  <si>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</si>
  <si>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</si>
  <si>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</si>
  <si>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</si>
  <si>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</si>
  <si>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</si>
  <si>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</si>
  <si>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</si>
  <si>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</si>
  <si>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</si>
  <si>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</si>
  <si>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</si>
  <si>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</si>
  <si>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</si>
  <si>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</si>
  <si>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</si>
  <si>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</si>
  <si>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</si>
  <si>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</si>
  <si>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</si>
  <si>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</si>
  <si>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</si>
  <si>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</si>
  <si>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</si>
  <si>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</si>
  <si>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</si>
  <si>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</si>
  <si>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</si>
  <si>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</si>
  <si>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</si>
  <si>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</si>
  <si>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</si>
  <si>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</si>
  <si>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</si>
  <si>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</si>
  <si>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</si>
  <si>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</si>
  <si>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</si>
  <si>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</si>
  <si>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</si>
  <si>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</si>
  <si>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</si>
  <si>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</si>
  <si>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</si>
  <si>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</si>
  <si>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</si>
  <si>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</si>
  <si>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</si>
  <si>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</si>
  <si>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</si>
  <si>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</si>
  <si>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</si>
  <si>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</si>
  <si>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</si>
  <si>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</si>
  <si>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</si>
  <si>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</si>
  <si>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</si>
  <si>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</si>
  <si>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</si>
  <si>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</si>
  <si>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</si>
  <si>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</si>
  <si>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</si>
  <si>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</si>
  <si>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</si>
  <si>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</si>
  <si>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</si>
  <si>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</si>
  <si>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</si>
  <si>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</si>
  <si>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</si>
  <si>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</si>
  <si>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</si>
  <si>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</si>
  <si>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</si>
  <si>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</si>
  <si>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</si>
  <si>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</si>
  <si>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</si>
  <si>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</si>
  <si>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</si>
  <si>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</si>
  <si>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</si>
  <si>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</si>
  <si>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</si>
  <si>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</si>
  <si>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</si>
  <si>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</si>
  <si>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</si>
  <si>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</si>
  <si>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</si>
  <si>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</si>
  <si>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</si>
  <si>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</si>
  <si>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</si>
  <si>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</si>
  <si>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</si>
  <si>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</si>
  <si>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</si>
  <si>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</si>
  <si>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</si>
  <si>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</si>
  <si>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</si>
  <si>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</si>
  <si>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</si>
  <si>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</si>
  <si>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</si>
  <si>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</si>
  <si>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</si>
  <si>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</si>
  <si>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</si>
  <si>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</si>
  <si>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</si>
  <si>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</si>
  <si>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</si>
  <si>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</si>
  <si>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</si>
  <si>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</si>
  <si>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</si>
  <si>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</si>
  <si>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</si>
  <si>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</si>
  <si>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</si>
  <si>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</si>
  <si>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</si>
  <si>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</si>
  <si>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</si>
  <si>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</si>
  <si>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</si>
  <si>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</si>
  <si>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</si>
  <si>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</si>
  <si>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</si>
  <si>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</si>
  <si>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</si>
  <si>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</si>
  <si>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</si>
  <si>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</si>
  <si>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</si>
  <si>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</si>
  <si>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</si>
  <si>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</si>
  <si>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</si>
  <si>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</si>
  <si>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</si>
  <si>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</si>
  <si>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</si>
  <si>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</si>
  <si>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</si>
  <si>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</si>
  <si>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</si>
  <si>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</si>
  <si>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</si>
  <si>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</si>
  <si>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</si>
  <si>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</si>
  <si>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</si>
  <si>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</si>
  <si>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</si>
  <si>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</si>
  <si>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</si>
  <si>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</si>
  <si>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</si>
  <si>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</si>
  <si>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</si>
  <si>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</si>
  <si>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</si>
  <si>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</si>
  <si>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</si>
  <si>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</si>
  <si>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</si>
  <si>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</si>
  <si>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</si>
  <si>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</si>
  <si>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</si>
  <si>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</si>
  <si>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</si>
  <si>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</si>
  <si>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</si>
  <si>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</si>
  <si>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</si>
  <si>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</si>
  <si>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</si>
  <si>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</si>
  <si>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</si>
  <si>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</si>
  <si>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</si>
  <si>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</si>
  <si>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</si>
  <si>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</si>
  <si>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</si>
  <si>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</si>
  <si>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</si>
  <si>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</si>
  <si>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</si>
  <si>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</si>
  <si>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</si>
  <si>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</si>
  <si>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</si>
  <si>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</si>
  <si>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</si>
  <si>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</si>
  <si>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</si>
  <si>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</si>
  <si>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</si>
  <si>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</si>
  <si>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</si>
  <si>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</si>
  <si>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</si>
  <si>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</si>
  <si>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</si>
  <si>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</si>
  <si>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</si>
  <si>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</si>
  <si>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</si>
  <si>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</si>
  <si>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</si>
  <si>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</si>
  <si>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</si>
  <si>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</si>
  <si>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</si>
  <si>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</si>
  <si>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</si>
  <si>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</si>
  <si>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</si>
  <si>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</si>
  <si>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</si>
  <si>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</si>
  <si>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</si>
  <si>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</si>
  <si>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</si>
  <si>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</si>
  <si>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</si>
  <si>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</si>
  <si>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</si>
  <si>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</si>
  <si>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</si>
  <si>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</si>
  <si>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</si>
  <si>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</si>
  <si>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</si>
  <si>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</si>
  <si>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</si>
  <si>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</si>
  <si>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</si>
  <si>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</si>
  <si>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</si>
  <si>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</si>
  <si>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</si>
  <si>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</si>
  <si>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</si>
  <si>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</si>
  <si>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</si>
  <si>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</si>
  <si>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</si>
  <si>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</si>
  <si>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</si>
  <si>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</si>
  <si>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</si>
  <si>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</si>
  <si>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</si>
  <si>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</si>
  <si>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</si>
  <si>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</si>
  <si>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</si>
  <si>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</si>
  <si>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</si>
  <si>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</si>
  <si>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</si>
  <si>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</si>
  <si>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</si>
  <si>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</si>
  <si>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</si>
  <si>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</si>
  <si>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</si>
  <si>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</si>
  <si>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</si>
  <si>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</si>
  <si>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</si>
  <si>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</si>
  <si>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</si>
  <si>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</si>
  <si>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</si>
  <si>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</si>
  <si>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</si>
  <si>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</si>
  <si>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</si>
  <si>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</si>
  <si>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</si>
  <si>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</si>
  <si>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</si>
  <si>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</si>
  <si>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</si>
  <si>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</si>
  <si>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</si>
  <si>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</si>
  <si>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</si>
  <si>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</si>
  <si>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</si>
  <si>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</si>
  <si>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</si>
  <si>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</si>
  <si>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</si>
  <si>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</si>
  <si>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</si>
  <si>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</si>
  <si>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</si>
  <si>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</si>
  <si>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</si>
  <si>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</si>
  <si>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</si>
  <si>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</si>
  <si>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</si>
  <si>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</si>
  <si>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</si>
  <si>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</si>
  <si>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</si>
  <si>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</si>
  <si>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</si>
  <si>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</si>
  <si>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</si>
  <si>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</si>
  <si>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</si>
  <si>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</si>
  <si>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</si>
  <si>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</si>
  <si>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</si>
  <si>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</si>
  <si>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</si>
  <si>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</si>
  <si>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</si>
  <si>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</si>
  <si>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</si>
  <si>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</si>
  <si>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</si>
  <si>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</si>
  <si>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</si>
  <si>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</si>
  <si>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</si>
  <si>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</si>
  <si>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</si>
  <si>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</si>
  <si>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</si>
  <si>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</si>
  <si>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</si>
  <si>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</si>
  <si>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</si>
  <si>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</si>
  <si>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</si>
  <si>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</si>
  <si>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</si>
  <si>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</si>
  <si>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</si>
  <si>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</si>
  <si>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</si>
  <si>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</si>
  <si>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</si>
  <si>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</si>
  <si>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</si>
  <si>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</si>
  <si>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</si>
  <si>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</si>
  <si>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</si>
  <si>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</si>
  <si>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</si>
  <si>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</si>
  <si>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</si>
  <si>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</si>
  <si>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</si>
  <si>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</si>
  <si>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</si>
  <si>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</si>
  <si>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</si>
  <si>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</si>
  <si>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</si>
  <si>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</si>
  <si>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</si>
  <si>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</si>
  <si>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</si>
  <si>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</si>
  <si>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</si>
  <si>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</si>
  <si>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</si>
  <si>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</si>
  <si>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</si>
  <si>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</si>
  <si>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</si>
  <si>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</si>
  <si>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</si>
  <si>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</si>
  <si>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</si>
  <si>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</si>
  <si>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</si>
  <si>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</si>
  <si>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</si>
  <si>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</si>
  <si>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</si>
  <si>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</si>
  <si>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</si>
  <si>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</si>
  <si>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</si>
  <si>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</si>
  <si>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</si>
  <si>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</si>
  <si>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</si>
  <si>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</si>
  <si>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</si>
  <si>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</si>
  <si>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</si>
  <si>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</si>
  <si>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</si>
  <si>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</si>
  <si>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</si>
  <si>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</si>
  <si>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</si>
  <si>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</si>
  <si>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</si>
  <si>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</si>
  <si>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</si>
  <si>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</si>
  <si>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</si>
  <si>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</si>
  <si>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</si>
  <si>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</si>
  <si>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</si>
  <si>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</si>
  <si>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</si>
  <si>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</si>
  <si>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</si>
  <si>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</si>
  <si>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</si>
  <si>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</si>
  <si>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</si>
  <si>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</si>
  <si>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</si>
  <si>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</si>
  <si>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</si>
  <si>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</si>
  <si>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</si>
  <si>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</si>
  <si>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</si>
  <si>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</si>
  <si>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</si>
  <si>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</si>
  <si>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</si>
  <si>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</si>
  <si>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</si>
  <si>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</si>
  <si>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</si>
  <si>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</si>
  <si>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</si>
  <si>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</si>
  <si>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</si>
  <si>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</si>
  <si>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</si>
  <si>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</si>
  <si>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</si>
  <si>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</si>
  <si>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</si>
  <si>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</si>
  <si>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</si>
  <si>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</si>
  <si>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</si>
  <si>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</si>
  <si>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</si>
  <si>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</si>
  <si>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</si>
  <si>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</si>
  <si>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</si>
  <si>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</si>
  <si>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</si>
  <si>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</si>
  <si>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</si>
  <si>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</si>
  <si>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</si>
  <si>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</si>
  <si>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</si>
  <si>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</si>
  <si>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</si>
  <si>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</si>
  <si>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</si>
  <si>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</si>
  <si>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</si>
  <si>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</si>
  <si>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</si>
  <si>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</si>
  <si>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</si>
  <si>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</si>
  <si>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</si>
  <si>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</si>
  <si>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</si>
  <si>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</si>
  <si>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</si>
  <si>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</si>
  <si>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</si>
  <si>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</si>
  <si>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</si>
  <si>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</si>
  <si>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</si>
  <si>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</si>
  <si>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</si>
  <si>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</si>
  <si>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</si>
  <si>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</si>
  <si>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</si>
  <si>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</si>
  <si>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</si>
  <si>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</si>
  <si>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</si>
  <si>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</si>
  <si>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</si>
  <si>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</si>
  <si>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</si>
  <si>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</si>
  <si>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</si>
  <si>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</si>
  <si>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</si>
  <si>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</si>
  <si>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</si>
  <si>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</si>
  <si>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</si>
  <si>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</si>
  <si>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</si>
  <si>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</si>
  <si>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</si>
  <si>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</si>
  <si>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</si>
  <si>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</si>
  <si>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</si>
  <si>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</si>
  <si>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</si>
  <si>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</si>
  <si>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</si>
  <si>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</si>
  <si>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</si>
  <si>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</si>
  <si>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</si>
  <si>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</si>
  <si>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</si>
  <si>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</si>
  <si>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</si>
  <si>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</si>
  <si>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</si>
  <si>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</si>
  <si>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</si>
  <si>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</si>
  <si>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</si>
  <si>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</si>
  <si>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</si>
  <si>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</si>
  <si>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</si>
  <si>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</si>
  <si>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</si>
  <si>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</si>
  <si>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</si>
  <si>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</si>
  <si>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</si>
  <si>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</si>
  <si>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</si>
  <si>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</si>
  <si>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</si>
  <si>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</si>
  <si>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</si>
  <si>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</si>
  <si>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</si>
  <si>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</si>
  <si>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</si>
  <si>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</si>
  <si>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</si>
  <si>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</si>
  <si>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</si>
  <si>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</si>
  <si>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</si>
  <si>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</si>
  <si>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</si>
  <si>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</si>
  <si>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</si>
  <si>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</si>
  <si>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</si>
  <si>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</si>
  <si>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</si>
  <si>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</si>
  <si>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</si>
  <si>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</si>
  <si>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</si>
  <si>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</si>
  <si>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</si>
  <si>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</si>
  <si>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</si>
  <si>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</si>
  <si>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</si>
  <si>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</si>
  <si>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</si>
  <si>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</si>
  <si>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</si>
  <si>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</si>
  <si>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</si>
  <si>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</si>
  <si>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</si>
  <si>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</si>
  <si>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</si>
  <si>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</si>
  <si>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</si>
  <si>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</si>
  <si>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</si>
  <si>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</si>
  <si>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</si>
  <si>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</si>
  <si>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</si>
  <si>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</si>
  <si>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</si>
  <si>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</si>
  <si>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</si>
  <si>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</si>
  <si>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</si>
  <si>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</si>
  <si>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</si>
  <si>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</si>
  <si>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</si>
  <si>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</si>
  <si>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</si>
  <si>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</si>
  <si>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</si>
  <si>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</si>
  <si>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</si>
  <si>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</si>
  <si>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</si>
  <si>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</si>
  <si>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</si>
  <si>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</si>
  <si>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</si>
  <si>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</si>
  <si>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</si>
  <si>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</si>
  <si>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</si>
  <si>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</si>
  <si>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</si>
  <si>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</si>
  <si>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</si>
  <si>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</si>
  <si>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</si>
  <si>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</si>
  <si>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</si>
  <si>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</si>
  <si>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</si>
  <si>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</si>
  <si>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</si>
  <si>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</si>
  <si>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</si>
  <si>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</si>
  <si>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</si>
  <si>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</si>
  <si>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</si>
  <si>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</si>
  <si>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</si>
  <si>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</si>
  <si>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</si>
  <si>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</si>
  <si>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</si>
  <si>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</si>
  <si>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</si>
  <si>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</si>
  <si>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</si>
  <si>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</si>
  <si>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</si>
  <si>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</si>
  <si>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</si>
  <si>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</si>
  <si>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</si>
  <si>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</si>
  <si>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</si>
  <si>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</si>
  <si>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</si>
  <si>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</si>
  <si>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</si>
  <si>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</si>
  <si>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</si>
  <si>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</si>
  <si>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</si>
  <si>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</si>
  <si>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</si>
  <si>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</si>
  <si>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</si>
  <si>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</si>
  <si>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</si>
  <si>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</si>
  <si>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</si>
  <si>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</si>
  <si>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</si>
  <si>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</si>
  <si>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</si>
  <si>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</si>
  <si>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</si>
  <si>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</si>
  <si>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</si>
  <si>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</si>
  <si>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</si>
  <si>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</si>
  <si>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</si>
  <si>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</si>
  <si>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</si>
  <si>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</si>
  <si>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</si>
  <si>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</si>
  <si>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</si>
  <si>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</si>
  <si>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</si>
  <si>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</si>
  <si>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</si>
  <si>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</si>
  <si>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</si>
  <si>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</si>
  <si>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</si>
  <si>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</si>
  <si>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</si>
  <si>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</si>
  <si>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</si>
  <si>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</si>
  <si>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</si>
  <si>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</si>
  <si>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</si>
  <si>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</si>
  <si>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</si>
  <si>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</si>
  <si>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</si>
  <si>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</si>
  <si>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</si>
  <si>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</si>
  <si>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</si>
  <si>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</si>
  <si>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</si>
  <si>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</si>
  <si>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</si>
  <si>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</si>
  <si>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</si>
  <si>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</si>
  <si>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</si>
  <si>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</si>
  <si>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</si>
  <si>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</si>
  <si>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</si>
  <si>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</si>
  <si>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</si>
  <si>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</si>
  <si>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</si>
  <si>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</si>
  <si>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</si>
  <si>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</si>
  <si>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</si>
  <si>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</si>
  <si>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</si>
  <si>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</si>
  <si>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</si>
  <si>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</si>
  <si>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</si>
  <si>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</si>
  <si>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</si>
  <si>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</si>
  <si>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</si>
  <si>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</si>
  <si>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</si>
  <si>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</si>
  <si>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</si>
  <si>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</si>
  <si>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</si>
  <si>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</si>
  <si>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</si>
  <si>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</si>
  <si>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</si>
  <si>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</si>
  <si>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</si>
  <si>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</si>
  <si>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</si>
  <si>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</si>
  <si>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</si>
  <si>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</si>
  <si>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</si>
  <si>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</si>
  <si>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</si>
  <si>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</si>
  <si>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</si>
  <si>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</si>
  <si>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</si>
  <si>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</si>
  <si>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</si>
  <si>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</si>
  <si>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</si>
  <si>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</si>
  <si>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</si>
  <si>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</si>
  <si>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</si>
  <si>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</si>
  <si>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</si>
  <si>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</si>
  <si>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</si>
  <si>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</si>
  <si>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</si>
  <si>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</si>
  <si>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</si>
  <si>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</si>
  <si>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</si>
  <si>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</si>
  <si>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</si>
  <si>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</si>
  <si>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</si>
  <si>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</si>
  <si>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</si>
  <si>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</si>
  <si>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</si>
  <si>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</si>
  <si>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</si>
  <si>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</si>
  <si>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</si>
  <si>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</si>
  <si>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</si>
  <si>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</si>
  <si>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</si>
  <si>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</si>
  <si>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</si>
  <si>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</si>
  <si>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</si>
  <si>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</si>
  <si>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</si>
  <si>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</si>
  <si>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</si>
  <si>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</si>
  <si>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</si>
  <si>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</si>
  <si>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</si>
  <si>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</si>
  <si>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</si>
  <si>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</si>
  <si>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</si>
  <si>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</si>
  <si>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</si>
  <si>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</si>
  <si>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</si>
  <si>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</si>
  <si>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</si>
  <si>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</si>
  <si>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</si>
  <si>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</si>
  <si>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</si>
  <si>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</si>
  <si>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</si>
  <si>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</si>
  <si>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</si>
  <si>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</si>
  <si>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</si>
  <si>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</si>
  <si>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</si>
  <si>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</si>
  <si>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</si>
  <si>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</si>
  <si>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</si>
  <si>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</si>
  <si>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</si>
  <si>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</si>
  <si>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</si>
  <si>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</si>
  <si>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</si>
  <si>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</si>
  <si>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</si>
  <si>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</si>
  <si>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</si>
  <si>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</si>
  <si>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</si>
  <si>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</si>
  <si>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</si>
  <si>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</si>
  <si>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</si>
  <si>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</si>
  <si>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</si>
  <si>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</si>
  <si>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</si>
  <si>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</si>
  <si>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</si>
  <si>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</si>
  <si>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</si>
  <si>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</si>
  <si>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</si>
  <si>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</si>
  <si>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</si>
  <si>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</si>
  <si>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</si>
  <si>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</si>
  <si>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</si>
  <si>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</si>
  <si>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</si>
  <si>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</si>
  <si>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</si>
  <si>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</si>
  <si>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</si>
  <si>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</si>
  <si>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</si>
  <si>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</si>
  <si>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</si>
  <si>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</si>
  <si>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</si>
  <si>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</si>
  <si>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</si>
  <si>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</si>
  <si>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</si>
  <si>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</si>
  <si>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</si>
  <si>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</si>
  <si>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</si>
  <si>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</si>
  <si>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</si>
  <si>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</si>
  <si>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</si>
  <si>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</si>
  <si>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</si>
  <si>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</si>
  <si>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</si>
  <si>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</si>
  <si>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</si>
  <si>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</si>
  <si>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</si>
  <si>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</si>
  <si>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</si>
  <si>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</si>
  <si>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</si>
  <si>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</si>
  <si>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</si>
  <si>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</si>
  <si>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</si>
  <si>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</si>
  <si>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</si>
  <si>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</si>
  <si>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</si>
  <si>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</si>
  <si>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</si>
  <si>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</si>
  <si>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</si>
  <si>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</si>
  <si>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</si>
  <si>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</si>
  <si>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</si>
  <si>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</si>
  <si>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</si>
  <si>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</si>
  <si>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</si>
  <si>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</si>
  <si>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</si>
  <si>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</si>
  <si>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</si>
  <si>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</si>
  <si>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</si>
  <si>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</si>
  <si>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</si>
  <si>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</si>
  <si>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</si>
  <si>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</si>
  <si>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</si>
  <si>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</si>
  <si>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</si>
  <si>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</si>
  <si>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</si>
  <si>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</si>
  <si>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</si>
  <si>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</si>
  <si>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</si>
  <si>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</si>
  <si>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</si>
  <si>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</si>
  <si>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</si>
  <si>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</si>
  <si>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</si>
  <si>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</si>
  <si>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</si>
  <si>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</si>
  <si>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</si>
  <si>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</si>
  <si>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</si>
  <si>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</si>
  <si>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</si>
  <si>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</si>
  <si>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</si>
  <si>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</si>
  <si>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</si>
  <si>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</si>
  <si>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</si>
  <si>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</si>
  <si>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</si>
  <si>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</si>
  <si>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</si>
  <si>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</si>
  <si>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</si>
  <si>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</si>
  <si>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</si>
  <si>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</si>
  <si>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</si>
  <si>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</si>
  <si>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</si>
  <si>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</si>
  <si>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</si>
  <si>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</si>
  <si>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</si>
  <si>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</si>
  <si>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</si>
  <si>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</si>
  <si>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</si>
  <si>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</si>
  <si>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</si>
  <si>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</si>
  <si>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</si>
  <si>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</si>
  <si>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</si>
  <si>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</si>
  <si>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</si>
  <si>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</si>
  <si>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</si>
  <si>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</si>
  <si>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</si>
  <si>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</si>
  <si>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</si>
  <si>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</si>
  <si>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</si>
  <si>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</si>
  <si>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</si>
  <si>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</si>
  <si>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</si>
  <si>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</si>
  <si>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</si>
  <si>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</si>
  <si>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</si>
  <si>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</si>
  <si>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</si>
  <si>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</si>
  <si>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</si>
  <si>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</si>
  <si>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</si>
  <si>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</si>
  <si>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</si>
  <si>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</si>
  <si>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</si>
  <si>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</si>
  <si>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</si>
  <si>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</si>
  <si>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</si>
  <si>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</si>
  <si>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</si>
  <si>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</si>
  <si>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</si>
  <si>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</si>
  <si>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</si>
  <si>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</si>
  <si>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</si>
  <si>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</si>
  <si>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</si>
  <si>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</si>
  <si>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</si>
  <si>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</si>
  <si>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</si>
  <si>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</si>
  <si>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</si>
  <si>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</si>
  <si>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</si>
  <si>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</si>
  <si>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</si>
  <si>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</si>
  <si>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</si>
  <si>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</si>
  <si>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</si>
  <si>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</si>
  <si>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</si>
  <si>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</si>
  <si>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</si>
  <si>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</si>
  <si>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</si>
  <si>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</si>
  <si>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</si>
  <si>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</si>
  <si>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</si>
  <si>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</si>
  <si>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</si>
  <si>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</si>
  <si>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</si>
  <si>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</si>
  <si>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</si>
  <si>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</si>
  <si>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</si>
  <si>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</si>
  <si>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</si>
  <si>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</si>
  <si>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</si>
  <si>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</si>
  <si>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</si>
  <si>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</si>
  <si>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</si>
  <si>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</si>
  <si>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</si>
  <si>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</si>
  <si>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</si>
  <si>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</si>
  <si>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</si>
  <si>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</si>
  <si>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</si>
  <si>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</si>
  <si>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</si>
  <si>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</si>
  <si>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</si>
  <si>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</si>
  <si>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</si>
  <si>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</si>
  <si>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</si>
  <si>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</si>
  <si>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</si>
  <si>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</si>
  <si>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</si>
  <si>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</si>
  <si>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</si>
  <si>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</si>
  <si>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</si>
  <si>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</si>
  <si>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</si>
  <si>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</si>
  <si>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</si>
  <si>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</si>
  <si>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</si>
  <si>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</si>
  <si>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</si>
  <si>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</si>
  <si>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</si>
  <si>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</si>
  <si>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</si>
  <si>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</si>
  <si>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</si>
  <si>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</si>
  <si>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</si>
  <si>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</si>
  <si>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</si>
  <si>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</si>
  <si>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</si>
  <si>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</si>
  <si>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</si>
  <si>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</si>
  <si>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</si>
  <si>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</si>
  <si>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</si>
  <si>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</si>
  <si>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</si>
  <si>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</si>
  <si>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</si>
  <si>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</si>
  <si>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</si>
  <si>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</si>
  <si>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</si>
  <si>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</si>
  <si>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</si>
  <si>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</si>
  <si>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</si>
  <si>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</si>
  <si>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</si>
  <si>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</si>
  <si>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</si>
  <si>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</si>
  <si>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</si>
  <si>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</si>
  <si>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</si>
  <si>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</si>
  <si>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</si>
  <si>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</si>
  <si>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</si>
  <si>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</si>
  <si>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</si>
  <si>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</si>
  <si>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</si>
  <si>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</si>
  <si>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</si>
  <si>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</si>
  <si>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</si>
  <si>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</si>
  <si>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</si>
  <si>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</si>
  <si>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</si>
  <si>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</si>
  <si>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</si>
  <si>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</si>
  <si>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</si>
  <si>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</si>
  <si>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</si>
  <si>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</si>
  <si>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</si>
  <si>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</si>
  <si>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</si>
  <si>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</si>
  <si>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</si>
  <si>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</si>
  <si>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</si>
  <si>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</si>
  <si>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</si>
  <si>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</si>
  <si>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</si>
  <si>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</si>
  <si>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</si>
  <si>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</si>
  <si>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</si>
  <si>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</si>
  <si>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</si>
  <si>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</si>
  <si>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</si>
  <si>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</si>
  <si>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</si>
  <si>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</si>
  <si>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</si>
  <si>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</si>
  <si>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</si>
  <si>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</si>
  <si>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</si>
  <si>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</si>
  <si>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</si>
  <si>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</si>
  <si>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</si>
  <si>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</si>
  <si>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</si>
  <si>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</si>
  <si>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</si>
  <si>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</si>
  <si>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</si>
  <si>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</si>
  <si>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</si>
  <si>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</si>
  <si>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</si>
  <si>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</si>
  <si>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</si>
  <si>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</si>
  <si>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</si>
  <si>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</si>
  <si>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</si>
  <si>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</si>
  <si>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</si>
  <si>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</si>
  <si>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</si>
  <si>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</si>
  <si>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</si>
  <si>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</si>
  <si>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</si>
  <si>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</si>
  <si>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</si>
  <si>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</si>
  <si>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</si>
  <si>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</si>
  <si>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</si>
  <si>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</si>
  <si>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</si>
  <si>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</si>
  <si>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</si>
  <si>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</si>
  <si>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</si>
  <si>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</si>
  <si>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</si>
  <si>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</si>
  <si>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</si>
  <si>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</si>
  <si>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</si>
  <si>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</si>
  <si>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</si>
  <si>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</si>
  <si>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</si>
  <si>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</si>
  <si>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</si>
  <si>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</si>
  <si>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</si>
  <si>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</si>
  <si>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</si>
  <si>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</si>
  <si>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</si>
  <si>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</si>
  <si>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</si>
  <si>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</si>
  <si>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</si>
  <si>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</si>
  <si>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</si>
  <si>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</si>
  <si>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</si>
  <si>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</si>
  <si>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</si>
  <si>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</si>
  <si>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</si>
  <si>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</si>
  <si>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</si>
  <si>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</si>
  <si>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</si>
  <si>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</si>
  <si>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</si>
  <si>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</si>
  <si>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</si>
  <si>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</si>
  <si>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</si>
  <si>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</si>
  <si>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</si>
  <si>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</si>
  <si>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</si>
  <si>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</si>
  <si>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</si>
  <si>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</si>
  <si>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</si>
  <si>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</si>
  <si>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</si>
  <si>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</si>
  <si>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</si>
  <si>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</si>
  <si>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</si>
  <si>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</si>
  <si>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</si>
  <si>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</si>
  <si>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</si>
  <si>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</si>
  <si>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</si>
  <si>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</si>
  <si>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</si>
  <si>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</si>
  <si>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</si>
  <si>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</si>
  <si>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</si>
  <si>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</si>
  <si>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</si>
  <si>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</si>
  <si>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</si>
  <si>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</si>
  <si>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</si>
  <si>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</si>
  <si>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</si>
  <si>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</si>
  <si>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</si>
  <si>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</si>
  <si>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</si>
  <si>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</si>
  <si>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</si>
  <si>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</si>
  <si>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</si>
  <si>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</si>
  <si>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</si>
  <si>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</si>
  <si>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</si>
  <si>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</si>
  <si>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</si>
  <si>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</si>
  <si>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</si>
  <si>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</si>
  <si>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</si>
  <si>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</si>
  <si>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</si>
  <si>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</si>
  <si>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</si>
  <si>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</si>
  <si>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</si>
  <si>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</si>
  <si>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</si>
  <si>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</si>
  <si>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</si>
  <si>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</si>
  <si>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</si>
  <si>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</si>
  <si>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</si>
  <si>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</si>
  <si>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</si>
  <si>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</si>
  <si>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</si>
  <si>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</si>
  <si>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</si>
  <si>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</si>
  <si>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</si>
  <si>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</si>
  <si>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</si>
  <si>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</si>
  <si>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</si>
  <si>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</si>
  <si>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</si>
  <si>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</si>
  <si>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</si>
  <si>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</si>
  <si>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</si>
  <si>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</si>
  <si>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</si>
  <si>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</si>
  <si>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</si>
  <si>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</si>
  <si>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</si>
  <si>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</si>
  <si>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</si>
  <si>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</si>
  <si>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</si>
  <si>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</si>
  <si>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</si>
  <si>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</si>
  <si>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</si>
  <si>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</si>
  <si>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</si>
  <si>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</si>
  <si>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</si>
  <si>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</si>
  <si>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</si>
  <si>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</si>
  <si>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</si>
  <si>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</si>
  <si>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</si>
  <si>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</si>
  <si>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</si>
  <si>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</si>
  <si>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</si>
  <si>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</si>
  <si>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</si>
  <si>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</si>
  <si>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</si>
  <si>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</si>
  <si>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</si>
  <si>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</si>
  <si>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</si>
  <si>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</si>
  <si>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</si>
  <si>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</si>
  <si>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</si>
  <si>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</si>
  <si>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</si>
  <si>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</si>
  <si>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</si>
  <si>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</si>
  <si>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</si>
  <si>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</si>
  <si>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</si>
  <si>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</si>
  <si>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</si>
  <si>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</si>
  <si>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</si>
  <si>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</si>
  <si>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</si>
  <si>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</si>
  <si>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</si>
  <si>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</si>
  <si>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</si>
  <si>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</si>
  <si>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</si>
  <si>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</si>
  <si>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</si>
  <si>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</si>
  <si>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</si>
  <si>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</si>
  <si>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</si>
  <si>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</si>
  <si>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</si>
  <si>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</si>
  <si>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</si>
  <si>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</si>
  <si>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</si>
  <si>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</si>
  <si>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</si>
  <si>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</si>
  <si>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</si>
  <si>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</si>
  <si>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</si>
  <si>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</si>
  <si>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</si>
  <si>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</si>
  <si>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</si>
  <si>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</si>
  <si>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</si>
  <si>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</si>
  <si>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</si>
  <si>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</si>
  <si>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</si>
  <si>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</si>
  <si>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</si>
  <si>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</si>
  <si>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</si>
  <si>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</si>
  <si>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</si>
  <si>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</si>
  <si>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</si>
  <si>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</si>
  <si>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</si>
  <si>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</si>
  <si>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</si>
  <si>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</si>
  <si>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</si>
  <si>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</si>
  <si>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</si>
  <si>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</si>
  <si>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</si>
  <si>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</si>
  <si>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</si>
  <si>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</si>
  <si>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</si>
  <si>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</si>
  <si>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</si>
  <si>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</si>
  <si>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</si>
  <si>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</si>
  <si>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</si>
  <si>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</si>
  <si>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</si>
  <si>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</si>
  <si>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</si>
  <si>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</si>
  <si>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</si>
  <si>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</si>
  <si>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</si>
  <si>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</si>
  <si>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</si>
  <si>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</si>
  <si>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</si>
  <si>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</si>
  <si>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</si>
  <si>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</si>
  <si>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</si>
  <si>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</si>
  <si>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</si>
  <si>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</si>
  <si>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</si>
  <si>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</si>
  <si>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</si>
  <si>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</si>
  <si>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</si>
  <si>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</si>
  <si>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</si>
  <si>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</si>
  <si>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</si>
  <si>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</si>
  <si>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</si>
  <si>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</si>
  <si>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</si>
  <si>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</si>
  <si>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</si>
  <si>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</si>
  <si>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</si>
  <si>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</si>
  <si>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</si>
  <si>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</si>
  <si>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</si>
  <si>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</si>
  <si>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</si>
  <si>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</si>
  <si>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</si>
  <si>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</si>
  <si>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</si>
  <si>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</si>
  <si>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</si>
  <si>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</si>
  <si>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</si>
  <si>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</si>
  <si>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</si>
  <si>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</si>
  <si>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</si>
  <si>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</si>
  <si>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</si>
  <si>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</si>
  <si>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</si>
  <si>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</si>
  <si>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</si>
  <si>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</si>
  <si>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</si>
  <si>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</si>
  <si>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</si>
  <si>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</si>
  <si>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</si>
  <si>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</si>
  <si>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</si>
  <si>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</si>
  <si>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</si>
  <si>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</si>
  <si>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</si>
  <si>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</si>
  <si>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</si>
  <si>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</si>
  <si>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</si>
  <si>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</si>
  <si>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</si>
  <si>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</si>
  <si>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</si>
  <si>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</si>
  <si>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</si>
  <si>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</si>
  <si>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</si>
  <si>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</si>
  <si>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</si>
  <si>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</si>
  <si>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</si>
  <si>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</si>
  <si>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</si>
  <si>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</si>
  <si>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</si>
  <si>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</si>
  <si>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</si>
  <si>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</si>
  <si>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</si>
  <si>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</si>
  <si>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</si>
  <si>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</si>
  <si>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</si>
  <si>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</si>
  <si>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</si>
  <si>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</si>
  <si>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</si>
  <si>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</si>
  <si>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</si>
  <si>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</si>
  <si>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</si>
  <si>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</si>
  <si>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</si>
  <si>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</si>
  <si>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</si>
  <si>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</si>
  <si>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</si>
  <si>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</si>
  <si>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</si>
  <si>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</si>
  <si>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</si>
  <si>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</si>
  <si>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</si>
  <si>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</si>
  <si>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</si>
  <si>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</si>
  <si>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</si>
  <si>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</si>
  <si>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</si>
  <si>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</si>
  <si>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</si>
  <si>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</si>
  <si>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</si>
  <si>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</si>
  <si>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</si>
  <si>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</si>
  <si>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</si>
  <si>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</si>
  <si>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</si>
  <si>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</si>
  <si>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</si>
  <si>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</si>
  <si>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</si>
  <si>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</si>
  <si>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</si>
  <si>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</si>
  <si>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</si>
  <si>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</si>
  <si>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</si>
  <si>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</si>
  <si>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</si>
  <si>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</si>
  <si>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</si>
  <si>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</si>
  <si>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</si>
  <si>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</si>
  <si>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</si>
  <si>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</si>
  <si>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</si>
  <si>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</si>
  <si>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</si>
  <si>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</si>
  <si>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</si>
  <si>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</si>
  <si>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</si>
  <si>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</si>
  <si>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</si>
  <si>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</si>
  <si>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</si>
  <si>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</si>
  <si>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</si>
  <si>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</si>
  <si>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</si>
  <si>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</si>
  <si>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</si>
  <si>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</si>
  <si>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</si>
  <si>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</si>
  <si>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</si>
  <si>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</si>
  <si>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</si>
  <si>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</si>
  <si>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</si>
  <si>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</si>
  <si>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</si>
  <si>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</si>
  <si>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</si>
  <si>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</si>
  <si>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</si>
  <si>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</si>
  <si>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</si>
  <si>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</si>
  <si>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</si>
  <si>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</si>
  <si>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</si>
  <si>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</si>
  <si>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</si>
  <si>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</si>
  <si>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</si>
  <si>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</si>
  <si>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</si>
  <si>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</si>
  <si>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</si>
  <si>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</si>
  <si>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</si>
  <si>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</si>
  <si>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</si>
  <si>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</si>
  <si>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</si>
  <si>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</si>
  <si>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</si>
  <si>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</si>
  <si>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</si>
  <si>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</si>
  <si>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</si>
  <si>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</si>
  <si>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</si>
  <si>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</si>
  <si>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</si>
  <si>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</si>
  <si>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</si>
  <si>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</si>
  <si>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</si>
  <si>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</si>
  <si>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</si>
  <si>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</si>
  <si>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</si>
  <si>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</si>
  <si>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</si>
  <si>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</si>
  <si>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</si>
  <si>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</si>
  <si>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</si>
  <si>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</si>
  <si>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</si>
  <si>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</si>
  <si>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</si>
  <si>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</si>
  <si>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</si>
  <si>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</si>
  <si>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</si>
  <si>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</si>
  <si>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</si>
  <si>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</si>
  <si>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</si>
  <si>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</si>
  <si>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</si>
  <si>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</si>
  <si>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</si>
  <si>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</si>
  <si>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</si>
  <si>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</si>
  <si>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</si>
  <si>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</si>
  <si>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</si>
  <si>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</si>
  <si>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</si>
  <si>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</si>
  <si>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</si>
  <si>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</si>
  <si>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</si>
  <si>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</si>
  <si>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</si>
  <si>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</si>
  <si>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</si>
  <si>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</si>
  <si>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</si>
  <si>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</si>
  <si>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</si>
  <si>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</si>
  <si>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</si>
  <si>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</si>
  <si>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</si>
  <si>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</si>
  <si>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</si>
  <si>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</si>
  <si>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</si>
  <si>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</si>
  <si>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</si>
  <si>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</si>
  <si>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</si>
  <si>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</si>
  <si>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</si>
  <si>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</si>
  <si>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</si>
  <si>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</si>
  <si>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</si>
  <si>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</si>
  <si>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</si>
  <si>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</si>
  <si>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</si>
  <si>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</si>
  <si>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</si>
  <si>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</si>
  <si>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</si>
  <si>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</si>
  <si>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</si>
  <si>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</si>
  <si>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</si>
  <si>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</si>
  <si>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</si>
  <si>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</si>
  <si>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</si>
  <si>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</si>
  <si>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</si>
  <si>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</si>
  <si>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</si>
  <si>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</si>
  <si>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</si>
  <si>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</si>
  <si>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</si>
  <si>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</si>
  <si>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</si>
  <si>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</si>
  <si>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</si>
  <si>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</si>
  <si>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</si>
  <si>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</si>
  <si>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</si>
  <si>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</si>
  <si>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</si>
  <si>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</si>
  <si>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</si>
  <si>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</si>
  <si>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</si>
  <si>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</si>
  <si>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</si>
  <si>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</si>
  <si>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</si>
  <si>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</si>
  <si>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</si>
  <si>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</si>
  <si>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</si>
  <si>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</si>
  <si>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</si>
  <si>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</si>
  <si>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</si>
  <si>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</si>
  <si>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</si>
  <si>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</si>
  <si>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</si>
  <si>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</si>
  <si>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</si>
  <si>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</si>
  <si>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</si>
  <si>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</si>
  <si>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</si>
  <si>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</si>
  <si>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</si>
  <si>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</si>
  <si>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</si>
  <si>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</si>
  <si>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</si>
  <si>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</si>
  <si>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</si>
  <si>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</si>
  <si>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</si>
  <si>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</si>
  <si>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</si>
  <si>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</si>
  <si>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</si>
  <si>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</si>
  <si>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</si>
  <si>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</si>
  <si>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</si>
  <si>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</si>
  <si>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</si>
  <si>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</si>
  <si>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</si>
  <si>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</si>
  <si>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</si>
  <si>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</si>
  <si>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</si>
  <si>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</si>
  <si>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</si>
  <si>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</si>
  <si>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</si>
  <si>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</si>
  <si>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</si>
  <si>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</si>
  <si>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</si>
  <si>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</si>
  <si>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</si>
  <si>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</si>
  <si>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</si>
  <si>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</si>
  <si>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</si>
  <si>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</si>
  <si>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</si>
  <si>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</si>
  <si>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</si>
  <si>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</si>
  <si>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</si>
  <si>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</si>
  <si>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</si>
  <si>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</si>
  <si>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</si>
  <si>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</si>
  <si>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</si>
  <si>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</si>
  <si>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</si>
  <si>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</si>
  <si>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</si>
  <si>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</si>
  <si>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</si>
  <si>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</si>
  <si>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</si>
  <si>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</si>
  <si>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</si>
  <si>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</si>
  <si>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</si>
  <si>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</si>
  <si>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</si>
  <si>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</si>
  <si>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</si>
  <si>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</si>
  <si>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</si>
  <si>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</si>
  <si>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</si>
  <si>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</si>
  <si>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</si>
  <si>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</si>
  <si>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</si>
  <si>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</si>
  <si>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</si>
  <si>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</si>
  <si>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</si>
  <si>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</si>
  <si>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</si>
  <si>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</si>
  <si>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</si>
  <si>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</si>
  <si>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</si>
  <si>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</si>
  <si>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</si>
  <si>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</si>
  <si>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</si>
  <si>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</si>
  <si>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</si>
  <si>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</si>
  <si>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</si>
  <si>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</si>
  <si>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</si>
  <si>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</si>
  <si>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</si>
  <si>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</si>
  <si>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</si>
  <si>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</si>
  <si>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</si>
  <si>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</si>
  <si>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</si>
  <si>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</si>
  <si>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</si>
  <si>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</si>
  <si>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</si>
  <si>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</si>
  <si>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</si>
  <si>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</si>
  <si>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</si>
  <si>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</si>
  <si>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</si>
  <si>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</si>
  <si>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</si>
  <si>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</si>
  <si>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</si>
  <si>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</si>
  <si>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</si>
  <si>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</si>
  <si>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</si>
  <si>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</si>
  <si>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</si>
  <si>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</si>
  <si>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</si>
  <si>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</si>
  <si>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</si>
  <si>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</si>
  <si>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</si>
  <si>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</si>
  <si>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</si>
  <si>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</si>
  <si>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</si>
  <si>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</si>
  <si>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</si>
  <si>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</si>
  <si>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</si>
  <si>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</si>
  <si>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</si>
  <si>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</si>
  <si>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</si>
  <si>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</si>
  <si>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</si>
  <si>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</si>
  <si>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</si>
  <si>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</si>
  <si>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</si>
  <si>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</si>
  <si>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</si>
  <si>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</si>
  <si>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</si>
  <si>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</si>
  <si>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</si>
  <si>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</si>
  <si>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</si>
  <si>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</si>
  <si>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</si>
  <si>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</si>
  <si>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</si>
  <si>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</si>
  <si>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</si>
  <si>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</si>
  <si>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</si>
  <si>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</si>
  <si>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</si>
  <si>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</si>
  <si>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</si>
  <si>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</si>
  <si>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</si>
  <si>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</si>
  <si>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</si>
  <si>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</si>
  <si>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</si>
  <si>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</si>
  <si>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</si>
  <si>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</si>
  <si>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</si>
  <si>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</si>
  <si>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</si>
  <si>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</si>
  <si>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</si>
  <si>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</si>
  <si>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</si>
  <si>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</si>
  <si>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</si>
  <si>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</si>
  <si>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</si>
  <si>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</si>
  <si>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</si>
  <si>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</si>
  <si>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</si>
  <si>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</si>
  <si>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</si>
  <si>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</si>
  <si>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</si>
  <si>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</si>
  <si>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</si>
  <si>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</si>
  <si>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</si>
  <si>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</si>
  <si>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</si>
  <si>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</si>
  <si>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</si>
  <si>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</si>
  <si>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</si>
  <si>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</si>
  <si>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</si>
  <si>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</si>
  <si>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</si>
  <si>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</si>
  <si>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</si>
  <si>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</si>
  <si>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</si>
  <si>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</si>
  <si>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</si>
  <si>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</si>
  <si>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</si>
  <si>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</si>
  <si>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</si>
  <si>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</si>
  <si>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</si>
  <si>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</si>
  <si>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</si>
  <si>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</si>
  <si>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</si>
  <si>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</si>
  <si>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</si>
  <si>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</si>
  <si>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</si>
  <si>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</si>
  <si>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</si>
  <si>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</si>
  <si>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</si>
  <si>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</si>
  <si>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</si>
  <si>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</si>
  <si>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</si>
  <si>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</si>
  <si>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</si>
  <si>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</si>
  <si>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</si>
  <si>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</si>
  <si>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</si>
  <si>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</si>
  <si>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</si>
  <si>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</si>
  <si>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</si>
  <si>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</si>
  <si>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</si>
  <si>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</si>
  <si>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</si>
  <si>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</si>
  <si>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</si>
  <si>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</si>
  <si>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</si>
  <si>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</si>
  <si>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</si>
  <si>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</si>
  <si>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</si>
  <si>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</si>
  <si>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</si>
  <si>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</si>
  <si>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</si>
  <si>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</si>
  <si>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</si>
  <si>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</si>
  <si>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</si>
  <si>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</si>
  <si>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</si>
  <si>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</si>
  <si>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</si>
  <si>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</si>
  <si>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</si>
  <si>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</si>
  <si>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</si>
  <si>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</si>
  <si>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</si>
  <si>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</si>
  <si>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</si>
  <si>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</si>
  <si>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</si>
  <si>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</si>
  <si>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</si>
  <si>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</si>
  <si>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</si>
  <si>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</si>
  <si>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</si>
  <si>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</si>
  <si>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</si>
  <si>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</si>
  <si>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</si>
  <si>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</si>
  <si>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</si>
  <si>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</si>
  <si>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</si>
  <si>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</si>
  <si>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</si>
  <si>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</si>
  <si>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</si>
  <si>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</si>
  <si>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</si>
  <si>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</si>
  <si>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</si>
  <si>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</si>
  <si>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</si>
  <si>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</si>
  <si>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</si>
  <si>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</si>
  <si>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</si>
  <si>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</si>
  <si>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</si>
  <si>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</si>
  <si>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</si>
  <si>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</si>
  <si>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</si>
  <si>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</si>
  <si>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</si>
  <si>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</si>
  <si>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</si>
  <si>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</si>
  <si>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</si>
  <si>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</si>
  <si>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</si>
  <si>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</si>
  <si>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</si>
  <si>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</si>
  <si>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</si>
  <si>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</si>
  <si>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</si>
  <si>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</si>
  <si>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</si>
  <si>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</si>
  <si>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</si>
  <si>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</si>
  <si>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</si>
  <si>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</si>
  <si>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</si>
  <si>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</si>
  <si>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</si>
  <si>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</si>
  <si>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</si>
  <si>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</si>
  <si>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</si>
  <si>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</si>
  <si>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</si>
  <si>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</si>
  <si>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</si>
  <si>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</si>
  <si>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</si>
  <si>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</si>
  <si>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</si>
  <si>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</si>
  <si>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</si>
  <si>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</si>
  <si>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</si>
  <si>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</si>
  <si>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</si>
  <si>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</si>
  <si>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</si>
  <si>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</si>
  <si>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</si>
  <si>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</si>
  <si>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</si>
  <si>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</si>
  <si>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</si>
  <si>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</si>
  <si>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</si>
  <si>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</si>
  <si>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</si>
  <si>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</si>
  <si>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</si>
  <si>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</si>
  <si>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</si>
  <si>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</si>
  <si>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</si>
  <si>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</si>
  <si>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</si>
  <si>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</si>
  <si>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</si>
  <si>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</si>
  <si>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</si>
  <si>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</si>
  <si>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</si>
  <si>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</si>
  <si>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</si>
  <si>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</si>
  <si>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</si>
  <si>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</si>
  <si>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</si>
  <si>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</si>
  <si>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</si>
  <si>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</si>
  <si>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</si>
  <si>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</si>
  <si>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</si>
  <si>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</si>
  <si>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</si>
  <si>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</si>
  <si>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</si>
  <si>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</si>
  <si>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</si>
  <si>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</si>
  <si>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</si>
  <si>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</si>
  <si>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</si>
  <si>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</si>
  <si>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</si>
  <si>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</si>
  <si>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</si>
  <si>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</si>
  <si>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</si>
  <si>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</si>
  <si>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</si>
  <si>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</si>
  <si>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</si>
  <si>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</si>
  <si>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</si>
  <si>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</si>
  <si>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</si>
  <si>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</si>
  <si>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</si>
  <si>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</si>
  <si>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</si>
  <si>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</si>
  <si>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</si>
  <si>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</si>
  <si>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</si>
  <si>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</si>
  <si>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</si>
  <si>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</si>
  <si>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</si>
  <si>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</si>
  <si>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</si>
  <si>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</si>
  <si>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</si>
  <si>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</si>
  <si>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</si>
  <si>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</si>
  <si>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</si>
  <si>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</si>
  <si>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</si>
  <si>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</si>
  <si>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</si>
  <si>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</si>
  <si>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</si>
  <si>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</si>
  <si>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</si>
  <si>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</si>
  <si>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</si>
  <si>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</si>
  <si>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</si>
  <si>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</si>
  <si>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</si>
  <si>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</si>
  <si>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</si>
  <si>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</si>
  <si>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</si>
  <si>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</si>
  <si>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</si>
  <si>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</si>
  <si>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</si>
  <si>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</si>
  <si>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</si>
  <si>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</si>
  <si>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</si>
  <si>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</si>
  <si>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</si>
  <si>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</si>
  <si>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</si>
  <si>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</si>
  <si>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</si>
  <si>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</si>
  <si>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</si>
  <si>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</si>
  <si>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</si>
  <si>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</si>
  <si>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</si>
  <si>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</si>
  <si>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</si>
  <si>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</si>
  <si>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</si>
  <si>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</si>
  <si>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</si>
  <si>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</si>
  <si>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</si>
  <si>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</si>
  <si>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</si>
  <si>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</si>
  <si>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</si>
  <si>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</si>
  <si>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</si>
  <si>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</si>
  <si>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</si>
  <si>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</si>
  <si>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</si>
  <si>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</si>
  <si>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</si>
  <si>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</si>
  <si>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</si>
  <si>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</si>
  <si>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</si>
  <si>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</si>
  <si>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</si>
  <si>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</si>
  <si>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</si>
  <si>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</si>
  <si>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</si>
  <si>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</si>
  <si>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</si>
  <si>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</si>
  <si>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</si>
  <si>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</si>
  <si>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</si>
  <si>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</si>
  <si>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</si>
  <si>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</si>
  <si>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</si>
  <si>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</si>
  <si>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</si>
  <si>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</si>
  <si>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</si>
  <si>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</si>
  <si>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</si>
  <si>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</si>
  <si>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</si>
  <si>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</si>
  <si>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</si>
  <si>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</si>
  <si>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</si>
  <si>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</si>
  <si>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</si>
  <si>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</si>
  <si>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</si>
  <si>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</si>
  <si>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</si>
  <si>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</si>
  <si>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</si>
  <si>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</si>
  <si>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</si>
  <si>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</si>
  <si>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</si>
  <si>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</si>
  <si>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</si>
  <si>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</si>
  <si>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</si>
  <si>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</si>
  <si>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</si>
  <si>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</si>
  <si>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</si>
  <si>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</si>
  <si>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</si>
  <si>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</si>
  <si>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</si>
  <si>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</si>
  <si>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</si>
  <si>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</si>
  <si>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</si>
  <si>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</si>
  <si>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</si>
  <si>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</si>
  <si>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</si>
  <si>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</si>
  <si>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</si>
  <si>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</si>
  <si>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</si>
  <si>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</si>
  <si>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</si>
  <si>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</si>
  <si>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</si>
  <si>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</si>
  <si>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</si>
  <si>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</si>
  <si>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</si>
  <si>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</si>
  <si>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</si>
  <si>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</si>
  <si>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</si>
  <si>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</si>
  <si>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</si>
  <si>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</si>
  <si>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</si>
  <si>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</si>
  <si>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</si>
  <si>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</si>
  <si>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</si>
  <si>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</si>
  <si>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</si>
  <si>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</si>
  <si>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</si>
  <si>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</si>
  <si>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</si>
  <si>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</si>
  <si>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</si>
  <si>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</si>
  <si>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</si>
  <si>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</si>
  <si>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</si>
  <si>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</si>
  <si>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</si>
  <si>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</si>
  <si>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</si>
  <si>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</si>
  <si>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</si>
  <si>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</si>
  <si>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</si>
  <si>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</si>
  <si>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</si>
  <si>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</si>
  <si>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</si>
  <si>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</si>
  <si>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</si>
  <si>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</si>
  <si>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</si>
  <si>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</si>
  <si>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</si>
  <si>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</si>
  <si>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</si>
  <si>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</si>
  <si>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</si>
  <si>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</si>
  <si>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</si>
  <si>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</si>
  <si>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</si>
  <si>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</si>
  <si>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</si>
  <si>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</si>
  <si>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</si>
  <si>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</si>
  <si>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</si>
  <si>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</si>
  <si>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</si>
  <si>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</si>
  <si>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</si>
  <si>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</si>
  <si>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</si>
  <si>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</si>
  <si>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</si>
  <si>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</si>
  <si>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</si>
  <si>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</si>
  <si>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</si>
  <si>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</si>
  <si>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</si>
  <si>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</si>
  <si>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</si>
  <si>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</si>
  <si>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</si>
  <si>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</si>
  <si>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</si>
  <si>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</si>
  <si>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</si>
  <si>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</si>
  <si>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</si>
  <si>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</si>
  <si>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</si>
  <si>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</si>
  <si>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</si>
  <si>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</si>
  <si>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</si>
  <si>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</si>
  <si>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</si>
  <si>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</si>
  <si>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</si>
  <si>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</si>
  <si>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</si>
  <si>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</si>
  <si>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</si>
  <si>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</si>
  <si>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</si>
  <si>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</si>
  <si>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</si>
  <si>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</si>
  <si>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</si>
  <si>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</si>
  <si>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</si>
  <si>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</si>
  <si>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</si>
  <si>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</si>
  <si>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</si>
  <si>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</si>
  <si>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</si>
  <si>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</si>
  <si>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</si>
  <si>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</si>
  <si>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</si>
  <si>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</si>
  <si>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</si>
  <si>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</si>
  <si>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</si>
  <si>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</si>
  <si>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</si>
  <si>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</si>
  <si>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</si>
  <si>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</si>
  <si>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</si>
  <si>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</si>
  <si>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</si>
  <si>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</si>
  <si>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</si>
  <si>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</si>
  <si>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</si>
  <si>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</si>
  <si>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</si>
  <si>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</si>
  <si>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</si>
  <si>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</si>
  <si>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</si>
  <si>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</si>
  <si>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</si>
  <si>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</si>
  <si>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</si>
  <si>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</si>
  <si>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</si>
  <si>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</si>
  <si>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</si>
  <si>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</si>
  <si>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</si>
  <si>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</si>
  <si>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</si>
  <si>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</si>
  <si>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</si>
  <si>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</si>
  <si>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</si>
  <si>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</si>
  <si>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</si>
  <si>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</si>
  <si>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</si>
  <si>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</si>
  <si>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</si>
  <si>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</si>
  <si>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</si>
  <si>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</si>
  <si>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</si>
  <si>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</si>
  <si>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</si>
  <si>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</si>
  <si>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</si>
  <si>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</si>
  <si>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</si>
  <si>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</si>
  <si>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</si>
  <si>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</si>
  <si>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</si>
  <si>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</si>
  <si>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</si>
  <si>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</si>
  <si>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</si>
  <si>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</si>
  <si>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</si>
  <si>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</si>
  <si>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</si>
  <si>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</si>
  <si>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</si>
  <si>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</si>
  <si>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</si>
  <si>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</si>
  <si>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</si>
  <si>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</si>
  <si>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</si>
  <si>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</si>
  <si>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</si>
  <si>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</si>
  <si>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</si>
  <si>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</si>
  <si>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</si>
  <si>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</si>
  <si>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</si>
  <si>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</si>
  <si>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</si>
  <si>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</si>
  <si>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</si>
  <si>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</si>
  <si>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</si>
  <si>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</si>
  <si>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</si>
  <si>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</si>
  <si>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</si>
  <si>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</si>
  <si>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</si>
  <si>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</si>
  <si>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</si>
  <si>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</si>
  <si>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</si>
  <si>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</si>
  <si>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</si>
  <si>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</si>
  <si>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</si>
  <si>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</si>
  <si>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</si>
  <si>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</si>
  <si>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</si>
  <si>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</si>
  <si>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</si>
  <si>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</si>
  <si>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</si>
  <si>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</si>
  <si>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</si>
  <si>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</si>
  <si>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</si>
  <si>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</si>
  <si>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</si>
  <si>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</si>
  <si>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</si>
  <si>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</si>
  <si>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</si>
  <si>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</si>
  <si>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</si>
  <si>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</si>
  <si>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</si>
  <si>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</si>
  <si>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</si>
  <si>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</si>
  <si>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</si>
  <si>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</si>
  <si>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</si>
  <si>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</si>
  <si>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</si>
  <si>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</si>
  <si>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</si>
  <si>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</si>
  <si>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</si>
  <si>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</si>
  <si>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</si>
  <si>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</si>
  <si>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</si>
  <si>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</si>
  <si>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</si>
  <si>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</si>
  <si>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</si>
  <si>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</si>
  <si>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</si>
  <si>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</si>
  <si>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</si>
  <si>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</si>
  <si>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</si>
  <si>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</si>
  <si>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</si>
  <si>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</si>
  <si>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</si>
  <si>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</si>
  <si>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</si>
  <si>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</si>
  <si>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</si>
  <si>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</si>
  <si>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</si>
  <si>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</si>
  <si>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</si>
  <si>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</si>
  <si>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</si>
  <si>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</si>
  <si>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</si>
  <si>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</si>
  <si>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</si>
  <si>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</si>
  <si>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</si>
  <si>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</si>
  <si>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</si>
  <si>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</si>
  <si>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</si>
  <si>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</si>
  <si>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</si>
  <si>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</si>
  <si>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</si>
  <si>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</si>
  <si>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</si>
  <si>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</si>
  <si>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</si>
  <si>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</si>
  <si>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</si>
  <si>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</si>
  <si>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</si>
  <si>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</si>
  <si>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</si>
  <si>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</si>
  <si>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</si>
  <si>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</si>
  <si>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</si>
  <si>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</si>
  <si>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</si>
  <si>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</si>
  <si>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</si>
  <si>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</si>
  <si>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</si>
  <si>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</si>
  <si>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</si>
  <si>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</si>
  <si>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</si>
  <si>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</si>
  <si>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</si>
  <si>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</si>
  <si>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</si>
  <si>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</si>
  <si>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</si>
  <si>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</si>
  <si>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</si>
  <si>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</si>
  <si>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</si>
  <si>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</si>
  <si>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</si>
  <si>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</si>
  <si>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</si>
  <si>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</si>
  <si>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</si>
  <si>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</si>
  <si>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</si>
  <si>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</si>
  <si>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</si>
  <si>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</si>
  <si>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</si>
  <si>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</si>
  <si>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</si>
  <si>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</si>
  <si>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</si>
  <si>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</si>
  <si>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</si>
  <si>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</si>
  <si>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</si>
  <si>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</si>
  <si>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</si>
  <si>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</si>
  <si>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</si>
  <si>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</si>
  <si>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</si>
  <si>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</si>
  <si>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</si>
  <si>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</si>
  <si>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</si>
  <si>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</si>
  <si>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</si>
  <si>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</si>
  <si>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</si>
  <si>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</si>
  <si>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</si>
  <si>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</si>
  <si>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</si>
  <si>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</si>
  <si>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</si>
  <si>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</si>
  <si>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</si>
  <si>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</si>
  <si>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</si>
  <si>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</si>
  <si>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</si>
  <si>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</si>
  <si>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</si>
  <si>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</si>
  <si>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</si>
  <si>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</si>
  <si>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</si>
  <si>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</si>
  <si>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</si>
  <si>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</si>
  <si>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</si>
  <si>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</si>
  <si>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</si>
  <si>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</si>
  <si>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</si>
  <si>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</si>
  <si>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</si>
  <si>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</si>
  <si>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</si>
  <si>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</si>
  <si>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</si>
  <si>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</si>
  <si>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</si>
  <si>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</si>
  <si>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</si>
  <si>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</si>
  <si>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</si>
  <si>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</si>
  <si>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</si>
  <si>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</si>
  <si>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</si>
  <si>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</si>
  <si>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</si>
  <si>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</si>
  <si>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</si>
  <si>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</si>
  <si>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</si>
  <si>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</si>
  <si>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</si>
  <si>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</si>
  <si>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</si>
  <si>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</si>
  <si>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</si>
  <si>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</si>
  <si>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</si>
  <si>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</si>
  <si>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</si>
  <si>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</si>
  <si>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</si>
  <si>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</si>
  <si>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</si>
  <si>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</si>
  <si>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</si>
  <si>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</si>
  <si>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</si>
  <si>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</si>
  <si>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</si>
  <si>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</si>
  <si>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</si>
  <si>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</si>
  <si>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</si>
  <si>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</si>
  <si>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</si>
  <si>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</si>
  <si>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</si>
  <si>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</si>
  <si>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</si>
  <si>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</si>
  <si>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</si>
  <si>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</si>
  <si>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</si>
  <si>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</si>
  <si>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</si>
  <si>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</si>
  <si>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</si>
  <si>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</si>
  <si>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</si>
  <si>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</si>
  <si>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</si>
  <si>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</si>
  <si>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</si>
  <si>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</si>
  <si>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</si>
  <si>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</si>
  <si>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</si>
  <si>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</si>
  <si>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</si>
  <si>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</si>
  <si>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</si>
  <si>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</si>
  <si>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</si>
  <si>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</si>
  <si>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</si>
  <si>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</si>
  <si>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</si>
  <si>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</si>
  <si>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</si>
  <si>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</si>
  <si>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</si>
  <si>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</si>
  <si>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</si>
  <si>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</si>
  <si>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</si>
  <si>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</si>
  <si>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</si>
  <si>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</si>
  <si>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</si>
  <si>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</si>
  <si>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</si>
  <si>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</si>
  <si>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</si>
  <si>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</si>
  <si>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</si>
  <si>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</si>
  <si>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</si>
  <si>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</si>
  <si>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</si>
  <si>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</si>
  <si>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</si>
  <si>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</si>
  <si>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</si>
  <si>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</si>
  <si>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</si>
  <si>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</si>
  <si>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</si>
  <si>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</si>
  <si>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</si>
  <si>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</si>
  <si>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</si>
  <si>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</si>
  <si>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</si>
  <si>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</si>
  <si>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</si>
  <si>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</si>
  <si>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</si>
  <si>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</si>
  <si>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</si>
  <si>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</si>
  <si>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</si>
  <si>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</si>
  <si>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</si>
  <si>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</si>
  <si>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</si>
  <si>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</si>
  <si>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</si>
  <si>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</si>
  <si>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</si>
  <si>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</si>
  <si>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</si>
  <si>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</si>
  <si>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</si>
  <si>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</si>
  <si>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</si>
  <si>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</si>
  <si>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</si>
  <si>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</si>
  <si>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</si>
  <si>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</si>
  <si>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</si>
  <si>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</si>
  <si>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</si>
  <si>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</si>
  <si>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</si>
  <si>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</si>
  <si>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</si>
  <si>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</si>
  <si>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</si>
  <si>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</si>
  <si>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</si>
  <si>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</si>
  <si>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</si>
  <si>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</si>
  <si>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</si>
  <si>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</si>
  <si>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</si>
  <si>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</si>
  <si>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</si>
  <si>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</si>
  <si>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</si>
  <si>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</si>
  <si>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</si>
  <si>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</si>
  <si>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</si>
  <si>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</si>
  <si>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</si>
  <si>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</si>
  <si>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</si>
  <si>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</si>
  <si>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</si>
  <si>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</si>
  <si>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</si>
  <si>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</si>
  <si>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</si>
  <si>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</si>
  <si>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</si>
  <si>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</si>
  <si>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</si>
  <si>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</si>
  <si>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</si>
  <si>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</si>
  <si>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</si>
  <si>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</si>
  <si>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</si>
  <si>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</si>
  <si>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</si>
  <si>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</si>
  <si>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</si>
  <si>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</si>
  <si>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</si>
  <si>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</si>
  <si>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</si>
  <si>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</si>
  <si>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</si>
  <si>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</si>
  <si>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</si>
  <si>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</si>
  <si>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</si>
  <si>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</si>
  <si>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</si>
  <si>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</si>
  <si>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</si>
  <si>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</si>
  <si>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</si>
  <si>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</si>
  <si>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</si>
  <si>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</si>
  <si>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</si>
  <si>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</si>
  <si>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</si>
  <si>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</si>
  <si>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</si>
  <si>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</si>
  <si>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</si>
  <si>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</si>
  <si>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</si>
  <si>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</si>
  <si>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</si>
  <si>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</si>
  <si>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</si>
  <si>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</si>
  <si>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</si>
  <si>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</si>
  <si>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</si>
  <si>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</si>
  <si>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</si>
  <si>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</si>
  <si>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</si>
  <si>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</si>
  <si>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</si>
  <si>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</si>
  <si>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</si>
  <si>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</si>
  <si>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</si>
  <si>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</si>
  <si>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</si>
  <si>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</si>
  <si>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</si>
  <si>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</si>
  <si>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</si>
  <si>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</si>
  <si>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</si>
  <si>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</si>
  <si>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</si>
  <si>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</si>
  <si>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</si>
  <si>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</si>
  <si>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</si>
  <si>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</si>
  <si>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</si>
  <si>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</si>
  <si>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</si>
  <si>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</si>
  <si>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</si>
  <si>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</si>
  <si>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</si>
  <si>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</si>
  <si>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</si>
  <si>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</si>
  <si>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</si>
  <si>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</si>
  <si>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</si>
  <si>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</si>
  <si>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</si>
  <si>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</si>
  <si>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</si>
  <si>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</si>
  <si>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</si>
  <si>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</si>
  <si>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</si>
  <si>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</si>
  <si>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</si>
  <si>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</si>
  <si>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</si>
  <si>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</si>
  <si>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</si>
  <si>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</si>
  <si>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</si>
  <si>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</si>
  <si>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</si>
  <si>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</si>
  <si>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</si>
  <si>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</si>
  <si>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</si>
  <si>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</si>
  <si>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</si>
  <si>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</si>
  <si>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</si>
  <si>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</si>
  <si>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</si>
  <si>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</si>
  <si>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</si>
  <si>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</si>
  <si>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</si>
  <si>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</si>
  <si>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</si>
  <si>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</si>
  <si>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</si>
  <si>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</si>
  <si>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</si>
  <si>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</si>
  <si>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</si>
  <si>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</si>
  <si>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</si>
  <si>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</si>
  <si>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</si>
  <si>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</si>
  <si>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</si>
  <si>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</si>
  <si>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</si>
  <si>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</si>
  <si>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</si>
  <si>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</si>
  <si>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</si>
  <si>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</si>
  <si>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</si>
  <si>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</si>
  <si>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</si>
  <si>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</si>
  <si>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</si>
  <si>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</si>
  <si>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</si>
  <si>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</si>
  <si>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</si>
  <si>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</si>
  <si>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</si>
  <si>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</si>
  <si>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</si>
  <si>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</si>
  <si>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</si>
  <si>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</si>
  <si>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</si>
  <si>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</si>
  <si>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</si>
  <si>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</si>
  <si>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</si>
  <si>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</si>
  <si>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</si>
  <si>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</si>
  <si>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</si>
  <si>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</si>
  <si>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</si>
  <si>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</si>
  <si>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</si>
  <si>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</si>
  <si>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</si>
  <si>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</si>
  <si>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</si>
  <si>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</si>
  <si>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</si>
  <si>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</si>
  <si>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</si>
  <si>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</si>
  <si>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</si>
  <si>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</si>
  <si>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</si>
  <si>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</si>
  <si>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</si>
  <si>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</si>
  <si>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</si>
  <si>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</si>
  <si>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</si>
  <si>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</si>
  <si>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</si>
  <si>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</si>
  <si>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</si>
  <si>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</si>
  <si>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</si>
  <si>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</si>
  <si>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</si>
  <si>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</si>
  <si>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</si>
  <si>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</si>
  <si>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</si>
  <si>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</si>
  <si>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</si>
  <si>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</si>
  <si>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</si>
  <si>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</si>
  <si>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</si>
  <si>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</si>
  <si>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</si>
  <si>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</si>
  <si>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</si>
  <si>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</si>
  <si>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</si>
  <si>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</si>
  <si>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</si>
  <si>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</si>
  <si>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</si>
  <si>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</si>
  <si>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</si>
  <si>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</si>
  <si>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</si>
  <si>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</si>
  <si>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</si>
  <si>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</si>
  <si>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</si>
  <si>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</si>
  <si>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</si>
  <si>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</si>
  <si>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</si>
  <si>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</si>
  <si>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</si>
  <si>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</si>
  <si>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</si>
  <si>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</si>
  <si>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</si>
  <si>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</si>
  <si>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</si>
  <si>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</si>
  <si>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</si>
  <si>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</si>
  <si>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</si>
  <si>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</si>
  <si>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</si>
  <si>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</si>
  <si>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</si>
  <si>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</si>
  <si>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</si>
  <si>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</si>
  <si>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</si>
  <si>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</si>
  <si>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</si>
  <si>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</si>
  <si>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</si>
  <si>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</si>
  <si>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</si>
  <si>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</si>
  <si>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</si>
  <si>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</si>
  <si>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</si>
  <si>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</si>
  <si>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</si>
  <si>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</si>
  <si>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</si>
  <si>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</si>
  <si>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</si>
  <si>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</si>
  <si>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</si>
  <si>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</si>
  <si>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</si>
  <si>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</si>
  <si>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</si>
  <si>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</si>
  <si>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</si>
  <si>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</si>
  <si>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</si>
  <si>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</si>
  <si>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</si>
  <si>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</si>
  <si>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</si>
  <si>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</si>
  <si>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</si>
  <si>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</si>
  <si>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</si>
  <si>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</si>
  <si>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</si>
  <si>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</si>
  <si>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</si>
  <si>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</si>
  <si>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</si>
  <si>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</si>
  <si>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</si>
  <si>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</si>
  <si>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</si>
  <si>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</si>
  <si>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</si>
  <si>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</si>
  <si>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</si>
  <si>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</si>
  <si>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</si>
  <si>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</si>
  <si>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</si>
  <si>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</si>
  <si>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</si>
  <si>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</si>
  <si>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</si>
  <si>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</si>
  <si>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</si>
  <si>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</si>
  <si>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</si>
  <si>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</si>
  <si>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</si>
  <si>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</si>
  <si>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</si>
  <si>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</si>
  <si>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</si>
  <si>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</si>
  <si>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</si>
  <si>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</si>
  <si>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</si>
  <si>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</si>
  <si>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</si>
  <si>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</si>
  <si>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</si>
  <si>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</si>
  <si>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</si>
  <si>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</si>
  <si>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</si>
  <si>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</si>
  <si>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</si>
  <si>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</si>
  <si>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</si>
  <si>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</si>
  <si>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</si>
  <si>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</si>
  <si>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</si>
  <si>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</si>
  <si>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</si>
  <si>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</si>
  <si>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</si>
  <si>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</si>
  <si>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</si>
  <si>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</si>
  <si>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</si>
  <si>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</si>
  <si>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</si>
  <si>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</si>
  <si>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</si>
  <si>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</si>
  <si>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</si>
  <si>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</si>
  <si>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</si>
  <si>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</si>
  <si>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</si>
  <si>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</si>
  <si>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</si>
  <si>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</si>
  <si>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</si>
  <si>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</si>
  <si>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</si>
  <si>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</si>
  <si>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</si>
  <si>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</si>
  <si>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</si>
  <si>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</si>
  <si>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</si>
  <si>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</si>
  <si>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</si>
  <si>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</si>
  <si>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</si>
  <si>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</si>
  <si>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</si>
  <si>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</si>
  <si>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</si>
  <si>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</si>
  <si>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</si>
  <si>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</si>
  <si>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</si>
  <si>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</si>
  <si>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</si>
  <si>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</si>
  <si>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</si>
  <si>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</si>
  <si>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</si>
  <si>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</si>
  <si>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</si>
  <si>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</si>
  <si>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</si>
  <si>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</si>
  <si>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</si>
  <si>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</si>
  <si>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</si>
  <si>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</si>
  <si>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</si>
  <si>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</si>
  <si>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</si>
  <si>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</si>
  <si>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</si>
  <si>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</si>
  <si>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</si>
  <si>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</si>
  <si>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</si>
  <si>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</si>
  <si>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</si>
  <si>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</si>
  <si>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</si>
  <si>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</si>
  <si>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</si>
  <si>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</si>
  <si>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</si>
  <si>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</si>
  <si>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</si>
  <si>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</si>
  <si>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</si>
  <si>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</si>
  <si>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</si>
  <si>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</si>
  <si>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</si>
  <si>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</si>
  <si>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</si>
  <si>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</si>
  <si>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</si>
  <si>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</si>
  <si>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</si>
  <si>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</si>
  <si>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</si>
  <si>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</si>
  <si>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</si>
  <si>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</si>
  <si>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</si>
  <si>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</si>
  <si>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</si>
  <si>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</si>
  <si>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</si>
  <si>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</si>
  <si>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</si>
  <si>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</si>
  <si>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</si>
  <si>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</si>
  <si>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</si>
  <si>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</si>
  <si>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</si>
  <si>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</si>
  <si>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</si>
  <si>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</si>
  <si>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</si>
  <si>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</si>
  <si>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</si>
  <si>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</si>
  <si>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</si>
  <si>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</si>
  <si>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</si>
  <si>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</si>
  <si>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</si>
  <si>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</si>
  <si>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</si>
  <si>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</si>
  <si>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</si>
  <si>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</si>
  <si>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</si>
  <si>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</si>
  <si>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</si>
  <si>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</si>
  <si>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</si>
  <si>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</si>
  <si>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</si>
  <si>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</si>
  <si>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</si>
  <si>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</si>
  <si>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</si>
  <si>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</si>
  <si>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</si>
  <si>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</si>
  <si>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</si>
  <si>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</si>
  <si>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</si>
  <si>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</si>
  <si>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</si>
  <si>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</si>
  <si>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</si>
  <si>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</si>
  <si>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</si>
  <si>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</si>
  <si>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</si>
  <si>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</si>
  <si>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</si>
  <si>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</si>
  <si>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</si>
  <si>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</si>
  <si>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</si>
  <si>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</si>
  <si>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</si>
  <si>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</si>
  <si>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</si>
  <si>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</si>
  <si>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</si>
  <si>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</si>
  <si>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</si>
  <si>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</si>
  <si>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</si>
  <si>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</si>
  <si>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</si>
  <si>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</si>
  <si>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</si>
  <si>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</si>
  <si>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</si>
  <si>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</si>
  <si>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</si>
  <si>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</si>
  <si>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</si>
  <si>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</si>
  <si>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</si>
  <si>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</si>
  <si>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</si>
  <si>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</si>
  <si>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</si>
  <si>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</si>
  <si>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</si>
  <si>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</si>
  <si>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</si>
  <si>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</si>
  <si>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</si>
  <si>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</si>
  <si>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</si>
  <si>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</si>
  <si>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</si>
  <si>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</si>
  <si>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</si>
  <si>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</si>
  <si>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</si>
  <si>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</si>
  <si>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</si>
  <si>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</si>
  <si>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</si>
  <si>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</si>
  <si>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</si>
  <si>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</si>
  <si>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</si>
  <si>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</si>
  <si>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</si>
  <si>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</si>
  <si>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</si>
  <si>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</si>
  <si>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</si>
  <si>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</si>
  <si>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</si>
  <si>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</si>
  <si>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</si>
  <si>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</si>
  <si>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</si>
  <si>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</si>
  <si>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</si>
  <si>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</si>
  <si>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</si>
  <si>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</si>
  <si>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</si>
  <si>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</si>
  <si>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</si>
  <si>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</si>
  <si>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</si>
  <si>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</si>
  <si>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</si>
  <si>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</si>
  <si>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</si>
  <si>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</si>
  <si>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</si>
  <si>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</si>
  <si>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</si>
  <si>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</si>
  <si>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</si>
  <si>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</si>
  <si>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</si>
  <si>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</si>
  <si>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</si>
  <si>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</si>
  <si>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</si>
  <si>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</si>
  <si>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</si>
  <si>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</si>
  <si>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</si>
  <si>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</si>
  <si>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</si>
  <si>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</si>
  <si>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</si>
  <si>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</si>
  <si>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</si>
  <si>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</si>
  <si>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</si>
  <si>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</si>
  <si>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</si>
  <si>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</si>
  <si>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</si>
  <si>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</si>
  <si>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</si>
  <si>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</si>
  <si>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</si>
  <si>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</si>
  <si>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</si>
  <si>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</si>
  <si>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</si>
  <si>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</si>
  <si>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</si>
  <si>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</si>
  <si>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</si>
  <si>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</si>
  <si>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</si>
  <si>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</si>
  <si>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</si>
  <si>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</si>
  <si>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</si>
  <si>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</si>
  <si>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</si>
  <si>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</si>
  <si>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</si>
  <si>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</si>
  <si>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</si>
  <si>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</si>
  <si>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</si>
  <si>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</si>
  <si>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</si>
  <si>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</si>
  <si>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</si>
  <si>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</si>
  <si>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</si>
  <si>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</si>
  <si>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</si>
  <si>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</si>
  <si>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</si>
  <si>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</si>
  <si>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</si>
  <si>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</si>
  <si>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</si>
  <si>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</si>
  <si>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</si>
  <si>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</si>
  <si>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</si>
  <si>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</si>
  <si>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</si>
  <si>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</si>
  <si>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</si>
  <si>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</si>
  <si>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</si>
  <si>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</si>
  <si>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</si>
  <si>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</si>
  <si>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</si>
  <si>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</si>
  <si>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</si>
  <si>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</si>
  <si>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</si>
  <si>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</si>
  <si>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</si>
  <si>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</si>
  <si>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</si>
  <si>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</si>
  <si>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</si>
  <si>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</si>
  <si>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</si>
  <si>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</si>
  <si>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</si>
  <si>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</si>
  <si>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</si>
  <si>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</si>
  <si>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</si>
  <si>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</si>
  <si>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</si>
  <si>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</si>
  <si>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</si>
  <si>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</si>
  <si>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</si>
  <si>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</si>
  <si>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</si>
  <si>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</si>
  <si>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</si>
  <si>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</si>
  <si>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</si>
  <si>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</si>
  <si>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</si>
  <si>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</si>
  <si>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</si>
  <si>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</si>
  <si>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</si>
  <si>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</si>
  <si>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</si>
  <si>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</si>
  <si>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</si>
  <si>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</si>
  <si>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</si>
  <si>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</si>
  <si>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</si>
  <si>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</si>
  <si>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</si>
  <si>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</si>
  <si>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</si>
  <si>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</si>
  <si>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</si>
  <si>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</si>
  <si>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</si>
  <si>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</si>
  <si>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</si>
  <si>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</si>
  <si>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</si>
  <si>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</si>
  <si>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</si>
  <si>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</si>
  <si>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</si>
  <si>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</si>
  <si>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</si>
  <si>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</si>
  <si>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</si>
  <si>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</si>
  <si>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</si>
  <si>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</si>
  <si>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</si>
  <si>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</si>
  <si>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</si>
  <si>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</si>
  <si>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</si>
  <si>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</si>
  <si>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</si>
  <si>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</si>
  <si>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</si>
  <si>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</si>
  <si>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</si>
  <si>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</si>
  <si>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</si>
  <si>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</si>
  <si>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</si>
  <si>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</si>
  <si>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</si>
  <si>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</si>
  <si>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</si>
  <si>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</si>
  <si>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</si>
  <si>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</si>
  <si>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</si>
  <si>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</si>
  <si>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</si>
  <si>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</si>
  <si>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</si>
  <si>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</si>
  <si>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</si>
  <si>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</si>
  <si>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</si>
  <si>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</si>
  <si>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</si>
  <si>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</si>
  <si>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</si>
  <si>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</si>
  <si>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</si>
  <si>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</si>
  <si>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</si>
  <si>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</si>
  <si>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</si>
  <si>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</si>
  <si>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</si>
  <si>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</si>
  <si>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</si>
  <si>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</si>
  <si>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</si>
  <si>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</si>
  <si>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</si>
  <si>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</si>
  <si>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</si>
  <si>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</si>
  <si>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</si>
  <si>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</si>
  <si>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</si>
  <si>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</si>
  <si>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</si>
  <si>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</si>
  <si>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</si>
  <si>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</si>
  <si>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</si>
  <si>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</si>
  <si>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</si>
  <si>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</si>
  <si>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</si>
  <si>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</si>
  <si>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</si>
  <si>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</si>
  <si>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</si>
  <si>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</si>
  <si>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</si>
  <si>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</si>
  <si>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</si>
  <si>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</si>
  <si>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</si>
  <si>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</si>
  <si>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</si>
  <si>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</si>
  <si>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</si>
  <si>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</si>
  <si>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</si>
  <si>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</si>
  <si>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</si>
  <si>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</si>
  <si>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</si>
  <si>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</si>
  <si>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</si>
  <si>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</si>
  <si>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</si>
  <si>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</si>
  <si>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</si>
  <si>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</si>
  <si>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</si>
  <si>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</si>
  <si>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</si>
  <si>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</si>
  <si>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</si>
  <si>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</si>
  <si>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</si>
  <si>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</si>
  <si>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</si>
  <si>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</si>
  <si>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</si>
  <si>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</si>
  <si>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</si>
  <si>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</si>
  <si>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</si>
  <si>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</si>
  <si>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</si>
  <si>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</si>
  <si>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</si>
  <si>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</si>
  <si>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</si>
  <si>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</si>
  <si>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</si>
  <si>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</si>
  <si>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</si>
  <si>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</si>
  <si>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</si>
  <si>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</si>
  <si>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</si>
  <si>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</si>
  <si>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</si>
  <si>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</si>
  <si>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</si>
  <si>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</si>
  <si>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</si>
  <si>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</si>
  <si>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</si>
  <si>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</si>
  <si>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</si>
  <si>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</si>
  <si>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</si>
  <si>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</si>
  <si>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</si>
  <si>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</si>
  <si>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</si>
  <si>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</si>
  <si>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</si>
  <si>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</si>
  <si>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</si>
  <si>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</si>
  <si>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</si>
  <si>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</si>
  <si>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</si>
  <si>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</si>
  <si>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</si>
  <si>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</si>
  <si>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</si>
  <si>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</si>
  <si>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</si>
  <si>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</si>
  <si>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</si>
  <si>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</si>
  <si>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</si>
  <si>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</si>
  <si>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</si>
  <si>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</si>
  <si>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</si>
  <si>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</si>
  <si>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</si>
  <si>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</si>
  <si>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</si>
  <si>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</si>
  <si>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</si>
  <si>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</si>
  <si>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</si>
  <si>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</si>
  <si>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</si>
  <si>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</si>
  <si>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</si>
  <si>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</si>
  <si>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</si>
  <si>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</si>
  <si>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</si>
  <si>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</si>
  <si>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</si>
  <si>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</si>
  <si>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</si>
  <si>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</si>
  <si>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</si>
  <si>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</si>
  <si>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</si>
  <si>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</si>
  <si>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</si>
  <si>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</si>
  <si>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</si>
  <si>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</si>
  <si>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</si>
  <si>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</si>
  <si>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</si>
  <si>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</si>
  <si>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</si>
  <si>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</si>
  <si>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</si>
  <si>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</si>
  <si>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</si>
  <si>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</si>
  <si>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</si>
  <si>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</si>
  <si>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</si>
  <si>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</si>
  <si>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</si>
  <si>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</si>
  <si>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</si>
  <si>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</si>
  <si>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</si>
  <si>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</si>
  <si>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</si>
  <si>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</si>
  <si>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</si>
  <si>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</si>
  <si>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</si>
  <si>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</si>
  <si>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</si>
  <si>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</si>
  <si>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</si>
  <si>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</si>
  <si>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</si>
  <si>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</si>
  <si>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</si>
  <si>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</si>
  <si>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</si>
  <si>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</si>
  <si>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</si>
  <si>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</si>
  <si>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</si>
  <si>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</si>
  <si>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</si>
  <si>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</si>
  <si>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</si>
  <si>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</si>
  <si>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</si>
  <si>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</si>
  <si>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</si>
  <si>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</si>
  <si>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</si>
  <si>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</si>
  <si>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</si>
  <si>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</si>
  <si>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</si>
  <si>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</si>
  <si>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</si>
  <si>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</si>
  <si>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</si>
  <si>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</si>
  <si>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</si>
  <si>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</si>
  <si>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</si>
  <si>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</si>
  <si>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</si>
  <si>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</si>
  <si>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</si>
  <si>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</si>
  <si>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</si>
  <si>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</si>
  <si>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</si>
  <si>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</si>
  <si>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</si>
  <si>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</si>
  <si>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</si>
  <si>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</si>
  <si>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</si>
  <si>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</si>
  <si>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</si>
  <si>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</si>
  <si>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</si>
  <si>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</si>
  <si>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</si>
  <si>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</si>
  <si>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</si>
  <si>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</si>
  <si>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</si>
  <si>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</si>
  <si>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</si>
  <si>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</si>
  <si>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</si>
  <si>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</si>
  <si>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</si>
  <si>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</si>
  <si>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</si>
  <si>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</si>
  <si>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</si>
  <si>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</si>
  <si>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</si>
  <si>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</si>
  <si>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</si>
  <si>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</si>
  <si>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</si>
  <si>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</si>
  <si>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</si>
  <si>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</si>
  <si>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</si>
  <si>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</si>
  <si>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</si>
  <si>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</si>
  <si>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</si>
  <si>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</si>
  <si>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</si>
  <si>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</si>
  <si>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</si>
  <si>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</si>
  <si>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</si>
  <si>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</si>
  <si>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</si>
  <si>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</si>
  <si>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</si>
  <si>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</si>
  <si>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</si>
  <si>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</si>
  <si>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</si>
  <si>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</si>
  <si>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</si>
  <si>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</si>
  <si>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</si>
  <si>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</si>
  <si>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</si>
  <si>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</si>
  <si>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</si>
  <si>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</si>
  <si>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</si>
  <si>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</si>
  <si>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</si>
  <si>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</si>
  <si>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</si>
  <si>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</si>
  <si>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</si>
  <si>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</si>
  <si>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</si>
  <si>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</si>
  <si>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</si>
  <si>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</si>
  <si>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</si>
  <si>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</si>
  <si>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</si>
  <si>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</si>
  <si>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</si>
  <si>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</si>
  <si>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</si>
  <si>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</si>
  <si>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</si>
  <si>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</si>
  <si>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</si>
  <si>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</si>
  <si>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</si>
  <si>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</si>
  <si>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</si>
  <si>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</si>
  <si>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</si>
  <si>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</si>
  <si>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</si>
  <si>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</si>
  <si>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</si>
  <si>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</si>
  <si>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</si>
  <si>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</si>
  <si>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</si>
  <si>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</si>
  <si>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</si>
  <si>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</si>
  <si>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</si>
  <si>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</si>
  <si>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</si>
  <si>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</si>
  <si>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</si>
  <si>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</si>
  <si>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</si>
  <si>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</si>
  <si>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</si>
  <si>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</si>
  <si>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</si>
  <si>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</si>
  <si>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</si>
  <si>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</si>
  <si>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</si>
  <si>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</si>
  <si>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</si>
  <si>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</si>
  <si>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</si>
  <si>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</si>
  <si>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</si>
  <si>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</si>
  <si>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</si>
  <si>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</si>
  <si>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</si>
  <si>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</si>
  <si>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</si>
  <si>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</si>
  <si>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</si>
  <si>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</si>
  <si>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</si>
  <si>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</si>
  <si>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</si>
  <si>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</si>
  <si>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</si>
  <si>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</si>
  <si>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</si>
  <si>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</si>
  <si>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</si>
  <si>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</si>
  <si>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</si>
  <si>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</si>
  <si>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</si>
  <si>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</si>
  <si>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</si>
  <si>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</si>
  <si>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</si>
  <si>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</si>
  <si>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</si>
  <si>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</si>
  <si>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</si>
  <si>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</si>
  <si>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</si>
  <si>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</si>
  <si>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</si>
  <si>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</si>
  <si>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</si>
  <si>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</si>
  <si>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</si>
  <si>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</si>
  <si>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</si>
  <si>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</si>
  <si>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</si>
  <si>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</si>
  <si>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</si>
  <si>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</si>
  <si>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</si>
  <si>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</si>
  <si>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</si>
  <si>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</si>
  <si>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</si>
  <si>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</si>
  <si>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</si>
  <si>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</si>
  <si>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</si>
  <si>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</si>
  <si>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</si>
  <si>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</si>
  <si>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</si>
  <si>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</si>
  <si>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</si>
  <si>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</si>
  <si>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</si>
  <si>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</si>
  <si>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</si>
  <si>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</si>
  <si>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</si>
  <si>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</si>
  <si>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</si>
  <si>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</si>
  <si>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</si>
  <si>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</si>
  <si>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</si>
  <si>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</si>
  <si>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</si>
  <si>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</si>
  <si>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</si>
  <si>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</si>
  <si>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</si>
  <si>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</si>
  <si>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</si>
  <si>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</si>
  <si>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</si>
  <si>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</si>
  <si>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</si>
  <si>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</si>
  <si>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</si>
  <si>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</si>
  <si>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</si>
  <si>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</si>
  <si>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</si>
  <si>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</si>
  <si>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</si>
  <si>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</si>
  <si>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</si>
  <si>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</si>
  <si>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</si>
  <si>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</si>
  <si>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</si>
  <si>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</si>
  <si>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</si>
  <si>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</si>
  <si>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</si>
  <si>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</si>
  <si>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</si>
  <si>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</si>
  <si>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</si>
  <si>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</si>
  <si>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</si>
  <si>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</si>
  <si>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</si>
  <si>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</si>
  <si>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</si>
  <si>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</si>
  <si>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</si>
  <si>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</si>
  <si>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</si>
  <si>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</si>
  <si>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</si>
  <si>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</si>
  <si>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</si>
  <si>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</si>
  <si>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</si>
  <si>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</si>
  <si>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</si>
  <si>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</si>
  <si>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</si>
  <si>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</si>
  <si>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</si>
  <si>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</si>
  <si>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</si>
  <si>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</si>
  <si>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</si>
  <si>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</si>
  <si>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</si>
  <si>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</si>
  <si>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</si>
  <si>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</si>
  <si>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</si>
  <si>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</si>
  <si>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</si>
  <si>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</si>
  <si>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</si>
  <si>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</si>
  <si>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</si>
  <si>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</si>
  <si>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</si>
  <si>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</si>
  <si>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</si>
  <si>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</si>
  <si>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</si>
  <si>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</si>
  <si>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</si>
  <si>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</si>
  <si>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</si>
  <si>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</si>
  <si>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</si>
  <si>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</si>
  <si>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</si>
  <si>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</si>
  <si>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</si>
  <si>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</si>
  <si>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</si>
  <si>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</si>
  <si>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</si>
  <si>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</si>
  <si>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</si>
  <si>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</si>
  <si>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</si>
  <si>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</si>
  <si>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</si>
  <si>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</si>
  <si>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</si>
  <si>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</si>
  <si>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</si>
  <si>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</si>
  <si>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</si>
  <si>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</si>
  <si>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</si>
  <si>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</si>
  <si>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</si>
  <si>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</si>
  <si>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</si>
  <si>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</si>
  <si>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</si>
  <si>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</si>
  <si>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</si>
  <si>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</si>
  <si>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</si>
  <si>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</si>
  <si>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</si>
  <si>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</si>
  <si>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</si>
  <si>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</si>
  <si>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</si>
  <si>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</si>
  <si>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</si>
  <si>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</si>
  <si>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</si>
  <si>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</si>
  <si>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</si>
  <si>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</si>
  <si>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</si>
  <si>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</si>
  <si>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</si>
  <si>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</si>
  <si>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</si>
  <si>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</si>
  <si>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</si>
  <si>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</si>
  <si>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</si>
  <si>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</si>
  <si>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</si>
  <si>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</si>
  <si>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</si>
  <si>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</si>
  <si>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</si>
  <si>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</si>
  <si>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</si>
  <si>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</si>
  <si>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</si>
  <si>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</si>
  <si>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</si>
  <si>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</si>
  <si>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</si>
  <si>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</si>
  <si>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</si>
  <si>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</si>
  <si>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</si>
  <si>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</si>
  <si>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</si>
  <si>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</si>
  <si>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</si>
  <si>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</si>
  <si>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</si>
  <si>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</si>
  <si>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</si>
  <si>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</si>
  <si>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</si>
  <si>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</si>
  <si>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</si>
  <si>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</si>
  <si>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</si>
  <si>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</si>
  <si>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</si>
  <si>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</si>
  <si>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</si>
  <si>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</si>
  <si>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</si>
  <si>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</si>
  <si>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</si>
  <si>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</si>
  <si>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</si>
  <si>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</si>
  <si>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</si>
  <si>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</si>
  <si>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</si>
  <si>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</si>
  <si>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</si>
  <si>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</si>
  <si>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</si>
  <si>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</si>
  <si>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</si>
  <si>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</si>
  <si>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</si>
  <si>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</si>
  <si>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</si>
  <si>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</si>
  <si>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</si>
  <si>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</si>
  <si>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</si>
  <si>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</si>
  <si>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</si>
  <si>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</si>
  <si>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</si>
  <si>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</si>
  <si>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</si>
  <si>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</si>
  <si>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</si>
  <si>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</si>
  <si>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</si>
  <si>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</si>
  <si>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</si>
  <si>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</si>
  <si>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</si>
  <si>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</si>
  <si>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</si>
  <si>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</si>
  <si>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</si>
  <si>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</si>
  <si>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</si>
  <si>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</si>
  <si>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</si>
  <si>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</si>
  <si>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</si>
  <si>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</si>
  <si>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</si>
  <si>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</si>
  <si>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</si>
  <si>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</si>
  <si>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</si>
  <si>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</si>
  <si>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</si>
  <si>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</si>
  <si>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</si>
  <si>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</si>
  <si>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</si>
  <si>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</si>
  <si>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</si>
  <si>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</si>
  <si>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</si>
  <si>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</si>
  <si>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</si>
  <si>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</si>
  <si>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</si>
  <si>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</si>
  <si>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</si>
  <si>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</si>
  <si>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</si>
  <si>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</si>
  <si>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</si>
  <si>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</si>
  <si>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</si>
  <si>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</si>
  <si>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</si>
  <si>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</si>
  <si>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</si>
  <si>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</si>
  <si>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</si>
  <si>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</si>
  <si>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</si>
  <si>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</si>
  <si>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</si>
  <si>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</si>
  <si>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</si>
  <si>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</si>
  <si>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</si>
  <si>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</si>
  <si>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</si>
  <si>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</si>
  <si>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</si>
  <si>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</si>
  <si>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</si>
  <si>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</si>
  <si>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</si>
  <si>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</si>
  <si>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</si>
  <si>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</si>
  <si>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</si>
  <si>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</si>
  <si>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</si>
  <si>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</si>
  <si>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</si>
  <si>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</si>
  <si>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</si>
  <si>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</si>
  <si>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</si>
  <si>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</si>
  <si>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</si>
  <si>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</si>
  <si>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</si>
  <si>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</si>
  <si>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</si>
  <si>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</si>
  <si>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</si>
  <si>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</si>
  <si>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</si>
  <si>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</si>
  <si>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</si>
  <si>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</si>
  <si>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</si>
  <si>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</si>
  <si>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</si>
  <si>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</si>
  <si>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</si>
  <si>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</si>
  <si>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</si>
  <si>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</si>
  <si>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</si>
  <si>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</si>
  <si>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</si>
  <si>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</si>
  <si>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</si>
  <si>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</si>
  <si>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</si>
  <si>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</si>
  <si>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</si>
  <si>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</si>
  <si>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</si>
  <si>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</si>
  <si>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</si>
  <si>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</si>
  <si>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</si>
  <si>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</si>
  <si>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</si>
  <si>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</si>
  <si>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</si>
  <si>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</si>
  <si>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</si>
  <si>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</si>
  <si>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</si>
  <si>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</si>
  <si>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</si>
  <si>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</si>
  <si>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</si>
  <si>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</si>
  <si>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</si>
  <si>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</si>
  <si>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</si>
  <si>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</si>
  <si>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</si>
  <si>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</si>
  <si>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</si>
  <si>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</si>
  <si>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</si>
  <si>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</si>
  <si>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</si>
  <si>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</si>
  <si>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</si>
  <si>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</si>
  <si>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</si>
  <si>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</si>
  <si>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</si>
  <si>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</si>
  <si>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</si>
  <si>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</si>
  <si>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</si>
  <si>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</si>
  <si>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</si>
  <si>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</si>
  <si>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</si>
  <si>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</si>
  <si>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</si>
  <si>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</si>
  <si>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</si>
  <si>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</si>
  <si>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</si>
  <si>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</si>
  <si>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</si>
  <si>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</si>
  <si>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</si>
  <si>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</si>
  <si>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</si>
  <si>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</si>
  <si>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</si>
  <si>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</si>
  <si>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</si>
  <si>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</si>
  <si>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</si>
  <si>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</si>
  <si>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</si>
  <si>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</si>
  <si>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</si>
  <si>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</si>
  <si>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</si>
  <si>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</si>
  <si>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</si>
  <si>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</si>
  <si>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</si>
  <si>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</si>
  <si>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</si>
  <si>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</si>
  <si>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</si>
  <si>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</si>
  <si>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</si>
  <si>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</si>
  <si>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</si>
  <si>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</si>
  <si>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</si>
  <si>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</si>
  <si>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</si>
  <si>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</si>
  <si>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</si>
  <si>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</si>
  <si>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</si>
  <si>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</si>
  <si>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</si>
  <si>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</si>
  <si>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</si>
  <si>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</si>
  <si>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</si>
  <si>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</si>
  <si>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</si>
  <si>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</si>
  <si>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</si>
  <si>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</si>
  <si>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</si>
  <si>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</si>
  <si>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</si>
  <si>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</si>
  <si>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</si>
  <si>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</si>
  <si>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</si>
  <si>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</si>
  <si>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</si>
  <si>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</si>
  <si>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</si>
  <si>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</si>
  <si>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</si>
  <si>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</si>
  <si>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</si>
  <si>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</si>
  <si>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</si>
  <si>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</si>
  <si>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</si>
  <si>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</si>
  <si>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</si>
  <si>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</si>
  <si>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</si>
  <si>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</si>
  <si>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</si>
  <si>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</si>
  <si>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</si>
  <si>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</si>
  <si>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</si>
  <si>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</si>
  <si>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</si>
  <si>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</si>
  <si>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</si>
  <si>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</si>
  <si>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</si>
  <si>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</si>
  <si>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</si>
  <si>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</si>
  <si>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</si>
  <si>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</si>
  <si>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</si>
  <si>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</si>
  <si>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</si>
  <si>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</si>
  <si>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</si>
  <si>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</si>
  <si>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</si>
  <si>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</si>
  <si>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</si>
  <si>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</si>
  <si>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</si>
  <si>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</si>
  <si>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</si>
  <si>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</si>
  <si>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</si>
  <si>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</si>
  <si>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</si>
  <si>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</si>
  <si>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</si>
  <si>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</si>
  <si>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</si>
  <si>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</si>
  <si>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</si>
  <si>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</si>
  <si>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</si>
  <si>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</si>
  <si>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</si>
  <si>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</si>
  <si>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</si>
  <si>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</si>
  <si>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</si>
  <si>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</si>
  <si>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</si>
  <si>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</si>
  <si>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</si>
  <si>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</si>
  <si>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</si>
  <si>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</si>
  <si>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</si>
  <si>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</si>
  <si>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</si>
  <si>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</si>
  <si>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</si>
  <si>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</si>
  <si>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</si>
  <si>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</si>
  <si>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</si>
  <si>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</si>
  <si>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</si>
  <si>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</si>
  <si>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</si>
  <si>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</si>
  <si>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</si>
  <si>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</si>
  <si>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</si>
  <si>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</si>
  <si>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</si>
  <si>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</si>
  <si>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</si>
  <si>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</si>
  <si>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</si>
  <si>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</si>
  <si>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</si>
  <si>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</si>
  <si>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</si>
  <si>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</si>
  <si>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</si>
  <si>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</si>
  <si>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</si>
  <si>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</si>
  <si>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</si>
  <si>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</si>
  <si>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</si>
  <si>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</si>
  <si>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</si>
  <si>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</si>
  <si>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</si>
  <si>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</si>
  <si>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</si>
  <si>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</si>
  <si>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</si>
  <si>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</si>
  <si>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</si>
  <si>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</si>
  <si>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</si>
  <si>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</si>
  <si>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</si>
  <si>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</si>
  <si>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</si>
  <si>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</si>
  <si>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</si>
  <si>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</si>
  <si>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</si>
  <si>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</si>
  <si>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</si>
  <si>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</si>
  <si>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</si>
  <si>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</si>
  <si>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</si>
  <si>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</si>
  <si>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</si>
  <si>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</si>
  <si>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</si>
  <si>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</si>
  <si>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</si>
  <si>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</si>
  <si>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</si>
  <si>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</si>
  <si>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</si>
  <si>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</si>
  <si>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</si>
  <si>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</si>
  <si>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</si>
  <si>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</si>
  <si>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</si>
  <si>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</si>
  <si>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</si>
  <si>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</si>
  <si>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</si>
  <si>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</si>
  <si>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</si>
  <si>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</si>
  <si>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</si>
  <si>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</si>
  <si>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</si>
  <si>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</si>
  <si>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</si>
  <si>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</si>
  <si>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</si>
  <si>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</si>
  <si>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</si>
  <si>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</si>
  <si>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</si>
  <si>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</si>
  <si>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</si>
  <si>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</si>
  <si>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</si>
  <si>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</si>
  <si>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</si>
  <si>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</si>
  <si>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</si>
  <si>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</si>
  <si>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</si>
  <si>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</si>
  <si>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</si>
  <si>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</si>
  <si>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</si>
  <si>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</si>
  <si>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</si>
  <si>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</si>
  <si>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</si>
  <si>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</si>
  <si>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</si>
  <si>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</si>
  <si>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</si>
  <si>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</si>
  <si>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</si>
  <si>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</si>
  <si>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</si>
  <si>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</si>
  <si>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</si>
  <si>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</si>
  <si>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</si>
  <si>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</si>
  <si>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</si>
  <si>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</si>
  <si>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</si>
  <si>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</si>
  <si>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</si>
  <si>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</si>
  <si>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</si>
  <si>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</si>
  <si>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</si>
  <si>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</si>
  <si>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</si>
  <si>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</si>
  <si>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</si>
  <si>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</si>
  <si>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</si>
  <si>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</si>
  <si>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</si>
  <si>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</si>
  <si>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</si>
  <si>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</si>
  <si>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</si>
  <si>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</si>
  <si>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</si>
  <si>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</si>
  <si>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</si>
  <si>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</si>
  <si>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</si>
  <si>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</si>
  <si>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</si>
  <si>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</si>
  <si>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</si>
  <si>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</si>
  <si>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</si>
  <si>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</si>
  <si>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</si>
  <si>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</si>
  <si>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</si>
  <si>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</si>
  <si>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</si>
  <si>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</si>
  <si>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</si>
  <si>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</si>
  <si>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</si>
  <si>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</si>
  <si>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</si>
  <si>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</si>
  <si>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</si>
  <si>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</si>
  <si>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</si>
  <si>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</si>
  <si>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</si>
  <si>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</si>
  <si>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</si>
  <si>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</si>
  <si>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</si>
  <si>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</si>
  <si>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</si>
  <si>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</si>
  <si>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</si>
  <si>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</si>
  <si>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</si>
  <si>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</si>
  <si>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</si>
  <si>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</si>
  <si>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</si>
  <si>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</si>
  <si>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</si>
  <si>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</si>
  <si>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</si>
  <si>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</si>
  <si>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</si>
  <si>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</si>
  <si>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</si>
  <si>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</si>
  <si>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</si>
  <si>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</si>
  <si>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</si>
  <si>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</si>
  <si>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</si>
  <si>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</si>
  <si>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</si>
  <si>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</si>
  <si>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</si>
  <si>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</si>
  <si>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</si>
  <si>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</si>
  <si>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</si>
  <si>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</si>
  <si>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</si>
  <si>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</si>
  <si>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</si>
  <si>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</si>
  <si>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</si>
  <si>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</si>
  <si>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</si>
  <si>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</si>
  <si>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</si>
  <si>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</si>
  <si>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</si>
  <si>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</si>
  <si>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</si>
  <si>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</si>
  <si>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</si>
  <si>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</si>
  <si>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</si>
  <si>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</si>
  <si>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</si>
  <si>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</si>
  <si>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</si>
  <si>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</si>
  <si>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</si>
  <si>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</si>
  <si>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</si>
  <si>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</si>
  <si>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</si>
  <si>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</si>
  <si>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</si>
  <si>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</si>
  <si>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</si>
  <si>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</si>
  <si>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</si>
  <si>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</si>
  <si>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</si>
  <si>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</si>
  <si>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</si>
  <si>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</si>
  <si>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</si>
  <si>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</si>
  <si>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</si>
  <si>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</si>
  <si>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</si>
  <si>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</si>
  <si>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</si>
  <si>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</si>
  <si>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</si>
  <si>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</si>
  <si>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</si>
  <si>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</si>
  <si>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</si>
  <si>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</si>
  <si>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</si>
  <si>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</si>
  <si>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</si>
  <si>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</si>
  <si>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</si>
  <si>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</si>
  <si>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</si>
  <si>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</si>
  <si>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</si>
  <si>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</si>
  <si>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</si>
  <si>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</si>
  <si>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</si>
  <si>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</si>
  <si>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</si>
  <si>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</si>
  <si>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</si>
  <si>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</si>
  <si>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</si>
  <si>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</si>
  <si>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</si>
  <si>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</si>
  <si>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</si>
  <si>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</si>
  <si>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</si>
  <si>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</si>
  <si>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</si>
  <si>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</si>
  <si>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</si>
  <si>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</si>
  <si>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</si>
  <si>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</si>
  <si>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</si>
  <si>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</si>
  <si>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</si>
  <si>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</si>
  <si>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</si>
  <si>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</si>
  <si>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</si>
  <si>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</si>
  <si>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</si>
  <si>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</si>
  <si>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</si>
  <si>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</si>
  <si>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</si>
  <si>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</si>
  <si>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</si>
  <si>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</si>
  <si>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</si>
  <si>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</si>
  <si>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</si>
  <si>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</si>
  <si>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</si>
  <si>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</si>
  <si>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</si>
  <si>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</si>
  <si>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</si>
  <si>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</si>
  <si>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</si>
  <si>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</si>
  <si>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</si>
  <si>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</si>
  <si>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</si>
  <si>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</si>
  <si>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</si>
  <si>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</si>
  <si>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</si>
  <si>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</si>
  <si>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</si>
  <si>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</si>
  <si>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</si>
  <si>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</si>
  <si>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</si>
  <si>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</si>
  <si>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</si>
  <si>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</si>
  <si>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</si>
  <si>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</si>
  <si>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</si>
  <si>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</si>
  <si>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</si>
  <si>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</si>
  <si>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</si>
  <si>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</si>
  <si>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</si>
  <si>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</si>
  <si>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</si>
  <si>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</si>
  <si>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</si>
  <si>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</si>
  <si>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</si>
  <si>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</si>
  <si>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</si>
  <si>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</si>
  <si>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</si>
  <si>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</si>
  <si>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</si>
  <si>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</si>
  <si>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</si>
  <si>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</si>
  <si>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</si>
  <si>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</si>
  <si>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</si>
  <si>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</si>
  <si>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</si>
  <si>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</si>
  <si>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</si>
  <si>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</si>
  <si>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</si>
  <si>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</si>
  <si>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</si>
  <si>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</si>
  <si>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</si>
  <si>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</si>
  <si>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</si>
  <si>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</si>
  <si>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</si>
  <si>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</si>
  <si>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</si>
  <si>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</si>
  <si>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</si>
  <si>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</si>
  <si>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</si>
  <si>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</si>
  <si>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</si>
  <si>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</si>
  <si>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</si>
  <si>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</si>
  <si>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</si>
  <si>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</si>
  <si>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</si>
  <si>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</si>
  <si>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</si>
  <si>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</si>
  <si>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</si>
  <si>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</si>
  <si>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</si>
  <si>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</si>
  <si>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</si>
  <si>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</si>
  <si>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</si>
  <si>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</si>
  <si>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</si>
  <si>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</si>
  <si>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</si>
  <si>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</si>
  <si>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</si>
  <si>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</si>
  <si>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</si>
  <si>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</si>
  <si>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</si>
  <si>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</si>
  <si>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</si>
  <si>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</si>
  <si>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</si>
  <si>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</si>
  <si>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</si>
  <si>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</si>
  <si>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</si>
  <si>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</si>
  <si>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</si>
  <si>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</si>
  <si>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</si>
  <si>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</si>
  <si>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</si>
  <si>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</si>
  <si>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</si>
  <si>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</si>
  <si>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</si>
  <si>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</si>
  <si>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</si>
  <si>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</si>
  <si>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</si>
  <si>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</si>
  <si>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</si>
  <si>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</si>
  <si>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</si>
  <si>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</si>
  <si>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</si>
  <si>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</si>
  <si>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</si>
  <si>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</si>
  <si>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</si>
  <si>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</si>
  <si>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</si>
  <si>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</si>
  <si>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</si>
  <si>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</si>
  <si>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</si>
  <si>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</si>
  <si>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</si>
  <si>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</si>
  <si>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</si>
  <si>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</si>
  <si>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</si>
  <si>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</si>
  <si>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</si>
  <si>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</si>
  <si>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</si>
  <si>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</si>
  <si>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</si>
  <si>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</si>
  <si>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</si>
  <si>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</si>
  <si>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</si>
  <si>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</si>
  <si>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</si>
  <si>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</si>
  <si>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</si>
  <si>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</si>
  <si>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</si>
  <si>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</si>
  <si>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</si>
  <si>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</si>
  <si>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</si>
  <si>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</si>
  <si>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</si>
  <si>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</si>
  <si>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</si>
  <si>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</si>
  <si>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</si>
  <si>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</si>
  <si>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</si>
  <si>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</si>
  <si>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</si>
  <si>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</si>
  <si>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</si>
  <si>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</si>
  <si>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</si>
  <si>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</si>
  <si>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</si>
  <si>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</si>
  <si>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</si>
  <si>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</si>
  <si>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</si>
  <si>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</si>
  <si>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</si>
  <si>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</si>
  <si>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</si>
  <si>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</si>
  <si>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</si>
  <si>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</si>
  <si>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</si>
  <si>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</si>
  <si>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</si>
  <si>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</si>
  <si>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</si>
  <si>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</si>
  <si>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</si>
  <si>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</si>
  <si>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</si>
  <si>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</si>
  <si>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</si>
  <si>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</si>
  <si>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</si>
  <si>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</si>
  <si>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</si>
  <si>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</si>
  <si>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</si>
  <si>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</si>
  <si>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</si>
  <si>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</si>
  <si>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</si>
  <si>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</si>
  <si>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</si>
  <si>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</si>
  <si>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</si>
  <si>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</si>
  <si>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</si>
  <si>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</si>
  <si>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</si>
  <si>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</si>
  <si>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</si>
  <si>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</si>
  <si>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</si>
  <si>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</si>
  <si>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</si>
  <si>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</si>
  <si>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</si>
  <si>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</si>
  <si>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</si>
  <si>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</si>
  <si>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</si>
  <si>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</si>
  <si>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</si>
  <si>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</si>
  <si>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</si>
  <si>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</si>
  <si>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</si>
  <si>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</si>
  <si>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</si>
  <si>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</si>
  <si>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</si>
  <si>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</si>
  <si>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</si>
  <si>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</si>
  <si>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</si>
  <si>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</si>
  <si>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</si>
  <si>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</si>
  <si>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</si>
  <si>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</si>
  <si>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</si>
  <si>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</si>
  <si>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</si>
  <si>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</si>
  <si>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</si>
  <si>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</si>
  <si>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</si>
  <si>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</si>
  <si>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</si>
  <si>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</si>
  <si>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</si>
  <si>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</si>
  <si>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</si>
  <si>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</si>
  <si>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</si>
  <si>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</si>
  <si>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</si>
  <si>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</si>
  <si>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</si>
  <si>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</si>
  <si>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</si>
  <si>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</si>
  <si>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</si>
  <si>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</si>
  <si>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</si>
  <si>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</si>
  <si>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</si>
  <si>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</si>
  <si>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</si>
  <si>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</si>
  <si>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</si>
  <si>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</si>
  <si>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</si>
  <si>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</si>
  <si>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</si>
  <si>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</si>
  <si>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</si>
  <si>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</si>
  <si>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</si>
  <si>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</si>
  <si>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</si>
  <si>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</si>
  <si>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</si>
  <si>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</si>
  <si>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</si>
  <si>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</si>
  <si>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</si>
  <si>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</si>
  <si>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</si>
  <si>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</si>
  <si>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</si>
  <si>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</si>
  <si>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</si>
  <si>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</si>
  <si>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</si>
  <si>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</si>
  <si>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</si>
  <si>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</si>
  <si>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</si>
  <si>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</si>
  <si>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</si>
  <si>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</si>
  <si>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</si>
  <si>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</si>
  <si>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</si>
  <si>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</si>
  <si>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</si>
  <si>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</si>
  <si>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</si>
  <si>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</si>
  <si>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</si>
  <si>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</si>
  <si>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</si>
  <si>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</si>
  <si>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</si>
  <si>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</si>
  <si>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</si>
  <si>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</si>
  <si>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</si>
  <si>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</si>
  <si>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</si>
  <si>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</si>
  <si>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</si>
  <si>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</si>
  <si>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</si>
  <si>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</si>
  <si>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</si>
  <si>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</si>
  <si>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</si>
  <si>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</si>
  <si>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</si>
  <si>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</si>
  <si>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</si>
  <si>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</si>
  <si>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</si>
  <si>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</si>
  <si>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</si>
  <si>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</si>
  <si>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</si>
  <si>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</si>
  <si>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</si>
  <si>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</si>
  <si>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</si>
  <si>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</si>
  <si>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</si>
  <si>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</si>
  <si>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</si>
  <si>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</si>
  <si>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</si>
  <si>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</si>
  <si>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</si>
  <si>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</si>
  <si>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</si>
  <si>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</si>
  <si>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</si>
  <si>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</si>
  <si>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</si>
  <si>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</si>
  <si>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</si>
  <si>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</si>
  <si>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</si>
  <si>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</si>
  <si>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</si>
  <si>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</si>
  <si>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</si>
  <si>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</si>
  <si>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</si>
  <si>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</si>
  <si>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</si>
  <si>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</si>
  <si>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</si>
  <si>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</si>
  <si>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</si>
  <si>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</si>
  <si>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</si>
  <si>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</si>
  <si>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</si>
  <si>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</si>
  <si>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</si>
  <si>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</si>
  <si>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</si>
  <si>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</si>
  <si>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</si>
  <si>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</si>
  <si>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</si>
  <si>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</si>
  <si>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</si>
  <si>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</si>
  <si>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</si>
  <si>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</si>
  <si>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</si>
  <si>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</si>
  <si>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</si>
  <si>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</si>
  <si>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</si>
  <si>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</si>
  <si>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</si>
  <si>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</si>
  <si>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</si>
  <si>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</si>
  <si>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</si>
  <si>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</si>
  <si>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</si>
  <si>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</si>
  <si>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</si>
  <si>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</si>
  <si>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</si>
  <si>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</si>
  <si>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</si>
  <si>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</si>
  <si>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</si>
  <si>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</si>
  <si>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</si>
  <si>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</si>
  <si>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</si>
  <si>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</si>
  <si>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</si>
  <si>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</si>
  <si>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</si>
  <si>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</si>
  <si>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</si>
  <si>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</si>
  <si>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</si>
  <si>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</si>
  <si>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</si>
  <si>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</si>
  <si>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</si>
  <si>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</si>
  <si>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</si>
  <si>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</si>
  <si>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</si>
  <si>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</si>
  <si>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</si>
  <si>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</si>
  <si>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</si>
  <si>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</si>
  <si>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</si>
  <si>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</si>
  <si>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</si>
  <si>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</si>
  <si>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</si>
  <si>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</si>
  <si>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</si>
  <si>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</si>
  <si>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</si>
  <si>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</si>
  <si>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</si>
  <si>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</si>
  <si>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</si>
  <si>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</si>
  <si>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</si>
  <si>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</si>
  <si>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</si>
  <si>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</si>
  <si>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</si>
  <si>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</si>
  <si>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</si>
  <si>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</si>
  <si>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</si>
  <si>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</si>
  <si>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</si>
  <si>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</si>
  <si>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</si>
  <si>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</si>
  <si>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</si>
  <si>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</si>
  <si>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</si>
  <si>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</si>
  <si>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</si>
  <si>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</si>
  <si>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</si>
  <si>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</si>
  <si>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</si>
  <si>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</si>
  <si>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</si>
  <si>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</si>
  <si>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</si>
  <si>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</si>
  <si>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</si>
  <si>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</si>
  <si>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</si>
  <si>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</si>
  <si>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</si>
  <si>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</si>
  <si>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</si>
  <si>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</si>
  <si>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</si>
  <si>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</si>
  <si>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</si>
  <si>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</si>
  <si>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</si>
  <si>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</si>
  <si>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</si>
  <si>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</si>
  <si>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</si>
  <si>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</si>
  <si>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</si>
  <si>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</si>
  <si>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</si>
  <si>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</si>
  <si>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</si>
  <si>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</si>
  <si>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</si>
  <si>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</si>
  <si>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</si>
  <si>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</si>
  <si>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</si>
  <si>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</si>
  <si>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</si>
  <si>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</si>
  <si>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</si>
  <si>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</si>
  <si>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</si>
  <si>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</si>
  <si>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</si>
  <si>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</si>
  <si>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</si>
  <si>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</si>
  <si>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</si>
  <si>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</si>
  <si>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</si>
  <si>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</si>
  <si>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</si>
  <si>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</si>
  <si>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</si>
  <si>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</si>
  <si>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</si>
  <si>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</si>
  <si>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</si>
  <si>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</si>
  <si>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</si>
  <si>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</si>
  <si>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</si>
  <si>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</si>
  <si>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</si>
  <si>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</si>
  <si>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</si>
  <si>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</si>
  <si>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</si>
  <si>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</si>
  <si>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</si>
  <si>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</si>
  <si>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</si>
  <si>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</si>
  <si>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</si>
  <si>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</si>
  <si>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</si>
  <si>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</si>
  <si>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</si>
  <si>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</si>
  <si>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</si>
  <si>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</si>
  <si>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</si>
  <si>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</si>
  <si>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</si>
  <si>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</si>
  <si>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</si>
  <si>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</si>
  <si>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</si>
  <si>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</si>
  <si>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</si>
  <si>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</si>
  <si>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</si>
  <si>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</si>
  <si>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</si>
  <si>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</si>
  <si>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</si>
  <si>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</si>
  <si>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</si>
  <si>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</si>
  <si>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</si>
  <si>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</si>
  <si>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</si>
  <si>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</si>
  <si>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</si>
  <si>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</si>
  <si>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</si>
  <si>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</si>
  <si>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</si>
  <si>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</si>
  <si>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</si>
  <si>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</si>
  <si>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</si>
  <si>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</si>
  <si>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</si>
  <si>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</si>
  <si>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</si>
  <si>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</si>
  <si>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</si>
  <si>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</si>
  <si>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</si>
  <si>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</si>
  <si>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</si>
  <si>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</si>
  <si>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</si>
  <si>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</si>
  <si>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</si>
  <si>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</si>
  <si>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</si>
  <si>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</si>
  <si>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</si>
  <si>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</si>
  <si>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</si>
  <si>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</si>
  <si>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</si>
  <si>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</si>
  <si>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</si>
  <si>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</si>
  <si>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</si>
  <si>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</si>
  <si>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</si>
  <si>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</si>
  <si>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</si>
  <si>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</si>
  <si>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</si>
  <si>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</si>
  <si>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</si>
  <si>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</si>
  <si>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</si>
  <si>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</si>
  <si>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</si>
  <si>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</si>
  <si>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</si>
  <si>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</si>
  <si>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</si>
  <si>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</si>
  <si>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</si>
  <si>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</si>
  <si>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</si>
  <si>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</si>
  <si>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</si>
  <si>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</si>
  <si>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</si>
  <si>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</si>
  <si>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</si>
  <si>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</si>
  <si>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</si>
  <si>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</si>
  <si>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</si>
  <si>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</si>
  <si>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</si>
  <si>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</si>
  <si>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</si>
  <si>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</si>
  <si>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</si>
  <si>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</si>
  <si>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</si>
  <si>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</si>
  <si>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</si>
  <si>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</si>
  <si>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</si>
  <si>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</si>
  <si>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</si>
  <si>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</si>
  <si>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</si>
  <si>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</si>
  <si>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</si>
  <si>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</si>
  <si>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</si>
  <si>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</si>
  <si>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</si>
  <si>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</si>
  <si>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</si>
  <si>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</si>
  <si>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</si>
  <si>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</si>
  <si>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</si>
  <si>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</si>
  <si>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</si>
  <si>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</si>
  <si>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</si>
  <si>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</si>
  <si>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</si>
  <si>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</si>
  <si>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</si>
  <si>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</si>
  <si>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</si>
  <si>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</si>
  <si>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</si>
  <si>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</si>
  <si>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</si>
  <si>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</si>
  <si>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</si>
  <si>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</si>
  <si>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</si>
  <si>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</si>
  <si>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</si>
  <si>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</si>
  <si>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</si>
  <si>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</si>
  <si>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</si>
  <si>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</si>
  <si>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</si>
  <si>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</si>
  <si>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</si>
  <si>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</si>
  <si>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</si>
  <si>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</si>
  <si>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</si>
  <si>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</si>
  <si>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</si>
  <si>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</si>
  <si>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</si>
  <si>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</si>
  <si>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</si>
  <si>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</si>
  <si>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</si>
  <si>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</si>
  <si>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</si>
  <si>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</si>
  <si>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</si>
  <si>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</si>
  <si>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</si>
  <si>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</si>
  <si>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</si>
  <si>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</si>
  <si>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</si>
  <si>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</si>
  <si>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</si>
  <si>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</si>
  <si>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</si>
  <si>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</si>
  <si>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</si>
  <si>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</si>
  <si>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</si>
  <si>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</si>
  <si>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</si>
  <si>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</si>
  <si>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</si>
  <si>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</si>
  <si>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</si>
  <si>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</si>
  <si>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</si>
  <si>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</si>
  <si>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</si>
  <si>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</si>
  <si>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</si>
  <si>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</si>
  <si>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</si>
  <si>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</si>
  <si>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</si>
  <si>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</si>
  <si>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</si>
  <si>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</si>
  <si>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</si>
  <si>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</si>
  <si>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</si>
  <si>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</si>
  <si>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</si>
  <si>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</si>
  <si>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</si>
  <si>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</si>
  <si>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</si>
  <si>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</si>
  <si>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</si>
  <si>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</si>
  <si>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</si>
  <si>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</si>
  <si>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</si>
  <si>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</si>
  <si>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</si>
  <si>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</si>
  <si>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</si>
  <si>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</si>
  <si>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</si>
  <si>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</si>
  <si>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</si>
  <si>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</si>
  <si>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</si>
  <si>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</si>
  <si>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</si>
  <si>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</si>
  <si>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</si>
  <si>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</si>
  <si>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</si>
  <si>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</si>
  <si>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</si>
  <si>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</si>
  <si>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</si>
  <si>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</si>
  <si>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</si>
  <si>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</si>
  <si>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</si>
  <si>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</si>
  <si>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</si>
  <si>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</si>
  <si>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</si>
  <si>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</si>
  <si>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</si>
  <si>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</si>
  <si>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</si>
  <si>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</si>
  <si>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</si>
  <si>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</si>
  <si>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</si>
  <si>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</si>
  <si>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</si>
  <si>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</si>
  <si>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</si>
  <si>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</si>
  <si>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</si>
  <si>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</si>
  <si>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</si>
  <si>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</si>
  <si>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</si>
  <si>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</si>
  <si>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</si>
  <si>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</si>
  <si>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</si>
  <si>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</si>
  <si>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</si>
  <si>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</si>
  <si>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</si>
  <si>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</si>
  <si>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</si>
  <si>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</si>
  <si>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</si>
  <si>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</si>
  <si>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</si>
  <si>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</si>
  <si>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</si>
  <si>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</si>
  <si>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</si>
  <si>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</si>
  <si>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</si>
  <si>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</si>
  <si>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</si>
  <si>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</si>
  <si>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</si>
  <si>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</si>
  <si>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</si>
  <si>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</si>
  <si>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</si>
  <si>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</si>
  <si>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</si>
  <si>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</si>
  <si>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</si>
  <si>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</si>
  <si>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</si>
  <si>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</si>
  <si>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</si>
  <si>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</si>
  <si>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</si>
  <si>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</si>
  <si>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</si>
  <si>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</si>
  <si>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</si>
  <si>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</si>
  <si>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</si>
  <si>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</si>
  <si>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</si>
  <si>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</si>
  <si>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</si>
  <si>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</si>
  <si>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</si>
  <si>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</si>
  <si>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</si>
  <si>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</si>
  <si>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</si>
  <si>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</si>
  <si>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</si>
  <si>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</si>
  <si>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</si>
  <si>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</si>
  <si>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</si>
  <si>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</si>
  <si>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</si>
  <si>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</si>
  <si>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</si>
  <si>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</si>
  <si>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</si>
  <si>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</si>
  <si>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</si>
  <si>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</si>
  <si>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</si>
  <si>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</si>
  <si>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</si>
  <si>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</si>
  <si>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</si>
  <si>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</si>
  <si>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</si>
  <si>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</si>
  <si>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</si>
  <si>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</si>
  <si>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</si>
  <si>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</si>
  <si>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</si>
  <si>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</si>
  <si>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</si>
  <si>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</si>
  <si>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</si>
  <si>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</si>
  <si>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</si>
  <si>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</si>
  <si>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</si>
  <si>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</si>
  <si>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</si>
  <si>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</si>
  <si>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</si>
  <si>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</si>
  <si>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</si>
  <si>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</si>
  <si>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</si>
  <si>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</si>
  <si>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</si>
  <si>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</si>
  <si>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</si>
  <si>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</si>
  <si>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</si>
  <si>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</si>
  <si>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</si>
  <si>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</si>
  <si>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</si>
  <si>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</si>
  <si>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</si>
  <si>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</si>
  <si>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</si>
  <si>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</si>
  <si>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</si>
  <si>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</si>
  <si>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</si>
  <si>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</si>
  <si>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</si>
  <si>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</si>
  <si>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</si>
  <si>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</si>
  <si>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</si>
  <si>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</si>
  <si>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</si>
  <si>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</si>
  <si>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</si>
  <si>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</si>
  <si>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</si>
  <si>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</si>
  <si>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</si>
  <si>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</si>
  <si>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</si>
  <si>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</si>
  <si>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</si>
  <si>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</si>
  <si>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</si>
  <si>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</si>
  <si>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</si>
  <si>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</si>
  <si>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</si>
  <si>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</si>
  <si>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</si>
  <si>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</si>
  <si>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</si>
  <si>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</si>
  <si>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</si>
  <si>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</si>
  <si>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</si>
  <si>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</si>
  <si>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</si>
  <si>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</si>
  <si>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</si>
  <si>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</si>
  <si>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</si>
  <si>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</si>
  <si>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</si>
  <si>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</si>
  <si>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</si>
  <si>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</si>
  <si>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</si>
  <si>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</si>
  <si>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</si>
  <si>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</si>
  <si>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</si>
  <si>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</si>
  <si>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</si>
  <si>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</si>
  <si>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</si>
  <si>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</si>
  <si>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</si>
  <si>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</si>
  <si>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</si>
  <si>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</si>
  <si>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</si>
  <si>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</si>
  <si>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</si>
  <si>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</si>
  <si>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</si>
  <si>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</si>
  <si>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</si>
  <si>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</si>
  <si>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</si>
  <si>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</si>
  <si>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</si>
  <si>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</si>
  <si>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</si>
  <si>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</si>
  <si>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</si>
  <si>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</si>
  <si>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</si>
  <si>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</si>
  <si>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</si>
  <si>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</si>
  <si>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</si>
  <si>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</si>
  <si>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</si>
  <si>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</si>
  <si>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</si>
  <si>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</si>
  <si>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</si>
  <si>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</si>
  <si>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</si>
  <si>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</si>
  <si>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</si>
  <si>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</si>
  <si>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</si>
  <si>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</si>
  <si>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</si>
  <si>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</si>
  <si>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</si>
  <si>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</si>
  <si>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</si>
  <si>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</si>
  <si>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</si>
  <si>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</si>
  <si>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</si>
  <si>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</si>
  <si>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</si>
  <si>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</si>
  <si>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</si>
  <si>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</si>
  <si>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</si>
  <si>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</si>
  <si>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</si>
  <si>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</si>
  <si>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</si>
  <si>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</si>
  <si>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</si>
  <si>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</si>
  <si>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</si>
  <si>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</si>
  <si>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</si>
  <si>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</si>
  <si>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</si>
  <si>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</si>
  <si>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</si>
  <si>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</si>
  <si>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</si>
  <si>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</si>
  <si>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</si>
  <si>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</si>
  <si>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</si>
  <si>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</si>
  <si>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</si>
  <si>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</si>
  <si>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</si>
  <si>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</si>
  <si>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</si>
  <si>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</si>
  <si>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</si>
  <si>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</si>
  <si>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</si>
  <si>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</si>
  <si>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</si>
  <si>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</si>
  <si>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</si>
  <si>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</si>
  <si>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</si>
  <si>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</si>
  <si>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</si>
  <si>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</si>
  <si>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</si>
  <si>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</si>
  <si>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</si>
  <si>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</si>
  <si>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</si>
  <si>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</si>
  <si>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</si>
  <si>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</si>
  <si>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</si>
  <si>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</si>
  <si>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</si>
  <si>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</si>
  <si>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</si>
  <si>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</si>
  <si>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</si>
  <si>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</si>
  <si>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</si>
  <si>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</si>
  <si>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</si>
  <si>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</si>
  <si>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</si>
  <si>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</si>
  <si>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</si>
  <si>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</si>
  <si>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</si>
  <si>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</si>
  <si>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</si>
  <si>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</si>
  <si>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</si>
  <si>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</si>
  <si>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</si>
  <si>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</si>
  <si>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</si>
  <si>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</si>
  <si>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</si>
  <si>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</si>
  <si>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</si>
  <si>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</si>
  <si>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</si>
  <si>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</si>
  <si>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</si>
  <si>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</si>
  <si>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</si>
  <si>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</si>
  <si>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</si>
  <si>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</si>
  <si>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</si>
  <si>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</si>
  <si>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</si>
  <si>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</si>
  <si>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</si>
  <si>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</si>
  <si>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</si>
  <si>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</si>
  <si>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</si>
  <si>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</si>
  <si>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</si>
  <si>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</si>
  <si>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</si>
  <si>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</si>
  <si>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</si>
  <si>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</si>
  <si>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</si>
  <si>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</si>
  <si>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</si>
  <si>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</si>
  <si>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</si>
  <si>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</si>
  <si>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</si>
  <si>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</si>
  <si>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</si>
  <si>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</si>
  <si>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</si>
  <si>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</si>
  <si>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</si>
  <si>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</si>
  <si>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</si>
  <si>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</si>
  <si>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</si>
  <si>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</si>
  <si>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</si>
  <si>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</si>
  <si>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</si>
  <si>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</si>
  <si>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</si>
  <si>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</si>
  <si>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</si>
  <si>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</si>
  <si>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</si>
  <si>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</si>
  <si>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</si>
  <si>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</si>
  <si>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</si>
  <si>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</si>
  <si>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</si>
  <si>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</si>
  <si>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</si>
  <si>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</si>
  <si>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</si>
  <si>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</si>
  <si>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</si>
  <si>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</si>
  <si>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</si>
  <si>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</si>
  <si>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</si>
  <si>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</si>
  <si>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</si>
  <si>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</si>
  <si>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</si>
  <si>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</si>
  <si>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</si>
  <si>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</si>
  <si>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</si>
  <si>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</si>
  <si>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</si>
  <si>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</si>
  <si>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</si>
  <si>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</si>
  <si>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</si>
  <si>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</si>
  <si>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</si>
  <si>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</si>
  <si>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</si>
  <si>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</si>
  <si>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</si>
  <si>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</si>
  <si>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</si>
  <si>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</si>
  <si>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</si>
  <si>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</si>
  <si>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</si>
  <si>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</si>
  <si>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</si>
  <si>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</si>
  <si>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</si>
  <si>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</si>
  <si>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</si>
  <si>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</si>
  <si>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</si>
  <si>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</si>
  <si>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</si>
  <si>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</si>
  <si>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</si>
  <si>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</si>
  <si>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</si>
  <si>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</si>
  <si>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</si>
  <si>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</si>
  <si>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</si>
  <si>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</si>
  <si>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</si>
  <si>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</si>
  <si>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</si>
  <si>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</si>
  <si>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</si>
  <si>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</si>
  <si>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</si>
  <si>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</si>
  <si>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</si>
  <si>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</si>
  <si>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</si>
  <si>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</si>
  <si>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</si>
  <si>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</si>
  <si>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</si>
  <si>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</si>
  <si>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</si>
  <si>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</si>
  <si>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</si>
  <si>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</si>
  <si>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</si>
  <si>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</si>
  <si>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</si>
  <si>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</si>
  <si>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</si>
  <si>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</si>
  <si>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</si>
  <si>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</si>
  <si>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</si>
  <si>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</si>
  <si>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</si>
  <si>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</si>
  <si>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</si>
  <si>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</si>
  <si>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</si>
  <si>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</si>
  <si>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</si>
  <si>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</si>
  <si>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</si>
  <si>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</si>
  <si>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</si>
  <si>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</si>
  <si>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</si>
  <si>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</si>
  <si>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</si>
  <si>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</si>
  <si>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</si>
  <si>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</si>
  <si>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</si>
  <si>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</si>
  <si>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</si>
  <si>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</si>
  <si>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</si>
  <si>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</si>
  <si>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</si>
  <si>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</si>
  <si>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</si>
  <si>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</si>
  <si>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</si>
  <si>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</si>
  <si>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</si>
  <si>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</si>
  <si>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</si>
  <si>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</si>
  <si>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</si>
  <si>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</si>
  <si>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</si>
  <si>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</si>
  <si>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</si>
  <si>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</si>
  <si>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</si>
  <si>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</si>
  <si>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</si>
  <si>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</si>
  <si>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</si>
  <si>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</si>
  <si>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</si>
  <si>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</si>
  <si>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</si>
  <si>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</si>
  <si>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</si>
  <si>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</si>
  <si>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</si>
  <si>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</si>
  <si>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</si>
  <si>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</si>
  <si>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</si>
  <si>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</si>
  <si>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</si>
  <si>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</si>
  <si>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</si>
  <si>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</si>
  <si>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</si>
  <si>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</si>
  <si>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</si>
  <si>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</si>
  <si>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</si>
  <si>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</si>
  <si>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</si>
  <si>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</si>
  <si>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</si>
  <si>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</si>
  <si>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</si>
  <si>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</si>
  <si>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</si>
  <si>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</si>
  <si>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</si>
  <si>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</si>
  <si>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</si>
  <si>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</si>
  <si>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</si>
  <si>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</si>
  <si>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</si>
  <si>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</si>
  <si>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</si>
  <si>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</si>
  <si>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</si>
  <si>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</si>
  <si>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</si>
  <si>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</si>
  <si>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</si>
  <si>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</si>
  <si>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</si>
  <si>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</si>
  <si>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</si>
  <si>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</si>
  <si>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</si>
  <si>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</si>
  <si>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</si>
  <si>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</si>
  <si>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</si>
  <si>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</si>
  <si>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</si>
  <si>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</si>
  <si>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</si>
  <si>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</si>
  <si>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</si>
  <si>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</si>
  <si>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</si>
  <si>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</si>
  <si>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</si>
  <si>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</si>
  <si>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</si>
  <si>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</si>
  <si>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</si>
  <si>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</si>
  <si>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</si>
  <si>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</si>
  <si>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</si>
  <si>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</si>
  <si>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</si>
  <si>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</si>
  <si>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</si>
  <si>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</si>
  <si>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</si>
  <si>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</si>
  <si>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</si>
  <si>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</si>
  <si>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</si>
  <si>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</si>
  <si>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</si>
  <si>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</si>
  <si>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</si>
  <si>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</si>
  <si>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</si>
  <si>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</si>
  <si>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</si>
  <si>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</si>
  <si>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</si>
  <si>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</si>
  <si>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</si>
  <si>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</si>
  <si>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</si>
  <si>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</si>
  <si>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</si>
  <si>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</si>
  <si>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</si>
  <si>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</si>
  <si>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</si>
  <si>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</si>
  <si>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</si>
  <si>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</si>
  <si>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</si>
  <si>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</si>
  <si>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</si>
  <si>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</si>
  <si>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</si>
  <si>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</si>
  <si>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</si>
  <si>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</si>
  <si>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</si>
  <si>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</si>
  <si>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</si>
  <si>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</si>
  <si>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</si>
  <si>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</si>
  <si>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</si>
  <si>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</si>
  <si>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</si>
  <si>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</si>
  <si>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</si>
  <si>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</si>
  <si>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</si>
  <si>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</si>
  <si>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</si>
  <si>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</si>
  <si>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</si>
  <si>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</si>
  <si>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</si>
  <si>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</si>
  <si>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</si>
  <si>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</si>
  <si>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</si>
  <si>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</si>
  <si>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</si>
  <si>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</si>
  <si>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</si>
  <si>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</si>
  <si>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</si>
  <si>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</si>
  <si>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</si>
  <si>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</si>
  <si>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</si>
  <si>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</si>
  <si>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</si>
  <si>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</si>
  <si>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</si>
  <si>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</si>
  <si>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</si>
  <si>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</si>
  <si>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</si>
  <si>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</si>
  <si>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</si>
  <si>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</si>
  <si>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</si>
  <si>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</si>
  <si>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</si>
  <si>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</si>
  <si>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</si>
  <si>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</si>
  <si>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</si>
  <si>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</si>
  <si>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</si>
  <si>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</si>
  <si>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</si>
  <si>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</si>
  <si>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</si>
  <si>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</si>
  <si>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</si>
  <si>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</si>
  <si>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</si>
  <si>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</si>
  <si>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</si>
  <si>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</si>
  <si>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</si>
  <si>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</si>
  <si>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</si>
  <si>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</si>
  <si>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</si>
  <si>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</si>
  <si>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</si>
  <si>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</si>
  <si>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</si>
  <si>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</si>
  <si>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</si>
  <si>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</si>
  <si>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</si>
  <si>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</si>
  <si>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</si>
  <si>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</si>
  <si>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</si>
  <si>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</si>
  <si>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</si>
  <si>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</si>
  <si>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</si>
  <si>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</si>
  <si>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</si>
  <si>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</si>
  <si>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</si>
  <si>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</si>
  <si>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</si>
  <si>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</si>
  <si>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</si>
  <si>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</si>
  <si>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</si>
  <si>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</si>
  <si>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</si>
  <si>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</si>
  <si>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</si>
  <si>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</si>
  <si>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</si>
  <si>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</si>
  <si>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</si>
  <si>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</si>
  <si>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</si>
  <si>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</si>
  <si>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</si>
  <si>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</si>
  <si>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</si>
  <si>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</si>
  <si>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</si>
  <si>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</si>
  <si>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</si>
  <si>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</si>
  <si>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</si>
  <si>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</si>
  <si>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</si>
  <si>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</si>
  <si>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</si>
  <si>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</si>
  <si>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</si>
  <si>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</si>
  <si>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</si>
  <si>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</si>
  <si>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</si>
  <si>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</si>
  <si>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</si>
  <si>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</si>
  <si>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</si>
  <si>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</si>
  <si>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</si>
  <si>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</si>
  <si>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</si>
  <si>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</si>
  <si>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</si>
  <si>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</si>
  <si>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</si>
  <si>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</si>
  <si>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</si>
  <si>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</si>
  <si>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</si>
  <si>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</si>
  <si>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</si>
  <si>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</si>
  <si>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</si>
  <si>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</si>
  <si>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</si>
  <si>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</si>
  <si>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</si>
  <si>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</si>
  <si>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</si>
  <si>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</si>
  <si>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</si>
  <si>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</si>
  <si>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</si>
  <si>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</si>
  <si>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</si>
  <si>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</si>
  <si>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</si>
  <si>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</si>
  <si>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</si>
  <si>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</si>
  <si>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</si>
  <si>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</si>
  <si>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</si>
  <si>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</si>
  <si>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</si>
  <si>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</si>
  <si>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</si>
  <si>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</si>
  <si>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</si>
  <si>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</si>
  <si>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</si>
  <si>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</si>
  <si>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</si>
  <si>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</si>
  <si>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</si>
  <si>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</si>
  <si>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</si>
  <si>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</si>
  <si>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</si>
  <si>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</si>
  <si>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</si>
  <si>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</si>
  <si>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</si>
  <si>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</si>
  <si>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</si>
  <si>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</si>
  <si>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</si>
  <si>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</si>
  <si>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</si>
  <si>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</si>
  <si>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</si>
  <si>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</si>
  <si>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</si>
  <si>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</si>
  <si>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</si>
  <si>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</si>
  <si>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</si>
  <si>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</si>
  <si>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</si>
  <si>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</si>
  <si>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</si>
  <si>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</si>
  <si>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</si>
  <si>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</si>
  <si>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</si>
  <si>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</si>
  <si>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</si>
  <si>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</si>
  <si>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</si>
  <si>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</si>
  <si>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</si>
  <si>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</si>
  <si>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</si>
  <si>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</si>
  <si>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</si>
  <si>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</si>
  <si>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</si>
  <si>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</si>
  <si>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</si>
  <si>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</si>
  <si>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</si>
  <si>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</si>
  <si>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</si>
  <si>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</si>
  <si>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</si>
  <si>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</si>
  <si>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</si>
  <si>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</si>
  <si>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</si>
  <si>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</si>
  <si>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</si>
  <si>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</si>
  <si>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</si>
  <si>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</si>
  <si>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</si>
  <si>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</si>
  <si>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</si>
  <si>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</si>
  <si>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</si>
  <si>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</si>
  <si>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</si>
  <si>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</si>
  <si>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</si>
  <si>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</si>
  <si>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</si>
  <si>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</si>
  <si>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</si>
  <si>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</si>
  <si>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</si>
  <si>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</si>
  <si>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</si>
  <si>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</si>
  <si>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</si>
  <si>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</si>
  <si>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</si>
  <si>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</si>
  <si>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</si>
  <si>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</si>
  <si>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</si>
  <si>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</si>
  <si>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</si>
  <si>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</si>
  <si>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</si>
  <si>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</si>
  <si>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</si>
  <si>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</si>
  <si>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</si>
  <si>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</si>
  <si>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</si>
  <si>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</si>
  <si>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</si>
  <si>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</si>
  <si>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</si>
  <si>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</si>
  <si>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</si>
  <si>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</si>
  <si>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</si>
  <si>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</si>
  <si>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</si>
  <si>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</si>
  <si>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</si>
  <si>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</si>
  <si>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</si>
  <si>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</si>
  <si>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</si>
  <si>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</si>
  <si>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</si>
  <si>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</si>
  <si>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</si>
  <si>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</si>
  <si>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</si>
  <si>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</si>
  <si>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</si>
  <si>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</si>
  <si>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</si>
  <si>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</si>
  <si>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</si>
  <si>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</si>
  <si>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</si>
  <si>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</si>
  <si>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</si>
  <si>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</si>
  <si>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</si>
  <si>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</si>
  <si>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</si>
  <si>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</si>
  <si>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</si>
  <si>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</si>
  <si>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</si>
  <si>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</si>
  <si>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</si>
  <si>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</si>
  <si>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</si>
  <si>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</si>
  <si>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</si>
  <si>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</si>
  <si>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</si>
  <si>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</si>
  <si>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</si>
  <si>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</si>
  <si>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</si>
  <si>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</si>
  <si>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</si>
  <si>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</si>
  <si>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</si>
  <si>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</si>
  <si>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</si>
  <si>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</si>
  <si>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</si>
  <si>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</si>
  <si>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</si>
  <si>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</si>
  <si>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</si>
  <si>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</si>
  <si>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</si>
  <si>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</si>
  <si>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</si>
  <si>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</si>
  <si>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</si>
  <si>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</si>
  <si>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</si>
  <si>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</si>
  <si>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</si>
  <si>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</si>
  <si>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</si>
  <si>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</si>
  <si>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</si>
  <si>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</si>
  <si>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</si>
  <si>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</si>
  <si>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</si>
  <si>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</si>
  <si>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</si>
  <si>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</si>
  <si>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</si>
  <si>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</si>
  <si>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</si>
  <si>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</si>
  <si>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</si>
  <si>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</si>
  <si>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</si>
  <si>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</si>
  <si>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</si>
  <si>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</si>
  <si>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</si>
  <si>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</si>
  <si>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</si>
  <si>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</si>
  <si>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</si>
  <si>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</si>
  <si>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</si>
  <si>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</si>
  <si>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</si>
  <si>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</si>
  <si>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</si>
  <si>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</si>
  <si>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</si>
  <si>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</si>
  <si>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</si>
  <si>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</si>
  <si>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</si>
  <si>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</si>
  <si>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</si>
  <si>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</si>
  <si>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</si>
  <si>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</si>
  <si>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</si>
  <si>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</si>
  <si>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</si>
  <si>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</si>
  <si>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</si>
  <si>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</si>
  <si>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</si>
  <si>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</si>
  <si>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</si>
  <si>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</si>
  <si>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</si>
  <si>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</si>
  <si>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</si>
  <si>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</si>
  <si>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</si>
  <si>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</si>
  <si>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</si>
  <si>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</si>
  <si>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</si>
  <si>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</si>
  <si>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</si>
  <si>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</si>
  <si>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</si>
  <si>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</si>
  <si>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</si>
  <si>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</si>
  <si>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</si>
  <si>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</si>
  <si>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</si>
  <si>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</si>
  <si>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</si>
  <si>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</si>
  <si>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</si>
  <si>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</si>
  <si>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</si>
  <si>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</si>
  <si>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</si>
  <si>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</si>
  <si>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</si>
  <si>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</si>
  <si>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</si>
  <si>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</si>
  <si>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</si>
  <si>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</si>
  <si>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</si>
  <si>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</si>
  <si>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</si>
  <si>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</si>
  <si>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</si>
  <si>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</si>
  <si>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</si>
  <si>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</si>
  <si>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</si>
  <si>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</si>
  <si>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</si>
  <si>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</si>
  <si>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</si>
  <si>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</si>
  <si>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</si>
  <si>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</si>
  <si>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</si>
  <si>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</si>
  <si>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</si>
  <si>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</si>
  <si>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</si>
  <si>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</si>
  <si>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</si>
  <si>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</si>
  <si>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</si>
  <si>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</si>
  <si>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</si>
  <si>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</si>
  <si>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</si>
  <si>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</si>
  <si>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</si>
  <si>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</si>
  <si>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</si>
  <si>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</si>
  <si>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</si>
  <si>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</si>
  <si>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</si>
  <si>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</si>
  <si>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</si>
  <si>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</si>
  <si>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</si>
  <si>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</si>
  <si>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</si>
  <si>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</si>
  <si>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</si>
  <si>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</si>
  <si>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</si>
  <si>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</si>
  <si>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</si>
  <si>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</si>
  <si>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</si>
  <si>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</si>
  <si>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</si>
  <si>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</si>
  <si>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</si>
  <si>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</si>
  <si>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</si>
  <si>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</si>
  <si>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</si>
  <si>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</si>
  <si>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</si>
  <si>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</si>
  <si>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</si>
  <si>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</si>
  <si>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</si>
  <si>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</si>
  <si>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</si>
  <si>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</si>
  <si>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</si>
  <si>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</si>
  <si>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</si>
  <si>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</si>
  <si>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</si>
  <si>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</si>
  <si>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</si>
  <si>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</si>
  <si>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</si>
  <si>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</si>
  <si>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</si>
  <si>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</si>
  <si>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</si>
  <si>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</si>
  <si>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</si>
  <si>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</si>
  <si>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</si>
  <si>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</si>
  <si>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</si>
  <si>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</si>
  <si>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</si>
  <si>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</si>
  <si>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</si>
  <si>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</si>
  <si>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</si>
  <si>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</si>
  <si>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</si>
  <si>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</si>
  <si>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</si>
  <si>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</si>
  <si>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</si>
  <si>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</si>
  <si>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</si>
  <si>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</si>
  <si>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</si>
  <si>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</si>
  <si>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</si>
  <si>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</si>
  <si>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</si>
  <si>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</si>
  <si>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</si>
  <si>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</si>
  <si>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</si>
  <si>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</si>
  <si>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</si>
  <si>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</si>
  <si>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</si>
  <si>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</si>
  <si>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</si>
  <si>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</si>
  <si>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</si>
  <si>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</si>
  <si>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</si>
  <si>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</si>
  <si>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</si>
  <si>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</si>
  <si>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</si>
  <si>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</si>
  <si>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</si>
  <si>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</si>
  <si>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</si>
  <si>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</si>
  <si>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</si>
  <si>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</si>
  <si>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</si>
  <si>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</si>
  <si>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</si>
  <si>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</si>
  <si>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</si>
  <si>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</si>
  <si>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</si>
  <si>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</si>
  <si>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</si>
  <si>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</si>
  <si>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</si>
  <si>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</si>
  <si>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</si>
  <si>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</si>
  <si>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</si>
  <si>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</si>
  <si>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</si>
  <si>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</si>
  <si>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</si>
  <si>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</si>
  <si>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</si>
  <si>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</si>
  <si>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</si>
  <si>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</si>
  <si>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</si>
  <si>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</si>
  <si>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</si>
  <si>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</si>
  <si>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</si>
  <si>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</si>
  <si>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</si>
  <si>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</si>
  <si>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</si>
  <si>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</si>
  <si>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</si>
  <si>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</si>
  <si>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</si>
  <si>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</si>
  <si>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</si>
  <si>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</si>
  <si>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</si>
  <si>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</si>
  <si>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</si>
  <si>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</si>
  <si>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</si>
  <si>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</si>
  <si>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</si>
  <si>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</si>
  <si>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</si>
  <si>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</si>
  <si>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</si>
  <si>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</si>
  <si>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</si>
  <si>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</si>
  <si>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</si>
  <si>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</si>
  <si>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</si>
  <si>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</si>
  <si>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</si>
  <si>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</si>
  <si>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</si>
  <si>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</si>
  <si>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</si>
  <si>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</si>
  <si>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</si>
  <si>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</si>
  <si>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</si>
  <si>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</si>
  <si>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</si>
  <si>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</si>
  <si>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</si>
  <si>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</si>
  <si>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</si>
  <si>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</si>
  <si>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</si>
  <si>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</si>
  <si>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</si>
  <si>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</si>
  <si>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</si>
  <si>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</si>
  <si>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</si>
  <si>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</si>
  <si>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</si>
  <si>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</si>
  <si>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</si>
  <si>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</si>
  <si>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</si>
  <si>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</si>
  <si>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</si>
  <si>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</si>
  <si>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</si>
  <si>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</si>
  <si>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</si>
  <si>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</si>
  <si>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</si>
  <si>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</si>
  <si>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</si>
  <si>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</si>
  <si>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</si>
  <si>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</si>
  <si>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</si>
  <si>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</si>
  <si>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</si>
  <si>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</si>
  <si>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</si>
  <si>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</si>
  <si>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</si>
  <si>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</si>
  <si>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</si>
  <si>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</si>
  <si>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</si>
  <si>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</si>
  <si>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</si>
  <si>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</si>
  <si>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</si>
  <si>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</si>
  <si>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</si>
  <si>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</si>
  <si>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</si>
  <si>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</si>
  <si>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</si>
  <si>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</si>
  <si>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</si>
  <si>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</si>
  <si>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</si>
  <si>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</si>
  <si>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</si>
  <si>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</si>
  <si>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</si>
  <si>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</si>
  <si>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</si>
  <si>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</si>
  <si>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</si>
  <si>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</si>
  <si>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</si>
  <si>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</si>
  <si>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</si>
  <si>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</si>
  <si>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</si>
  <si>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</si>
  <si>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</si>
  <si>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</si>
  <si>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</si>
  <si>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</si>
  <si>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</si>
  <si>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</si>
  <si>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</si>
  <si>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</si>
  <si>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</si>
  <si>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</si>
  <si>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</si>
  <si>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</si>
  <si>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</si>
  <si>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</si>
  <si>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</si>
  <si>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</si>
  <si>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</si>
  <si>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</si>
  <si>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</si>
  <si>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</si>
  <si>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</si>
  <si>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</si>
  <si>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</si>
  <si>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</si>
  <si>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</si>
  <si>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</si>
  <si>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</si>
  <si>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</si>
  <si>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</si>
  <si>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</si>
  <si>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</si>
  <si>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</si>
  <si>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</si>
  <si>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</si>
  <si>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</si>
  <si>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</si>
  <si>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</si>
  <si>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</si>
  <si>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</si>
  <si>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</si>
  <si>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</si>
  <si>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</si>
  <si>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</si>
  <si>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</si>
  <si>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</si>
  <si>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</si>
  <si>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</si>
  <si>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</si>
  <si>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</si>
  <si>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</si>
  <si>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</si>
  <si>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</si>
  <si>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</si>
  <si>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</si>
  <si>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</si>
  <si>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</si>
  <si>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</si>
  <si>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</si>
  <si>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</si>
  <si>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</si>
  <si>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</si>
  <si>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</si>
  <si>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</si>
  <si>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</si>
  <si>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</si>
  <si>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</si>
  <si>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</si>
  <si>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</si>
  <si>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</si>
  <si>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</si>
  <si>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</si>
  <si>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</si>
  <si>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</si>
  <si>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</si>
  <si>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</si>
  <si>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</si>
  <si>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</si>
  <si>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</si>
  <si>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</si>
  <si>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</si>
  <si>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</si>
  <si>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</si>
  <si>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</si>
  <si>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</si>
  <si>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</si>
  <si>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</si>
  <si>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</si>
  <si>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</si>
  <si>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</si>
  <si>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</si>
  <si>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</si>
  <si>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</si>
  <si>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</si>
  <si>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</si>
  <si>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</si>
  <si>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</si>
  <si>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</si>
  <si>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</si>
  <si>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</si>
  <si>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</si>
  <si>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</si>
  <si>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</si>
  <si>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</si>
  <si>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</si>
  <si>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</si>
  <si>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</si>
  <si>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</si>
  <si>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</si>
  <si>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</si>
  <si>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</si>
  <si>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</si>
  <si>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</si>
  <si>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</si>
  <si>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</si>
  <si>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</si>
  <si>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</si>
  <si>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</si>
  <si>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</si>
  <si>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</si>
  <si>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</si>
  <si>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</si>
  <si>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</si>
  <si>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</si>
  <si>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</si>
  <si>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</si>
  <si>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</si>
  <si>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</si>
  <si>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</si>
  <si>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</si>
  <si>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</si>
  <si>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</si>
  <si>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</si>
  <si>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</si>
  <si>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</si>
  <si>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</si>
  <si>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</si>
  <si>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</si>
  <si>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</si>
  <si>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</si>
  <si>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</si>
  <si>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</si>
  <si>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</si>
  <si>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</si>
  <si>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</si>
  <si>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</si>
  <si>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</si>
  <si>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</si>
  <si>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</si>
  <si>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</si>
  <si>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</si>
  <si>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</si>
  <si>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</si>
  <si>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</si>
  <si>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</si>
  <si>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</si>
  <si>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</si>
  <si>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</si>
  <si>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</si>
  <si>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</si>
  <si>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</si>
  <si>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</si>
  <si>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</si>
  <si>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</si>
  <si>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</si>
  <si>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</si>
  <si>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</si>
  <si>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</si>
  <si>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</si>
  <si>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</si>
  <si>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</si>
  <si>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</si>
  <si>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</si>
  <si>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</si>
  <si>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</si>
  <si>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</si>
  <si>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</si>
  <si>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</si>
  <si>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</si>
  <si>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</si>
  <si>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</si>
  <si>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</si>
  <si>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</si>
  <si>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</si>
  <si>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</si>
  <si>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</si>
  <si>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</si>
  <si>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</si>
  <si>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</si>
  <si>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</si>
  <si>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</si>
  <si>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</si>
  <si>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</si>
  <si>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</si>
  <si>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</si>
  <si>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</si>
  <si>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</si>
  <si>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</si>
  <si>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</si>
  <si>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</si>
  <si>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</si>
  <si>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</si>
  <si>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</si>
  <si>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</si>
  <si>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</si>
  <si>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</si>
  <si>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</si>
  <si>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</si>
  <si>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</si>
  <si>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</si>
  <si>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</si>
  <si>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</si>
  <si>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</si>
  <si>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</si>
  <si>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</si>
  <si>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</si>
  <si>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</si>
  <si>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</si>
  <si>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</si>
  <si>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</si>
  <si>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</si>
  <si>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</si>
  <si>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</si>
  <si>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</si>
  <si>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</si>
  <si>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</si>
  <si>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</si>
  <si>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</si>
  <si>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</si>
  <si>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</si>
  <si>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</si>
  <si>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</si>
  <si>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</si>
  <si>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</si>
  <si>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</si>
  <si>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</si>
  <si>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</si>
  <si>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</si>
  <si>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</si>
  <si>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</si>
  <si>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</si>
  <si>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</si>
  <si>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</si>
  <si>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</si>
  <si>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</si>
  <si>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</si>
  <si>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</si>
  <si>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</si>
  <si>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</si>
  <si>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</si>
  <si>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</si>
  <si>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</si>
  <si>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</si>
  <si>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</si>
  <si>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</si>
  <si>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</si>
  <si>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</si>
  <si>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</si>
  <si>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</si>
  <si>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</si>
  <si>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</si>
  <si>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</si>
  <si>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</si>
  <si>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LENÇOL BARRA ESTREITA 4 LADOS 180F MISTO PREMIUM 2,50 X 2,90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</si>
  <si>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</si>
  <si>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</si>
  <si>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</si>
  <si>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</si>
  <si>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</si>
  <si>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</si>
  <si>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</si>
  <si>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</si>
  <si>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</si>
  <si>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</si>
  <si>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</si>
  <si>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</si>
  <si>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</si>
  <si>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</si>
  <si>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</si>
  <si>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</si>
  <si>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</si>
  <si>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</si>
  <si>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</si>
  <si>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</si>
  <si>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</si>
  <si>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</si>
  <si>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</si>
  <si>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</si>
  <si>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</si>
  <si>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</si>
  <si>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</si>
  <si>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</si>
  <si>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</si>
  <si>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</si>
  <si>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</si>
  <si>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</si>
  <si>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</si>
  <si>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</si>
  <si>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</si>
  <si>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</si>
  <si>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</si>
  <si>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</si>
  <si>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</si>
  <si>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</si>
  <si>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</si>
  <si>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</si>
  <si>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</si>
  <si>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</si>
  <si>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</si>
  <si>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</si>
  <si>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</si>
  <si>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</si>
  <si>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</si>
  <si>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</si>
  <si>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</si>
  <si>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</si>
  <si>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</si>
  <si>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</si>
  <si>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</si>
  <si>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</si>
  <si>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</si>
  <si>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</si>
  <si>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</si>
  <si>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</si>
  <si>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</si>
  <si>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</si>
  <si>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</si>
  <si>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</si>
  <si>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</si>
  <si>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</si>
  <si>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</si>
  <si>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</si>
  <si>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</si>
  <si>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</si>
  <si>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</si>
  <si>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</si>
  <si>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</si>
  <si>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</si>
  <si>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</si>
  <si>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</si>
  <si>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</si>
  <si>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</si>
  <si>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</si>
  <si>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</si>
  <si>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</si>
  <si>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</si>
  <si>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</si>
  <si>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</si>
  <si>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</si>
  <si>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</si>
  <si>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</si>
  <si>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</si>
  <si>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</si>
  <si>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</si>
  <si>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</si>
  <si>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</si>
  <si>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</si>
  <si>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</si>
  <si>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</si>
  <si>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</si>
  <si>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</si>
  <si>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</si>
  <si>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</si>
  <si>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</si>
  <si>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</si>
  <si>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</si>
  <si>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</si>
  <si>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</si>
  <si>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</si>
  <si>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</si>
  <si>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</si>
  <si>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</si>
  <si>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</si>
  <si>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</si>
  <si>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</si>
  <si>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</si>
  <si>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</si>
  <si>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</si>
  <si>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</si>
  <si>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</si>
  <si>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</si>
  <si>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</si>
  <si>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</si>
  <si>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</si>
  <si>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</si>
  <si>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</si>
  <si>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</si>
  <si>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</si>
  <si>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</si>
  <si>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</si>
  <si>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</si>
  <si>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</si>
  <si>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</si>
  <si>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</si>
  <si>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</si>
  <si>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</si>
  <si>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</si>
  <si>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</si>
  <si>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</si>
  <si>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</si>
  <si>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</si>
  <si>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</si>
  <si>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</si>
  <si>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</si>
  <si>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</si>
  <si>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</si>
  <si>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</si>
  <si>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</si>
  <si>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</si>
  <si>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</si>
  <si>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</si>
  <si>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</si>
  <si>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</si>
  <si>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</si>
  <si>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</si>
  <si>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</si>
  <si>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</si>
  <si>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</si>
  <si>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</si>
  <si>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</si>
  <si>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</si>
  <si>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</si>
  <si>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</si>
  <si>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</si>
  <si>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</si>
  <si>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</si>
  <si>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</si>
  <si>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</si>
  <si>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</si>
  <si>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</si>
  <si>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</si>
  <si>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</si>
  <si>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</si>
  <si>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</si>
  <si>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</si>
  <si>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</si>
  <si>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</si>
  <si>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</si>
  <si>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</si>
  <si>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</si>
  <si>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</si>
  <si>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</si>
  <si>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</si>
  <si>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</si>
  <si>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</si>
  <si>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</si>
  <si>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</si>
  <si>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</si>
  <si>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</si>
  <si>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</si>
  <si>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</si>
  <si>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</si>
  <si>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</si>
  <si>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</si>
  <si>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</si>
  <si>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</si>
  <si>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</si>
  <si>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</si>
  <si>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</si>
  <si>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</si>
  <si>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</si>
  <si>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</si>
  <si>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</si>
  <si>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</si>
  <si>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</si>
  <si>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</si>
  <si>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</si>
  <si>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</si>
  <si>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</si>
  <si>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</si>
  <si>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</si>
  <si>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</si>
  <si>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</si>
  <si>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</si>
  <si>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</si>
  <si>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</si>
  <si>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</si>
  <si>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</si>
  <si>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</si>
  <si>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</si>
  <si>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</si>
  <si>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</si>
  <si>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</si>
  <si>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</si>
  <si>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</si>
  <si>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</si>
  <si>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</si>
  <si>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</si>
  <si>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</si>
  <si>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</si>
  <si>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</si>
  <si>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</si>
  <si>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</si>
  <si>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</si>
  <si>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</si>
  <si>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</si>
  <si>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</si>
  <si>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</si>
  <si>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</si>
  <si>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</si>
  <si>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</si>
  <si>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</si>
  <si>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</si>
  <si>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</si>
  <si>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</si>
  <si>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</si>
  <si>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</si>
  <si>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</si>
  <si>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</si>
  <si>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</si>
  <si>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</si>
  <si>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</si>
  <si>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</si>
  <si>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</si>
  <si>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</si>
  <si>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</si>
  <si>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</si>
  <si>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</si>
  <si>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</si>
  <si>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</si>
  <si>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</si>
  <si>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</si>
  <si>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</si>
  <si>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</si>
  <si>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</si>
  <si>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</si>
  <si>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</si>
  <si>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</si>
  <si>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</si>
  <si>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</si>
  <si>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</si>
  <si>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</si>
  <si>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</si>
  <si>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</si>
  <si>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</si>
  <si>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</si>
  <si>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</si>
  <si>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</si>
  <si>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</si>
  <si>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</si>
  <si>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</si>
  <si>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</si>
  <si>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</si>
  <si>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</si>
  <si>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</si>
  <si>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</si>
  <si>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</si>
  <si>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</si>
  <si>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</si>
  <si>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</si>
  <si>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</si>
  <si>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</si>
  <si>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</si>
  <si>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</si>
  <si>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</si>
  <si>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</si>
  <si>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</si>
  <si>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</si>
  <si>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</si>
  <si>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</si>
  <si>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</si>
  <si>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</si>
  <si>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</si>
  <si>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</si>
  <si>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</si>
  <si>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</si>
  <si>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</si>
  <si>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</si>
  <si>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</si>
  <si>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</si>
  <si>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</si>
  <si>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</si>
  <si>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</si>
  <si>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</si>
  <si>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</si>
  <si>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</si>
  <si>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</si>
  <si>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</si>
  <si>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</si>
  <si>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</si>
  <si>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</si>
  <si>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</si>
  <si>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</si>
  <si>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</si>
  <si>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</si>
  <si>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</si>
  <si>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</si>
  <si>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</si>
  <si>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</si>
  <si>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</si>
  <si>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</si>
  <si>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</si>
  <si>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</si>
  <si>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</si>
  <si>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</si>
  <si>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</si>
  <si>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</si>
  <si>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</si>
  <si>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</si>
  <si>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</si>
  <si>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</si>
  <si>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</si>
  <si>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</si>
  <si>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</si>
  <si>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</si>
  <si>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</si>
  <si>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</si>
  <si>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</si>
  <si>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</si>
  <si>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</si>
  <si>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</si>
  <si>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</si>
  <si>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</si>
  <si>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</si>
  <si>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</si>
  <si>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</si>
  <si>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</si>
  <si>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</si>
  <si>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</si>
  <si>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</si>
  <si>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</si>
  <si>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</si>
  <si>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</si>
  <si>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</si>
  <si>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</si>
  <si>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</si>
  <si>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</si>
  <si>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</si>
  <si>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</si>
  <si>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</si>
  <si>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</si>
  <si>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</si>
  <si>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</si>
  <si>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</si>
  <si>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</si>
  <si>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</si>
  <si>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</si>
  <si>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</si>
  <si>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</si>
  <si>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</si>
  <si>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</si>
  <si>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</si>
  <si>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</si>
  <si>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</si>
  <si>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</si>
  <si>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</si>
  <si>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</si>
  <si>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</si>
  <si>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</si>
  <si>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</si>
  <si>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</si>
  <si>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</si>
  <si>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</si>
  <si>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</si>
  <si>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</si>
  <si>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</si>
  <si>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</si>
  <si>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</si>
  <si>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</si>
  <si>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</si>
  <si>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</si>
  <si>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</si>
  <si>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</si>
  <si>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</si>
  <si>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</si>
  <si>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</si>
  <si>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</si>
  <si>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</si>
  <si>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</si>
  <si>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</si>
  <si>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</si>
  <si>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</si>
  <si>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</si>
  <si>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</si>
  <si>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</si>
  <si>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</si>
  <si>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</si>
  <si>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</si>
  <si>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</si>
  <si>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</si>
  <si>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</si>
  <si>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</si>
  <si>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</si>
  <si>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</si>
  <si>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</si>
  <si>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</si>
  <si>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</si>
  <si>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</si>
  <si>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</si>
  <si>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</si>
  <si>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</si>
  <si>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</si>
  <si>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</si>
  <si>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</si>
  <si>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</si>
  <si>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</si>
  <si>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</si>
  <si>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</si>
  <si>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</si>
  <si>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</si>
  <si>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</si>
  <si>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</si>
  <si>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</si>
  <si>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</si>
  <si>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</si>
  <si>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</si>
  <si>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</si>
  <si>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</si>
  <si>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</si>
  <si>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</si>
  <si>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</si>
  <si>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</si>
  <si>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</si>
  <si>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</si>
  <si>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</si>
  <si>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</si>
  <si>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</si>
  <si>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</si>
  <si>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</si>
  <si>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</si>
  <si>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</si>
  <si>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</si>
  <si>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</si>
  <si>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</si>
  <si>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</si>
  <si>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</si>
  <si>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</si>
  <si>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</si>
  <si>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</si>
  <si>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</si>
  <si>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</si>
  <si>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</si>
  <si>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</si>
  <si>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</si>
  <si>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</si>
  <si>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</si>
  <si>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</si>
  <si>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</si>
  <si>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</si>
  <si>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</si>
  <si>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</si>
  <si>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</si>
  <si>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</si>
  <si>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</si>
  <si>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</si>
  <si>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</si>
  <si>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</si>
  <si>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</si>
  <si>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</si>
  <si>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</si>
  <si>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</si>
  <si>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</si>
  <si>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</si>
  <si>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</si>
  <si>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</si>
  <si>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</si>
  <si>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</si>
  <si>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</si>
  <si>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</si>
  <si>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</si>
  <si>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</si>
  <si>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</si>
  <si>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</si>
  <si>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</si>
  <si>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</si>
  <si>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</si>
  <si>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</si>
  <si>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</si>
  <si>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</si>
  <si>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</si>
  <si>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</si>
  <si>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</si>
  <si>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</si>
  <si>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</si>
  <si>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</si>
  <si>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</si>
  <si>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</si>
  <si>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</si>
  <si>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</si>
  <si>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</si>
  <si>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</si>
  <si>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</si>
  <si>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</si>
  <si>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</si>
  <si>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</si>
  <si>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</si>
  <si>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</si>
  <si>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</si>
  <si>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</si>
  <si>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</si>
  <si>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</si>
  <si>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</si>
  <si>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</si>
  <si>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</si>
  <si>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</si>
  <si>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</si>
  <si>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</si>
  <si>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</si>
  <si>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</si>
  <si>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</si>
  <si>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</si>
  <si>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</si>
  <si>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</si>
  <si>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</si>
  <si>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</si>
  <si>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</si>
  <si>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</si>
  <si>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</si>
  <si>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</si>
  <si>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</si>
  <si>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</si>
  <si>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</si>
  <si>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</si>
  <si>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</si>
  <si>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</si>
  <si>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</si>
  <si>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</si>
  <si>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</si>
  <si>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</si>
  <si>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</si>
  <si>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</si>
  <si>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</si>
  <si>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</si>
  <si>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</si>
  <si>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</si>
  <si>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</si>
  <si>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</si>
  <si>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</si>
  <si>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</si>
  <si>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</si>
  <si>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</si>
  <si>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</si>
  <si>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</si>
  <si>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</si>
  <si>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</si>
  <si>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</si>
  <si>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</si>
  <si>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</si>
  <si>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</si>
  <si>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</si>
  <si>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</si>
  <si>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</si>
  <si>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</si>
  <si>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</si>
  <si>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</si>
  <si>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</si>
  <si>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</si>
  <si>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</si>
  <si>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</si>
  <si>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</si>
  <si>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</si>
  <si>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</si>
  <si>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</si>
  <si>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</si>
  <si>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</si>
  <si>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</si>
  <si>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</si>
  <si>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</si>
  <si>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</si>
  <si>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</si>
  <si>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</si>
  <si>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</si>
  <si>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</si>
  <si>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</si>
  <si>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</si>
  <si>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</si>
  <si>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</si>
  <si>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</si>
  <si>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</si>
  <si>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</si>
  <si>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</si>
  <si>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</si>
  <si>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</si>
  <si>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</si>
  <si>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</si>
  <si>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</si>
  <si>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</si>
  <si>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</si>
  <si>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</si>
  <si>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</si>
  <si>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</si>
  <si>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</si>
  <si>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</si>
  <si>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</si>
  <si>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</si>
  <si>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</si>
  <si>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</si>
  <si>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</si>
  <si>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</si>
  <si>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</si>
  <si>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</si>
  <si>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</si>
  <si>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</si>
  <si>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</si>
  <si>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</si>
  <si>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</si>
  <si>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</si>
  <si>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</si>
  <si>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</si>
  <si>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</si>
  <si>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</si>
  <si>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</si>
  <si>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</si>
  <si>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</si>
  <si>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</si>
  <si>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</si>
  <si>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</si>
  <si>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</si>
  <si>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</si>
  <si>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</si>
  <si>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</si>
  <si>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</si>
  <si>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</si>
  <si>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</si>
  <si>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</si>
  <si>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</si>
  <si>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</si>
  <si>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</si>
  <si>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</si>
  <si>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</si>
  <si>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</si>
  <si>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</si>
  <si>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</si>
  <si>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</si>
  <si>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</si>
  <si>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</si>
  <si>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</si>
  <si>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</si>
  <si>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</si>
  <si>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</si>
  <si>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</si>
  <si>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</si>
  <si>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</si>
  <si>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</si>
  <si>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</si>
  <si>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</si>
  <si>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</si>
  <si>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</si>
  <si>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</si>
  <si>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</si>
  <si>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</si>
  <si>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</si>
  <si>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</si>
  <si>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</si>
  <si>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</si>
  <si>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</si>
  <si>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</si>
  <si>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</si>
  <si>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</si>
  <si>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</si>
  <si>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</si>
  <si>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</si>
  <si>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</si>
  <si>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</si>
  <si>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</si>
  <si>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</si>
  <si>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</si>
  <si>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</si>
  <si>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</si>
  <si>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</si>
  <si>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</si>
  <si>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</si>
  <si>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</si>
  <si>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</si>
  <si>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</si>
  <si>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</si>
  <si>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</si>
  <si>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</si>
  <si>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</si>
  <si>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</si>
  <si>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</si>
  <si>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</si>
  <si>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</si>
  <si>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</si>
  <si>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</si>
  <si>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</si>
  <si>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</si>
  <si>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</si>
  <si>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</si>
  <si>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</si>
  <si>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</si>
  <si>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</si>
  <si>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</si>
  <si>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</si>
  <si>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</si>
  <si>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</si>
  <si>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</si>
  <si>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</si>
  <si>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</si>
  <si>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</si>
  <si>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</si>
  <si>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</si>
  <si>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</si>
  <si>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</si>
  <si>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</si>
  <si>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</si>
  <si>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</si>
  <si>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</si>
  <si>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</si>
  <si>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</si>
  <si>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</si>
  <si>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</si>
  <si>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</si>
  <si>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</si>
  <si>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</si>
  <si>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</si>
  <si>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</si>
  <si>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K7034</t>
  </si>
  <si>
    <t>TOALHA DE MÃO VELUX 0,30 X 0,20 COM LOGO COR MANGA 7037</t>
  </si>
  <si>
    <t>2 PEÇAS C/ O BORDADO NA LOCALIZAÇÃO ERRADA FORAM DEVOLVIDA S/ FAZER</t>
  </si>
  <si>
    <t>K5495/ 1 FURADO, 1 MANCHADO, 1 BORDADO LOCAL ERRADO</t>
  </si>
  <si>
    <t>21010448814P</t>
  </si>
  <si>
    <t>TOALHA DE MÃO PEARL 600G C/ LOGO "PÁSSARO" 0,30 X 0,50</t>
  </si>
  <si>
    <t>FRONHA 4 ABAS CLASSIC 300F 100% ALGODÃO C/ LOGO "LESS DRAMA" - 0,50 X 0,70</t>
  </si>
  <si>
    <t>S/ NOTA</t>
  </si>
  <si>
    <t>K7022</t>
  </si>
  <si>
    <t>K7035 - REPOSIÇÃO</t>
  </si>
  <si>
    <t>TOALHA DE BANHO C/ CAPUZ KIDS - BORDADO ROSA C/ MONOGRAMA 0,90 X 1,00</t>
  </si>
  <si>
    <t>LENÇOL DE CIMA ACABAMENTO CORDONÊ 400F C/ LOGO - 1,10 X 1,60</t>
  </si>
  <si>
    <t xml:space="preserve">FRONHA S/ ABA C/ ACABAMENTO CORDONÊ ENT. 2 LADOS 400F C/ LOGO - 0,30 X 0,40 </t>
  </si>
  <si>
    <t>K6946C/ LETRA C</t>
  </si>
  <si>
    <t>K6856G/ LETRA F</t>
  </si>
  <si>
    <t>BORDADO</t>
  </si>
  <si>
    <t>107/108</t>
  </si>
  <si>
    <t>17 fronhas para c/ etiqutas tortas</t>
  </si>
  <si>
    <t>ETIQUETAS TORTAS</t>
  </si>
  <si>
    <t>FRONHA 4 ABAS 5 CM 250F MIST CLASSIC 0,30 X 0,40</t>
  </si>
  <si>
    <t>ROUPÃO FELPA VELUX BRANCA C/ GOLA XALE SEM CETIM, LOGO BORDADO E VIVO BRANCA NA GOLA, NAS MANGAS E NO BOLSO TAM G</t>
  </si>
  <si>
    <t>ROUPÃO FELPA VELUX BRANCA C/ GOLA XALE SEM CETIM, LOGO BORDADO E VIVO BRANCA NA GOLA, NAS MANGAS E NO BOLSO TAM M</t>
  </si>
  <si>
    <t>94/95</t>
  </si>
  <si>
    <t>3104061541P</t>
  </si>
  <si>
    <t>MANTA PET 250G COR KAKI C/LOGO - 0,85 X 1,05</t>
  </si>
  <si>
    <t>K7029A</t>
  </si>
  <si>
    <t>MANTA PET - 250G - COR KAKI - APENAS AS PATINHAS - 0,85 X 1,05</t>
  </si>
  <si>
    <t>LOJA SHOW ROOM</t>
  </si>
  <si>
    <t xml:space="preserve">LOJA SHOW ROOM </t>
  </si>
  <si>
    <t>ROUPÃO INFANTIL MOD KIMONO S/ CAPUZ FELPA VELUX CARAMELO E LOGO BORDADO TAM 10 ANOS</t>
  </si>
  <si>
    <t>ROUPÃO INFANTIL MOD KIMONO S/ CAPUZ FELPA VELUX CARAMELO E LOGO BORDADO TAM 8 ANOS</t>
  </si>
  <si>
    <t>K5399</t>
  </si>
  <si>
    <t>ROUPÃO FELPA VELUX BRANCO C/ GOLA XALE SEM CETIM, LOGO BORDADA E VIVO VERDE CLARO NA GOLA E NAS MANGAS TAM G</t>
  </si>
  <si>
    <t>TOALHA DE MAQUIAGEM FELPA VELUX CARAMELO COM LOGO 0,20 X 0,30</t>
  </si>
  <si>
    <t>K7043</t>
  </si>
  <si>
    <t>K7041</t>
  </si>
  <si>
    <t>LENÇOL BARRA ESTREITA 4 LADOS 250F MISTO 1,30 X 2,50</t>
  </si>
  <si>
    <t>K6899B / 4 PÇS C/ INFILTRAÇÃO DE LINHA NO BORDADO</t>
  </si>
  <si>
    <t>K7035/ BORDADO DO LADO AVESSO DO TECIDO/ FOI FEITO A REPOSIÇÃO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</si>
</sst>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8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  <xf numFmtId="8" fontId="0" fillId="0" borderId="0" xfId="2" applyNumberFormat="1" applyFont="1" applyAlignment="1" applyProtection="1">
      <alignment horizontal="left"/>
      <protection locked="0"/>
    </xf>
  </cellXfs>
  <cellStyles count="5">
    <cellStyle name="Moeda" xfId="2" builtinId="4"/>
    <cellStyle name="Moeda 2" xfId="4" xr:uid="{00000000-0005-0000-0000-000001000000}"/>
    <cellStyle name="Normal" xfId="0" builtinId="0"/>
    <cellStyle name="Vírgula" xfId="1" builtinId="3"/>
    <cellStyle name="Vírgula 2" xfId="3" xr:uid="{00000000-0005-0000-0000-000004000000}"/>
  </cellStyles>
  <dxfs count="3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owerPivotData" Target="model/item.data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00000000-0016-0000-0100-000000000000}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7" xr16:uid="{00000000-0016-0000-0200-000001000000}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Oficinas" displayName="TabOficinas" ref="C3:D26" totalsRowShown="0">
  <autoFilter ref="C3:D26" xr:uid="{00000000-0009-0000-0100-000002000000}"/>
  <tableColumns count="2">
    <tableColumn id="1" xr3:uid="{00000000-0010-0000-0000-000001000000}" name="Status "/>
    <tableColumn id="2" xr3:uid="{00000000-0010-0000-0000-000002000000}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LISTA_DE_CLIENTES" displayName="LISTA_DE_CLIENTES" ref="F3:N5849" tableType="queryTable" totalsRowShown="0">
  <autoFilter ref="F3:N5849" xr:uid="{00000000-0009-0000-0100-000004000000}"/>
  <tableColumns count="9">
    <tableColumn id="1" xr3:uid="{00000000-0010-0000-0100-000001000000}" uniqueName="1" name="ID" queryTableFieldId="1" dataDxfId="11"/>
    <tableColumn id="2" xr3:uid="{00000000-0010-0000-0100-000002000000}" uniqueName="2" name="Código" queryTableFieldId="2" dataDxfId="10"/>
    <tableColumn id="3" xr3:uid="{00000000-0010-0000-0100-000003000000}" uniqueName="3" name="Razão Social" queryTableFieldId="3" dataDxfId="9"/>
    <tableColumn id="4" xr3:uid="{00000000-0010-0000-0100-000004000000}" uniqueName="4" name="Nome Fantasia" queryTableFieldId="4" dataDxfId="8"/>
    <tableColumn id="5" xr3:uid="{00000000-0010-0000-0100-000005000000}" uniqueName="5" name="CNPJ/CPF" queryTableFieldId="5" dataDxfId="7"/>
    <tableColumn id="6" xr3:uid="{00000000-0010-0000-0100-000006000000}" uniqueName="6" name="Desativação" queryTableFieldId="6"/>
    <tableColumn id="7" xr3:uid="{00000000-0010-0000-0100-000007000000}" uniqueName="7" name="Cadastro" queryTableFieldId="7" dataDxfId="6"/>
    <tableColumn id="8" xr3:uid="{00000000-0010-0000-0100-000008000000}" uniqueName="8" name="Alteração" queryTableFieldId="8" dataDxfId="5"/>
    <tableColumn id="10" xr3:uid="{00000000-0010-0000-0100-00000A000000}" uniqueName="10" name="Alteração2" queryTableFieldId="10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000___PEDIDOS_DE_CLIENTES" displayName="_000___PEDIDOS_DE_CLIENTES" ref="A1:C1398" tableType="queryTable" totalsRowShown="0">
  <autoFilter ref="A1:C1398" xr:uid="{00000000-0009-0000-0100-000003000000}"/>
  <tableColumns count="3">
    <tableColumn id="3" xr3:uid="{00000000-0010-0000-0200-000003000000}" uniqueName="3" name="Data.Column2" queryTableFieldId="3"/>
    <tableColumn id="2" xr3:uid="{00000000-0010-0000-0200-000002000000}" uniqueName="2" name="Descrição Produto" queryTableFieldId="2" dataDxfId="3"/>
    <tableColumn id="1" xr3:uid="{00000000-0010-0000-0200-000001000000}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_OFICINAS" displayName="TAB_OFICINAS" ref="C20:Z1594" totalsRowShown="0" headerRowDxfId="37" dataDxfId="36">
  <autoFilter ref="C20:Z1594" xr:uid="{00000000-0009-0000-0100-000001000000}"/>
  <sortState xmlns:xlrd2="http://schemas.microsoft.com/office/spreadsheetml/2017/richdata2" ref="C63:Z820">
    <sortCondition ref="T20:T1601"/>
  </sortState>
  <tableColumns count="24">
    <tableColumn id="1" xr3:uid="{00000000-0010-0000-0300-000001000000}" name="   " dataDxfId="35"/>
    <tableColumn id="18" xr3:uid="{00000000-0010-0000-0300-000012000000}" name="Cliente" dataDxfId="34"/>
    <tableColumn id="16" xr3:uid="{00000000-0010-0000-0300-000010000000}" name="Pedido" dataDxfId="33"/>
    <tableColumn id="24" xr3:uid="{00000000-0010-0000-0300-000018000000}" name="Nome Fantasia " dataDxfId="32">
      <calculatedColumnFormula>IFERROR(VLOOKUP(TAB_OFICINAS[[#This Row],[Cliente]],LISTA_DE_CLIENTES[[Código]:[Nome Fantasia]],2,FALSE),"")</calculatedColumnFormula>
    </tableColumn>
    <tableColumn id="21" xr3:uid="{00000000-0010-0000-0300-000015000000}" name="Razão Social " dataDxfId="31">
      <calculatedColumnFormula>IFERROR(VLOOKUP(TAB_OFICINAS[[#This Row],[Cliente]],LISTA_DE_CLIENTES[[Código]:[Nome Fantasia]],3,FALSE),"")</calculatedColumnFormula>
    </tableColumn>
    <tableColumn id="3" xr3:uid="{00000000-0010-0000-0300-000003000000}" name="Codigo Produto " dataDxfId="30"/>
    <tableColumn id="2" xr3:uid="{00000000-0010-0000-0300-000002000000}" name="Item" dataDxfId="29"/>
    <tableColumn id="4" xr3:uid="{00000000-0010-0000-0300-000004000000}" name="Qtd pçs Enviadas" dataDxfId="28" dataCellStyle="Vírgula"/>
    <tableColumn id="5" xr3:uid="{00000000-0010-0000-0300-000005000000}" name="Data Envio" dataDxfId="27" dataCellStyle="Moeda"/>
    <tableColumn id="6" xr3:uid="{00000000-0010-0000-0300-000006000000}" name="Qtd pçs Retornadas " dataDxfId="26" dataCellStyle="Vírgula"/>
    <tableColumn id="9" xr3:uid="{00000000-0010-0000-0300-000009000000}" name="Data Prometida  Entrega" dataDxfId="25"/>
    <tableColumn id="7" xr3:uid="{00000000-0010-0000-0300-000007000000}" name="Data Retorno Produção" dataDxfId="24"/>
    <tableColumn id="22" xr3:uid="{00000000-0010-0000-0300-000016000000}" name="Dias Para Entrega" dataDxfId="23" dataCellStyle="Vírgula">
      <calculatedColumnFormula>TAB_OFICINAS[[#This Row],[Data Retorno Produção]]-TAB_OFICINAS[[#This Row],[Data Prometida  Entrega]]</calculatedColumnFormula>
    </tableColumn>
    <tableColumn id="20" xr3:uid="{00000000-0010-0000-0300-000014000000}" name="Status Entrega" dataDxfId="22" dataCellStyle="Vírgula">
      <calculatedColumnFormula>IF(TAB_OFICINAS[[#This Row],[Dias Para Entrega]]&lt;=0,"Em dia","Dia de Atrasado")</calculatedColumnFormula>
    </tableColumn>
    <tableColumn id="8" xr3:uid="{00000000-0010-0000-0300-000008000000}" name="Qtd pçs Pendetente " dataDxfId="21" dataCellStyle="Vírgula">
      <calculatedColumnFormula>IFERROR(TAB_OFICINAS[[#This Row],[Qtd pçs Enviadas]]-TAB_OFICINAS[[#This Row],[Qtd pçs Retornadas ]],"N/D ")</calculatedColumnFormula>
    </tableColumn>
    <tableColumn id="25" xr3:uid="{00000000-0010-0000-0300-000019000000}" name="Peças Com Defeitos" dataDxfId="20" dataCellStyle="Vírgula"/>
    <tableColumn id="10" xr3:uid="{00000000-0010-0000-0300-00000A000000}" name="NF FAF/TC" dataDxfId="19"/>
    <tableColumn id="11" xr3:uid="{00000000-0010-0000-0300-00000B000000}" name="NF OFICINA" dataDxfId="18"/>
    <tableColumn id="13" xr3:uid="{00000000-0010-0000-0300-00000D000000}" name="Valor Unit" dataDxfId="17" dataCellStyle="Moeda"/>
    <tableColumn id="14" xr3:uid="{00000000-0010-0000-0300-00000E000000}" name="Valot Total" dataDxfId="16" dataCellStyle="Moeda">
      <calculatedColumnFormula>IFERROR(TAB_OFICINAS[[#This Row],[Valor Unit]]*TAB_OFICINAS[[#This Row],[Qtd pçs Enviadas]]," ")</calculatedColumnFormula>
    </tableColumn>
    <tableColumn id="15" xr3:uid="{00000000-0010-0000-0300-00000F000000}" name="Data Vencimento" dataDxfId="15"/>
    <tableColumn id="17" xr3:uid="{00000000-0010-0000-0300-000011000000}" name="Entrada Manual" dataDxfId="14"/>
    <tableColumn id="19" xr3:uid="{00000000-0010-0000-0300-000013000000}" name="Observações" dataDxfId="13"/>
    <tableColumn id="23" xr3:uid="{00000000-0010-0000-0300-000017000000}" name="Status Peças " dataDxfId="12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D26"/>
  <sheetViews>
    <sheetView workbookViewId="0">
      <selection activeCell="F22" sqref="F22"/>
    </sheetView>
  </sheetViews>
  <sheetFormatPr defaultRowHeight="15" x14ac:dyDescent="0.25"/>
  <cols>
    <col min="3" max="3" width="16.140625" customWidth="1"/>
    <col min="4" max="4" width="17.7109375" customWidth="1"/>
  </cols>
  <sheetData>
    <row r="3" spans="3:4" x14ac:dyDescent="0.25">
      <c r="C3" t="s">
        <v>0</v>
      </c>
      <c r="D3" t="s">
        <v>20289</v>
      </c>
    </row>
    <row r="4" spans="3:4" x14ac:dyDescent="0.25">
      <c r="C4" t="s">
        <v>23618</v>
      </c>
      <c r="D4" t="s">
        <v>1</v>
      </c>
    </row>
    <row r="5" spans="3:4" x14ac:dyDescent="0.25">
      <c r="C5" t="s">
        <v>2</v>
      </c>
      <c r="D5" t="s">
        <v>3</v>
      </c>
    </row>
    <row r="6" spans="3:4" x14ac:dyDescent="0.25">
      <c r="C6" t="s">
        <v>4</v>
      </c>
      <c r="D6" t="s">
        <v>5</v>
      </c>
    </row>
    <row r="7" spans="3:4" x14ac:dyDescent="0.25">
      <c r="D7" t="s">
        <v>6</v>
      </c>
    </row>
    <row r="8" spans="3:4" x14ac:dyDescent="0.25">
      <c r="D8" t="s">
        <v>7</v>
      </c>
    </row>
    <row r="9" spans="3:4" x14ac:dyDescent="0.25">
      <c r="D9" t="s">
        <v>8</v>
      </c>
    </row>
    <row r="10" spans="3:4" x14ac:dyDescent="0.25">
      <c r="D10" t="s">
        <v>9</v>
      </c>
    </row>
    <row r="11" spans="3:4" x14ac:dyDescent="0.25">
      <c r="D11" t="s">
        <v>10</v>
      </c>
    </row>
    <row r="12" spans="3:4" x14ac:dyDescent="0.25">
      <c r="D12" t="s">
        <v>11</v>
      </c>
    </row>
    <row r="13" spans="3:4" x14ac:dyDescent="0.25">
      <c r="D13" t="s">
        <v>12</v>
      </c>
    </row>
    <row r="14" spans="3:4" x14ac:dyDescent="0.25">
      <c r="D14" t="s">
        <v>13</v>
      </c>
    </row>
    <row r="15" spans="3:4" x14ac:dyDescent="0.25">
      <c r="D15" t="s">
        <v>14</v>
      </c>
    </row>
    <row r="16" spans="3:4" x14ac:dyDescent="0.25">
      <c r="D16" t="s">
        <v>15</v>
      </c>
    </row>
    <row r="17" spans="4:4" x14ac:dyDescent="0.25">
      <c r="D17" t="s">
        <v>16</v>
      </c>
    </row>
    <row r="18" spans="4:4" x14ac:dyDescent="0.25">
      <c r="D18" t="s">
        <v>17</v>
      </c>
    </row>
    <row r="19" spans="4:4" x14ac:dyDescent="0.25">
      <c r="D19" t="s">
        <v>18</v>
      </c>
    </row>
    <row r="20" spans="4:4" x14ac:dyDescent="0.25">
      <c r="D20" t="s">
        <v>19</v>
      </c>
    </row>
    <row r="21" spans="4:4" x14ac:dyDescent="0.25">
      <c r="D21" t="s">
        <v>20</v>
      </c>
    </row>
    <row r="22" spans="4:4" x14ac:dyDescent="0.25">
      <c r="D22" t="s">
        <v>21</v>
      </c>
    </row>
    <row r="23" spans="4:4" x14ac:dyDescent="0.25">
      <c r="D23" t="s">
        <v>21197</v>
      </c>
    </row>
    <row r="24" spans="4:4" x14ac:dyDescent="0.25">
      <c r="D24" t="s">
        <v>21607</v>
      </c>
    </row>
    <row r="25" spans="4:4" x14ac:dyDescent="0.25">
      <c r="D25" t="s">
        <v>23617</v>
      </c>
    </row>
    <row r="26" spans="4:4" x14ac:dyDescent="0.25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3:N5848"/>
  <sheetViews>
    <sheetView topLeftCell="D1" workbookViewId="0">
      <selection activeCell="P16" sqref="P16"/>
    </sheetView>
  </sheetViews>
  <sheetFormatPr defaultRowHeight="15" x14ac:dyDescent="0.25"/>
  <cols>
    <col min="3" max="3" width="29.85546875" bestFit="1" customWidth="1"/>
    <col min="6" max="6" width="5.28515625" bestFit="1" customWidth="1"/>
    <col min="7" max="7" width="12" bestFit="1" customWidth="1"/>
    <col min="8" max="8" width="58.28515625" bestFit="1" customWidth="1"/>
    <col min="9" max="9" width="25.140625" bestFit="1" customWidth="1"/>
    <col min="10" max="10" width="15.140625" bestFit="1" customWidth="1"/>
    <col min="11" max="11" width="14.28515625" bestFit="1" customWidth="1"/>
    <col min="12" max="12" width="11.42578125" bestFit="1" customWidth="1"/>
    <col min="13" max="13" width="11.7109375" bestFit="1" customWidth="1"/>
    <col min="14" max="14" width="12.7109375" bestFit="1" customWidth="1"/>
  </cols>
  <sheetData>
    <row r="3" spans="5:14" x14ac:dyDescent="0.25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 x14ac:dyDescent="0.25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 x14ac:dyDescent="0.25">
      <c r="F5" t="s">
        <v>6264</v>
      </c>
      <c r="H5" t="s">
        <v>6265</v>
      </c>
      <c r="I5" t="s">
        <v>6266</v>
      </c>
      <c r="J5" t="s">
        <v>6267</v>
      </c>
    </row>
    <row r="6" spans="5:14" x14ac:dyDescent="0.25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 x14ac:dyDescent="0.25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 x14ac:dyDescent="0.25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 x14ac:dyDescent="0.25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 x14ac:dyDescent="0.25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 x14ac:dyDescent="0.25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 x14ac:dyDescent="0.25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 x14ac:dyDescent="0.25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 x14ac:dyDescent="0.25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 x14ac:dyDescent="0.25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 x14ac:dyDescent="0.25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 x14ac:dyDescent="0.25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 x14ac:dyDescent="0.25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 x14ac:dyDescent="0.25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 x14ac:dyDescent="0.25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 x14ac:dyDescent="0.25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 x14ac:dyDescent="0.25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 x14ac:dyDescent="0.25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 x14ac:dyDescent="0.25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 x14ac:dyDescent="0.25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 x14ac:dyDescent="0.25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 x14ac:dyDescent="0.25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 x14ac:dyDescent="0.25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 x14ac:dyDescent="0.25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 x14ac:dyDescent="0.25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 x14ac:dyDescent="0.25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 x14ac:dyDescent="0.25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 x14ac:dyDescent="0.25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 x14ac:dyDescent="0.25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 x14ac:dyDescent="0.25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 x14ac:dyDescent="0.25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 x14ac:dyDescent="0.25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 x14ac:dyDescent="0.25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 x14ac:dyDescent="0.25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 x14ac:dyDescent="0.25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 x14ac:dyDescent="0.25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 x14ac:dyDescent="0.25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 x14ac:dyDescent="0.25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 x14ac:dyDescent="0.25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 x14ac:dyDescent="0.25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 x14ac:dyDescent="0.25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 x14ac:dyDescent="0.25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 x14ac:dyDescent="0.25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 x14ac:dyDescent="0.25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 x14ac:dyDescent="0.25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 x14ac:dyDescent="0.25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 x14ac:dyDescent="0.25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 x14ac:dyDescent="0.25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 x14ac:dyDescent="0.25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 x14ac:dyDescent="0.25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 x14ac:dyDescent="0.25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 x14ac:dyDescent="0.25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 x14ac:dyDescent="0.25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 x14ac:dyDescent="0.25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 x14ac:dyDescent="0.25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 x14ac:dyDescent="0.25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 x14ac:dyDescent="0.25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 x14ac:dyDescent="0.25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 x14ac:dyDescent="0.25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 x14ac:dyDescent="0.25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 x14ac:dyDescent="0.25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 x14ac:dyDescent="0.25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 x14ac:dyDescent="0.25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 x14ac:dyDescent="0.25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 x14ac:dyDescent="0.25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 x14ac:dyDescent="0.25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 x14ac:dyDescent="0.25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 x14ac:dyDescent="0.25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 x14ac:dyDescent="0.25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 x14ac:dyDescent="0.25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 x14ac:dyDescent="0.25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 x14ac:dyDescent="0.25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 x14ac:dyDescent="0.25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 x14ac:dyDescent="0.25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 x14ac:dyDescent="0.25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 x14ac:dyDescent="0.25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 x14ac:dyDescent="0.25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 x14ac:dyDescent="0.25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 x14ac:dyDescent="0.25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 x14ac:dyDescent="0.25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 x14ac:dyDescent="0.25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 x14ac:dyDescent="0.25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 x14ac:dyDescent="0.25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 x14ac:dyDescent="0.25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 x14ac:dyDescent="0.25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 x14ac:dyDescent="0.25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 x14ac:dyDescent="0.25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 x14ac:dyDescent="0.25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 x14ac:dyDescent="0.25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 x14ac:dyDescent="0.25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 x14ac:dyDescent="0.25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 x14ac:dyDescent="0.25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 x14ac:dyDescent="0.25">
      <c r="F98" t="s">
        <v>6471</v>
      </c>
      <c r="G98">
        <v>95</v>
      </c>
      <c r="H98" t="s">
        <v>1622</v>
      </c>
      <c r="I98" t="s">
        <v>24560</v>
      </c>
      <c r="J98" t="s">
        <v>6472</v>
      </c>
    </row>
    <row r="99" spans="6:10" x14ac:dyDescent="0.25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 x14ac:dyDescent="0.25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 x14ac:dyDescent="0.25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 x14ac:dyDescent="0.25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 x14ac:dyDescent="0.25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 x14ac:dyDescent="0.25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 x14ac:dyDescent="0.25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 x14ac:dyDescent="0.25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 x14ac:dyDescent="0.25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 x14ac:dyDescent="0.25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 x14ac:dyDescent="0.25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 x14ac:dyDescent="0.25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 x14ac:dyDescent="0.25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 x14ac:dyDescent="0.25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 x14ac:dyDescent="0.25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 x14ac:dyDescent="0.25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 x14ac:dyDescent="0.25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 x14ac:dyDescent="0.25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 x14ac:dyDescent="0.25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 x14ac:dyDescent="0.25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 x14ac:dyDescent="0.25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 x14ac:dyDescent="0.25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 x14ac:dyDescent="0.25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 x14ac:dyDescent="0.25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 x14ac:dyDescent="0.25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 x14ac:dyDescent="0.25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 x14ac:dyDescent="0.25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 x14ac:dyDescent="0.25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 x14ac:dyDescent="0.25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 x14ac:dyDescent="0.25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 x14ac:dyDescent="0.25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 x14ac:dyDescent="0.25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 x14ac:dyDescent="0.25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 x14ac:dyDescent="0.25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 x14ac:dyDescent="0.25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 x14ac:dyDescent="0.25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 x14ac:dyDescent="0.25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 x14ac:dyDescent="0.25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 x14ac:dyDescent="0.25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 x14ac:dyDescent="0.25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 x14ac:dyDescent="0.25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 x14ac:dyDescent="0.25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 x14ac:dyDescent="0.25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 x14ac:dyDescent="0.25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 x14ac:dyDescent="0.25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 x14ac:dyDescent="0.25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 x14ac:dyDescent="0.25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 x14ac:dyDescent="0.25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 x14ac:dyDescent="0.25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 x14ac:dyDescent="0.25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 x14ac:dyDescent="0.25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 x14ac:dyDescent="0.25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 x14ac:dyDescent="0.25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 x14ac:dyDescent="0.25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 x14ac:dyDescent="0.25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 x14ac:dyDescent="0.25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 x14ac:dyDescent="0.25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 x14ac:dyDescent="0.25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 x14ac:dyDescent="0.25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 x14ac:dyDescent="0.25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 x14ac:dyDescent="0.25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 x14ac:dyDescent="0.25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 x14ac:dyDescent="0.25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 x14ac:dyDescent="0.25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 x14ac:dyDescent="0.25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 x14ac:dyDescent="0.25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 x14ac:dyDescent="0.25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 x14ac:dyDescent="0.25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 x14ac:dyDescent="0.25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 x14ac:dyDescent="0.25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 x14ac:dyDescent="0.25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 x14ac:dyDescent="0.25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 x14ac:dyDescent="0.25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 x14ac:dyDescent="0.25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 x14ac:dyDescent="0.25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 x14ac:dyDescent="0.25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 x14ac:dyDescent="0.25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 x14ac:dyDescent="0.25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 x14ac:dyDescent="0.25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 x14ac:dyDescent="0.25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 x14ac:dyDescent="0.25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 x14ac:dyDescent="0.25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 x14ac:dyDescent="0.25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 x14ac:dyDescent="0.25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 x14ac:dyDescent="0.25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 x14ac:dyDescent="0.25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 x14ac:dyDescent="0.25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 x14ac:dyDescent="0.25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 x14ac:dyDescent="0.25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 x14ac:dyDescent="0.25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 x14ac:dyDescent="0.25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 x14ac:dyDescent="0.25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 x14ac:dyDescent="0.25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 x14ac:dyDescent="0.25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 x14ac:dyDescent="0.25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 x14ac:dyDescent="0.25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 x14ac:dyDescent="0.25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 x14ac:dyDescent="0.25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 x14ac:dyDescent="0.25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 x14ac:dyDescent="0.25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 x14ac:dyDescent="0.25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 x14ac:dyDescent="0.25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 x14ac:dyDescent="0.25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 x14ac:dyDescent="0.25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 x14ac:dyDescent="0.25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 x14ac:dyDescent="0.25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 x14ac:dyDescent="0.25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 x14ac:dyDescent="0.25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 x14ac:dyDescent="0.25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 x14ac:dyDescent="0.25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 x14ac:dyDescent="0.25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 x14ac:dyDescent="0.25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 x14ac:dyDescent="0.25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 x14ac:dyDescent="0.25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 x14ac:dyDescent="0.25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 x14ac:dyDescent="0.25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 x14ac:dyDescent="0.25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 x14ac:dyDescent="0.25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 x14ac:dyDescent="0.25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 x14ac:dyDescent="0.25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 x14ac:dyDescent="0.25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 x14ac:dyDescent="0.25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 x14ac:dyDescent="0.25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 x14ac:dyDescent="0.25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 x14ac:dyDescent="0.25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 x14ac:dyDescent="0.25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 x14ac:dyDescent="0.25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 x14ac:dyDescent="0.25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 x14ac:dyDescent="0.25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 x14ac:dyDescent="0.25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 x14ac:dyDescent="0.25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 x14ac:dyDescent="0.25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 x14ac:dyDescent="0.25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 x14ac:dyDescent="0.25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 x14ac:dyDescent="0.25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 x14ac:dyDescent="0.25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 x14ac:dyDescent="0.25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 x14ac:dyDescent="0.25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 x14ac:dyDescent="0.25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 x14ac:dyDescent="0.25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 x14ac:dyDescent="0.25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 x14ac:dyDescent="0.25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 x14ac:dyDescent="0.25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 x14ac:dyDescent="0.25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 x14ac:dyDescent="0.25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 x14ac:dyDescent="0.25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 x14ac:dyDescent="0.25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 x14ac:dyDescent="0.25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 x14ac:dyDescent="0.25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 x14ac:dyDescent="0.25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 x14ac:dyDescent="0.25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 x14ac:dyDescent="0.25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 x14ac:dyDescent="0.25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 x14ac:dyDescent="0.25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 x14ac:dyDescent="0.25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 x14ac:dyDescent="0.25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 x14ac:dyDescent="0.25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 x14ac:dyDescent="0.25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 x14ac:dyDescent="0.25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 x14ac:dyDescent="0.25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 x14ac:dyDescent="0.25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 x14ac:dyDescent="0.25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 x14ac:dyDescent="0.25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 x14ac:dyDescent="0.25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 x14ac:dyDescent="0.25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 x14ac:dyDescent="0.25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 x14ac:dyDescent="0.25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 x14ac:dyDescent="0.25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 x14ac:dyDescent="0.25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 x14ac:dyDescent="0.25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 x14ac:dyDescent="0.25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 x14ac:dyDescent="0.25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 x14ac:dyDescent="0.25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 x14ac:dyDescent="0.25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 x14ac:dyDescent="0.25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 x14ac:dyDescent="0.25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 x14ac:dyDescent="0.25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 x14ac:dyDescent="0.25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 x14ac:dyDescent="0.25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 x14ac:dyDescent="0.25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 x14ac:dyDescent="0.25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 x14ac:dyDescent="0.25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 x14ac:dyDescent="0.25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 x14ac:dyDescent="0.25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 x14ac:dyDescent="0.25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 x14ac:dyDescent="0.25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 x14ac:dyDescent="0.25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 x14ac:dyDescent="0.25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 x14ac:dyDescent="0.25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 x14ac:dyDescent="0.25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 x14ac:dyDescent="0.25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 x14ac:dyDescent="0.25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 x14ac:dyDescent="0.25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 x14ac:dyDescent="0.25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 x14ac:dyDescent="0.25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 x14ac:dyDescent="0.25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 x14ac:dyDescent="0.25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 x14ac:dyDescent="0.25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 x14ac:dyDescent="0.25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 x14ac:dyDescent="0.25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 x14ac:dyDescent="0.25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 x14ac:dyDescent="0.25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 x14ac:dyDescent="0.25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 x14ac:dyDescent="0.25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 x14ac:dyDescent="0.25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 x14ac:dyDescent="0.25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 x14ac:dyDescent="0.25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 x14ac:dyDescent="0.25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 x14ac:dyDescent="0.25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 x14ac:dyDescent="0.25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 x14ac:dyDescent="0.25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 x14ac:dyDescent="0.25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 x14ac:dyDescent="0.25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 x14ac:dyDescent="0.25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 x14ac:dyDescent="0.25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 x14ac:dyDescent="0.25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 x14ac:dyDescent="0.25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 x14ac:dyDescent="0.25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 x14ac:dyDescent="0.25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 x14ac:dyDescent="0.25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 x14ac:dyDescent="0.25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 x14ac:dyDescent="0.25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 x14ac:dyDescent="0.25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 x14ac:dyDescent="0.25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 x14ac:dyDescent="0.25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 x14ac:dyDescent="0.25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 x14ac:dyDescent="0.25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 x14ac:dyDescent="0.25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 x14ac:dyDescent="0.25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 x14ac:dyDescent="0.25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 x14ac:dyDescent="0.25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 x14ac:dyDescent="0.25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 x14ac:dyDescent="0.25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 x14ac:dyDescent="0.25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 x14ac:dyDescent="0.25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 x14ac:dyDescent="0.25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 x14ac:dyDescent="0.25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 x14ac:dyDescent="0.25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 x14ac:dyDescent="0.25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 x14ac:dyDescent="0.25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 x14ac:dyDescent="0.25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 x14ac:dyDescent="0.25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 x14ac:dyDescent="0.25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 x14ac:dyDescent="0.25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 x14ac:dyDescent="0.25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 x14ac:dyDescent="0.25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 x14ac:dyDescent="0.25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 x14ac:dyDescent="0.25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 x14ac:dyDescent="0.25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 x14ac:dyDescent="0.25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 x14ac:dyDescent="0.25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 x14ac:dyDescent="0.25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 x14ac:dyDescent="0.25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 x14ac:dyDescent="0.25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 x14ac:dyDescent="0.25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 x14ac:dyDescent="0.25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 x14ac:dyDescent="0.25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 x14ac:dyDescent="0.25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 x14ac:dyDescent="0.25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 x14ac:dyDescent="0.25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 x14ac:dyDescent="0.25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 x14ac:dyDescent="0.25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 x14ac:dyDescent="0.25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 x14ac:dyDescent="0.25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 x14ac:dyDescent="0.25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 x14ac:dyDescent="0.25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 x14ac:dyDescent="0.25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 x14ac:dyDescent="0.25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 x14ac:dyDescent="0.25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 x14ac:dyDescent="0.25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 x14ac:dyDescent="0.25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 x14ac:dyDescent="0.25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 x14ac:dyDescent="0.25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 x14ac:dyDescent="0.25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 x14ac:dyDescent="0.25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 x14ac:dyDescent="0.25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 x14ac:dyDescent="0.25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 x14ac:dyDescent="0.25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 x14ac:dyDescent="0.25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 x14ac:dyDescent="0.25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 x14ac:dyDescent="0.25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 x14ac:dyDescent="0.25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 x14ac:dyDescent="0.25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 x14ac:dyDescent="0.25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 x14ac:dyDescent="0.25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 x14ac:dyDescent="0.25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 x14ac:dyDescent="0.25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 x14ac:dyDescent="0.25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 x14ac:dyDescent="0.25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 x14ac:dyDescent="0.25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 x14ac:dyDescent="0.25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 x14ac:dyDescent="0.25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 x14ac:dyDescent="0.25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 x14ac:dyDescent="0.25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 x14ac:dyDescent="0.25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 x14ac:dyDescent="0.25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 x14ac:dyDescent="0.25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 x14ac:dyDescent="0.25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 x14ac:dyDescent="0.25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 x14ac:dyDescent="0.25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 x14ac:dyDescent="0.25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 x14ac:dyDescent="0.25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 x14ac:dyDescent="0.25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 x14ac:dyDescent="0.25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 x14ac:dyDescent="0.25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 x14ac:dyDescent="0.25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 x14ac:dyDescent="0.25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 x14ac:dyDescent="0.25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 x14ac:dyDescent="0.25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 x14ac:dyDescent="0.25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 x14ac:dyDescent="0.25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 x14ac:dyDescent="0.25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 x14ac:dyDescent="0.25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 x14ac:dyDescent="0.25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 x14ac:dyDescent="0.25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 x14ac:dyDescent="0.25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 x14ac:dyDescent="0.25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 x14ac:dyDescent="0.25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 x14ac:dyDescent="0.25">
      <c r="F417" t="s">
        <v>7264</v>
      </c>
      <c r="H417" t="s">
        <v>7265</v>
      </c>
      <c r="I417" t="s">
        <v>7266</v>
      </c>
      <c r="J417" t="s">
        <v>7267</v>
      </c>
    </row>
    <row r="418" spans="6:10" x14ac:dyDescent="0.25">
      <c r="F418" t="s">
        <v>7268</v>
      </c>
      <c r="H418" t="s">
        <v>7269</v>
      </c>
      <c r="I418" t="s">
        <v>7270</v>
      </c>
      <c r="J418" t="s">
        <v>7271</v>
      </c>
    </row>
    <row r="419" spans="6:10" x14ac:dyDescent="0.25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 x14ac:dyDescent="0.25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 x14ac:dyDescent="0.25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 x14ac:dyDescent="0.25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 x14ac:dyDescent="0.25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 x14ac:dyDescent="0.25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 x14ac:dyDescent="0.25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 x14ac:dyDescent="0.25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 x14ac:dyDescent="0.25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 x14ac:dyDescent="0.25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 x14ac:dyDescent="0.25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 x14ac:dyDescent="0.25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 x14ac:dyDescent="0.25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 x14ac:dyDescent="0.25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 x14ac:dyDescent="0.25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 x14ac:dyDescent="0.25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 x14ac:dyDescent="0.25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 x14ac:dyDescent="0.25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 x14ac:dyDescent="0.25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 x14ac:dyDescent="0.25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 x14ac:dyDescent="0.25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 x14ac:dyDescent="0.25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 x14ac:dyDescent="0.25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 x14ac:dyDescent="0.25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 x14ac:dyDescent="0.25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 x14ac:dyDescent="0.25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 x14ac:dyDescent="0.25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 x14ac:dyDescent="0.25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 x14ac:dyDescent="0.25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 x14ac:dyDescent="0.25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 x14ac:dyDescent="0.25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 x14ac:dyDescent="0.25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 x14ac:dyDescent="0.25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 x14ac:dyDescent="0.25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 x14ac:dyDescent="0.25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 x14ac:dyDescent="0.25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 x14ac:dyDescent="0.25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 x14ac:dyDescent="0.25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 x14ac:dyDescent="0.25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 x14ac:dyDescent="0.25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 x14ac:dyDescent="0.25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 x14ac:dyDescent="0.25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 x14ac:dyDescent="0.25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 x14ac:dyDescent="0.25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 x14ac:dyDescent="0.25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 x14ac:dyDescent="0.25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 x14ac:dyDescent="0.25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 x14ac:dyDescent="0.25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 x14ac:dyDescent="0.25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 x14ac:dyDescent="0.25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 x14ac:dyDescent="0.25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 x14ac:dyDescent="0.25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 x14ac:dyDescent="0.25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 x14ac:dyDescent="0.25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 x14ac:dyDescent="0.25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 x14ac:dyDescent="0.25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 x14ac:dyDescent="0.25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 x14ac:dyDescent="0.25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 x14ac:dyDescent="0.25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 x14ac:dyDescent="0.25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 x14ac:dyDescent="0.25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 x14ac:dyDescent="0.25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 x14ac:dyDescent="0.25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 x14ac:dyDescent="0.25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 x14ac:dyDescent="0.25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 x14ac:dyDescent="0.25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 x14ac:dyDescent="0.25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 x14ac:dyDescent="0.25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 x14ac:dyDescent="0.25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 x14ac:dyDescent="0.25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 x14ac:dyDescent="0.25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 x14ac:dyDescent="0.25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 x14ac:dyDescent="0.25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 x14ac:dyDescent="0.25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 x14ac:dyDescent="0.25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 x14ac:dyDescent="0.25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 x14ac:dyDescent="0.25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 x14ac:dyDescent="0.25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 x14ac:dyDescent="0.25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 x14ac:dyDescent="0.25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 x14ac:dyDescent="0.25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 x14ac:dyDescent="0.25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 x14ac:dyDescent="0.25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 x14ac:dyDescent="0.25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 x14ac:dyDescent="0.25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 x14ac:dyDescent="0.25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 x14ac:dyDescent="0.25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 x14ac:dyDescent="0.25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 x14ac:dyDescent="0.25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 x14ac:dyDescent="0.25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 x14ac:dyDescent="0.25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 x14ac:dyDescent="0.25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 x14ac:dyDescent="0.25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 x14ac:dyDescent="0.25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 x14ac:dyDescent="0.25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 x14ac:dyDescent="0.25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 x14ac:dyDescent="0.25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 x14ac:dyDescent="0.25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 x14ac:dyDescent="0.25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 x14ac:dyDescent="0.25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 x14ac:dyDescent="0.25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 x14ac:dyDescent="0.25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 x14ac:dyDescent="0.25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 x14ac:dyDescent="0.25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 x14ac:dyDescent="0.25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 x14ac:dyDescent="0.25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 x14ac:dyDescent="0.25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 x14ac:dyDescent="0.25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 x14ac:dyDescent="0.25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 x14ac:dyDescent="0.25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 x14ac:dyDescent="0.25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 x14ac:dyDescent="0.25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 x14ac:dyDescent="0.25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 x14ac:dyDescent="0.25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 x14ac:dyDescent="0.25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 x14ac:dyDescent="0.25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 x14ac:dyDescent="0.25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 x14ac:dyDescent="0.25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 x14ac:dyDescent="0.25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 x14ac:dyDescent="0.25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 x14ac:dyDescent="0.25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 x14ac:dyDescent="0.25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 x14ac:dyDescent="0.25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 x14ac:dyDescent="0.25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 x14ac:dyDescent="0.25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 x14ac:dyDescent="0.25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 x14ac:dyDescent="0.25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 x14ac:dyDescent="0.25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 x14ac:dyDescent="0.25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 x14ac:dyDescent="0.25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 x14ac:dyDescent="0.25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 x14ac:dyDescent="0.25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 x14ac:dyDescent="0.25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 x14ac:dyDescent="0.25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 x14ac:dyDescent="0.25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 x14ac:dyDescent="0.25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 x14ac:dyDescent="0.25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 x14ac:dyDescent="0.25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 x14ac:dyDescent="0.25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 x14ac:dyDescent="0.25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 x14ac:dyDescent="0.25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 x14ac:dyDescent="0.25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 x14ac:dyDescent="0.25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 x14ac:dyDescent="0.25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 x14ac:dyDescent="0.25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 x14ac:dyDescent="0.25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 x14ac:dyDescent="0.25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 x14ac:dyDescent="0.25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 x14ac:dyDescent="0.25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 x14ac:dyDescent="0.25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 x14ac:dyDescent="0.25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 x14ac:dyDescent="0.25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 x14ac:dyDescent="0.25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 x14ac:dyDescent="0.25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 x14ac:dyDescent="0.25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 x14ac:dyDescent="0.25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 x14ac:dyDescent="0.25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 x14ac:dyDescent="0.25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 x14ac:dyDescent="0.25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 x14ac:dyDescent="0.25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 x14ac:dyDescent="0.25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 x14ac:dyDescent="0.25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 x14ac:dyDescent="0.25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 x14ac:dyDescent="0.25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 x14ac:dyDescent="0.25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 x14ac:dyDescent="0.25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 x14ac:dyDescent="0.25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 x14ac:dyDescent="0.25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 x14ac:dyDescent="0.25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 x14ac:dyDescent="0.25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 x14ac:dyDescent="0.25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 x14ac:dyDescent="0.25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 x14ac:dyDescent="0.25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 x14ac:dyDescent="0.25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 x14ac:dyDescent="0.25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 x14ac:dyDescent="0.25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 x14ac:dyDescent="0.25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 x14ac:dyDescent="0.25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 x14ac:dyDescent="0.25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 x14ac:dyDescent="0.25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 x14ac:dyDescent="0.25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 x14ac:dyDescent="0.25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 x14ac:dyDescent="0.25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 x14ac:dyDescent="0.25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 x14ac:dyDescent="0.25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 x14ac:dyDescent="0.25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 x14ac:dyDescent="0.25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 x14ac:dyDescent="0.25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 x14ac:dyDescent="0.25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 x14ac:dyDescent="0.25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 x14ac:dyDescent="0.25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 x14ac:dyDescent="0.25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 x14ac:dyDescent="0.25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 x14ac:dyDescent="0.25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 x14ac:dyDescent="0.25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 x14ac:dyDescent="0.25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 x14ac:dyDescent="0.25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 x14ac:dyDescent="0.25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 x14ac:dyDescent="0.25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 x14ac:dyDescent="0.25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 x14ac:dyDescent="0.25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 x14ac:dyDescent="0.25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 x14ac:dyDescent="0.25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 x14ac:dyDescent="0.25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 x14ac:dyDescent="0.25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 x14ac:dyDescent="0.25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 x14ac:dyDescent="0.25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 x14ac:dyDescent="0.25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 x14ac:dyDescent="0.25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 x14ac:dyDescent="0.25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 x14ac:dyDescent="0.25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 x14ac:dyDescent="0.25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 x14ac:dyDescent="0.25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 x14ac:dyDescent="0.25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 x14ac:dyDescent="0.25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 x14ac:dyDescent="0.25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 x14ac:dyDescent="0.25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 x14ac:dyDescent="0.25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 x14ac:dyDescent="0.25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 x14ac:dyDescent="0.25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 x14ac:dyDescent="0.25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 x14ac:dyDescent="0.25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 x14ac:dyDescent="0.25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 x14ac:dyDescent="0.25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 x14ac:dyDescent="0.25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 x14ac:dyDescent="0.25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 x14ac:dyDescent="0.25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 x14ac:dyDescent="0.25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 x14ac:dyDescent="0.25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 x14ac:dyDescent="0.25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 x14ac:dyDescent="0.25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 x14ac:dyDescent="0.25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 x14ac:dyDescent="0.25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 x14ac:dyDescent="0.25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 x14ac:dyDescent="0.25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 x14ac:dyDescent="0.25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 x14ac:dyDescent="0.25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 x14ac:dyDescent="0.25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 x14ac:dyDescent="0.25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 x14ac:dyDescent="0.25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 x14ac:dyDescent="0.25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 x14ac:dyDescent="0.25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 x14ac:dyDescent="0.25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 x14ac:dyDescent="0.25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 x14ac:dyDescent="0.25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 x14ac:dyDescent="0.25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 x14ac:dyDescent="0.25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 x14ac:dyDescent="0.25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 x14ac:dyDescent="0.25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 x14ac:dyDescent="0.25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 x14ac:dyDescent="0.25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 x14ac:dyDescent="0.25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 x14ac:dyDescent="0.25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 x14ac:dyDescent="0.25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 x14ac:dyDescent="0.25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 x14ac:dyDescent="0.25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 x14ac:dyDescent="0.25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 x14ac:dyDescent="0.25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 x14ac:dyDescent="0.25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 x14ac:dyDescent="0.25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 x14ac:dyDescent="0.25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 x14ac:dyDescent="0.25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 x14ac:dyDescent="0.25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 x14ac:dyDescent="0.25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 x14ac:dyDescent="0.25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 x14ac:dyDescent="0.25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 x14ac:dyDescent="0.25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 x14ac:dyDescent="0.25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 x14ac:dyDescent="0.25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 x14ac:dyDescent="0.25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 x14ac:dyDescent="0.25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 x14ac:dyDescent="0.25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 x14ac:dyDescent="0.25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 x14ac:dyDescent="0.25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 x14ac:dyDescent="0.25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 x14ac:dyDescent="0.25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 x14ac:dyDescent="0.25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 x14ac:dyDescent="0.25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 x14ac:dyDescent="0.25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 x14ac:dyDescent="0.25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 x14ac:dyDescent="0.25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 x14ac:dyDescent="0.25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 x14ac:dyDescent="0.25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 x14ac:dyDescent="0.25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 x14ac:dyDescent="0.25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 x14ac:dyDescent="0.25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 x14ac:dyDescent="0.25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 x14ac:dyDescent="0.25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 x14ac:dyDescent="0.25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 x14ac:dyDescent="0.25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 x14ac:dyDescent="0.25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 x14ac:dyDescent="0.25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 x14ac:dyDescent="0.25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 x14ac:dyDescent="0.25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 x14ac:dyDescent="0.25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 x14ac:dyDescent="0.25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 x14ac:dyDescent="0.25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 x14ac:dyDescent="0.25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 x14ac:dyDescent="0.25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 x14ac:dyDescent="0.25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 x14ac:dyDescent="0.25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 x14ac:dyDescent="0.25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 x14ac:dyDescent="0.25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 x14ac:dyDescent="0.25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 x14ac:dyDescent="0.25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 x14ac:dyDescent="0.25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 x14ac:dyDescent="0.25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 x14ac:dyDescent="0.25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 x14ac:dyDescent="0.25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 x14ac:dyDescent="0.25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 x14ac:dyDescent="0.25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 x14ac:dyDescent="0.25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 x14ac:dyDescent="0.25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 x14ac:dyDescent="0.25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 x14ac:dyDescent="0.25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 x14ac:dyDescent="0.25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 x14ac:dyDescent="0.25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 x14ac:dyDescent="0.25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 x14ac:dyDescent="0.25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 x14ac:dyDescent="0.25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 x14ac:dyDescent="0.25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 x14ac:dyDescent="0.25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 x14ac:dyDescent="0.25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 x14ac:dyDescent="0.25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 x14ac:dyDescent="0.25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 x14ac:dyDescent="0.25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 x14ac:dyDescent="0.25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 x14ac:dyDescent="0.25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 x14ac:dyDescent="0.25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 x14ac:dyDescent="0.25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 x14ac:dyDescent="0.25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 x14ac:dyDescent="0.25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 x14ac:dyDescent="0.25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 x14ac:dyDescent="0.25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 x14ac:dyDescent="0.25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 x14ac:dyDescent="0.25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 x14ac:dyDescent="0.25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 x14ac:dyDescent="0.25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 x14ac:dyDescent="0.25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 x14ac:dyDescent="0.25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 x14ac:dyDescent="0.25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 x14ac:dyDescent="0.25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 x14ac:dyDescent="0.25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 x14ac:dyDescent="0.25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 x14ac:dyDescent="0.25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 x14ac:dyDescent="0.25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 x14ac:dyDescent="0.25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 x14ac:dyDescent="0.25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 x14ac:dyDescent="0.25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 x14ac:dyDescent="0.25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 x14ac:dyDescent="0.25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 x14ac:dyDescent="0.25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 x14ac:dyDescent="0.25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 x14ac:dyDescent="0.25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 x14ac:dyDescent="0.25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 x14ac:dyDescent="0.25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 x14ac:dyDescent="0.25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 x14ac:dyDescent="0.25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 x14ac:dyDescent="0.25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 x14ac:dyDescent="0.25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 x14ac:dyDescent="0.25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 x14ac:dyDescent="0.25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 x14ac:dyDescent="0.25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 x14ac:dyDescent="0.25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 x14ac:dyDescent="0.25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 x14ac:dyDescent="0.25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 x14ac:dyDescent="0.25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 x14ac:dyDescent="0.25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 x14ac:dyDescent="0.25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 x14ac:dyDescent="0.25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 x14ac:dyDescent="0.25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 x14ac:dyDescent="0.25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 x14ac:dyDescent="0.25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 x14ac:dyDescent="0.25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 x14ac:dyDescent="0.25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 x14ac:dyDescent="0.25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 x14ac:dyDescent="0.25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 x14ac:dyDescent="0.25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 x14ac:dyDescent="0.25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 x14ac:dyDescent="0.25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 x14ac:dyDescent="0.25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 x14ac:dyDescent="0.25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 x14ac:dyDescent="0.25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 x14ac:dyDescent="0.25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 x14ac:dyDescent="0.25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 x14ac:dyDescent="0.25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 x14ac:dyDescent="0.25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 x14ac:dyDescent="0.25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 x14ac:dyDescent="0.25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 x14ac:dyDescent="0.25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 x14ac:dyDescent="0.25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 x14ac:dyDescent="0.25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 x14ac:dyDescent="0.25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 x14ac:dyDescent="0.25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 x14ac:dyDescent="0.25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 x14ac:dyDescent="0.25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 x14ac:dyDescent="0.25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 x14ac:dyDescent="0.25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 x14ac:dyDescent="0.25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 x14ac:dyDescent="0.25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 x14ac:dyDescent="0.25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 x14ac:dyDescent="0.25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 x14ac:dyDescent="0.25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 x14ac:dyDescent="0.25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 x14ac:dyDescent="0.25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 x14ac:dyDescent="0.25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 x14ac:dyDescent="0.25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 x14ac:dyDescent="0.25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 x14ac:dyDescent="0.25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 x14ac:dyDescent="0.25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 x14ac:dyDescent="0.25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 x14ac:dyDescent="0.25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 x14ac:dyDescent="0.25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 x14ac:dyDescent="0.25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 x14ac:dyDescent="0.25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 x14ac:dyDescent="0.25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 x14ac:dyDescent="0.25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 x14ac:dyDescent="0.25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 x14ac:dyDescent="0.25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 x14ac:dyDescent="0.25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 x14ac:dyDescent="0.25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 x14ac:dyDescent="0.25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 x14ac:dyDescent="0.25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 x14ac:dyDescent="0.25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 x14ac:dyDescent="0.25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 x14ac:dyDescent="0.25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 x14ac:dyDescent="0.25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 x14ac:dyDescent="0.25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 x14ac:dyDescent="0.25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 x14ac:dyDescent="0.25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 x14ac:dyDescent="0.25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 x14ac:dyDescent="0.25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 x14ac:dyDescent="0.25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 x14ac:dyDescent="0.25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 x14ac:dyDescent="0.25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 x14ac:dyDescent="0.25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 x14ac:dyDescent="0.25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 x14ac:dyDescent="0.25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 x14ac:dyDescent="0.25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 x14ac:dyDescent="0.25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 x14ac:dyDescent="0.25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 x14ac:dyDescent="0.25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 x14ac:dyDescent="0.25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 x14ac:dyDescent="0.25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 x14ac:dyDescent="0.25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 x14ac:dyDescent="0.25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 x14ac:dyDescent="0.25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 x14ac:dyDescent="0.25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 x14ac:dyDescent="0.25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 x14ac:dyDescent="0.25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 x14ac:dyDescent="0.25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 x14ac:dyDescent="0.25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 x14ac:dyDescent="0.25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 x14ac:dyDescent="0.25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 x14ac:dyDescent="0.25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 x14ac:dyDescent="0.25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 x14ac:dyDescent="0.25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 x14ac:dyDescent="0.25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 x14ac:dyDescent="0.25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 x14ac:dyDescent="0.25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 x14ac:dyDescent="0.25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 x14ac:dyDescent="0.25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 x14ac:dyDescent="0.25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 x14ac:dyDescent="0.25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 x14ac:dyDescent="0.25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 x14ac:dyDescent="0.25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 x14ac:dyDescent="0.25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 x14ac:dyDescent="0.25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 x14ac:dyDescent="0.25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 x14ac:dyDescent="0.25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 x14ac:dyDescent="0.25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 x14ac:dyDescent="0.25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 x14ac:dyDescent="0.25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 x14ac:dyDescent="0.25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 x14ac:dyDescent="0.25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 x14ac:dyDescent="0.25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 x14ac:dyDescent="0.25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 x14ac:dyDescent="0.25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 x14ac:dyDescent="0.25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 x14ac:dyDescent="0.25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 x14ac:dyDescent="0.25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 x14ac:dyDescent="0.25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 x14ac:dyDescent="0.25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 x14ac:dyDescent="0.25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 x14ac:dyDescent="0.25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 x14ac:dyDescent="0.25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 x14ac:dyDescent="0.25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 x14ac:dyDescent="0.25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 x14ac:dyDescent="0.25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 x14ac:dyDescent="0.25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 x14ac:dyDescent="0.25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 x14ac:dyDescent="0.25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 x14ac:dyDescent="0.25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 x14ac:dyDescent="0.25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 x14ac:dyDescent="0.25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 x14ac:dyDescent="0.25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 x14ac:dyDescent="0.25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 x14ac:dyDescent="0.25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 x14ac:dyDescent="0.25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 x14ac:dyDescent="0.25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 x14ac:dyDescent="0.25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 x14ac:dyDescent="0.25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 x14ac:dyDescent="0.25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 x14ac:dyDescent="0.25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 x14ac:dyDescent="0.25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 x14ac:dyDescent="0.25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 x14ac:dyDescent="0.25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 x14ac:dyDescent="0.25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 x14ac:dyDescent="0.25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 x14ac:dyDescent="0.25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 x14ac:dyDescent="0.25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 x14ac:dyDescent="0.25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 x14ac:dyDescent="0.25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 x14ac:dyDescent="0.25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 x14ac:dyDescent="0.25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 x14ac:dyDescent="0.25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 x14ac:dyDescent="0.25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 x14ac:dyDescent="0.25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 x14ac:dyDescent="0.25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 x14ac:dyDescent="0.25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 x14ac:dyDescent="0.25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 x14ac:dyDescent="0.25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 x14ac:dyDescent="0.25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 x14ac:dyDescent="0.25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 x14ac:dyDescent="0.25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 x14ac:dyDescent="0.25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 x14ac:dyDescent="0.25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 x14ac:dyDescent="0.25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 x14ac:dyDescent="0.25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 x14ac:dyDescent="0.25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 x14ac:dyDescent="0.25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 x14ac:dyDescent="0.25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 x14ac:dyDescent="0.25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 x14ac:dyDescent="0.25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 x14ac:dyDescent="0.25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 x14ac:dyDescent="0.25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 x14ac:dyDescent="0.25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 x14ac:dyDescent="0.25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 x14ac:dyDescent="0.25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 x14ac:dyDescent="0.25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 x14ac:dyDescent="0.25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 x14ac:dyDescent="0.25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 x14ac:dyDescent="0.25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 x14ac:dyDescent="0.25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 x14ac:dyDescent="0.25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 x14ac:dyDescent="0.25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 x14ac:dyDescent="0.25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 x14ac:dyDescent="0.25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 x14ac:dyDescent="0.25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 x14ac:dyDescent="0.25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 x14ac:dyDescent="0.25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 x14ac:dyDescent="0.25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 x14ac:dyDescent="0.25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 x14ac:dyDescent="0.25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 x14ac:dyDescent="0.25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 x14ac:dyDescent="0.25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 x14ac:dyDescent="0.25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 x14ac:dyDescent="0.25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 x14ac:dyDescent="0.25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 x14ac:dyDescent="0.25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 x14ac:dyDescent="0.25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 x14ac:dyDescent="0.25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 x14ac:dyDescent="0.25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 x14ac:dyDescent="0.25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 x14ac:dyDescent="0.25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 x14ac:dyDescent="0.25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 x14ac:dyDescent="0.25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 x14ac:dyDescent="0.25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 x14ac:dyDescent="0.25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 x14ac:dyDescent="0.25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 x14ac:dyDescent="0.25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 x14ac:dyDescent="0.25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 x14ac:dyDescent="0.25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 x14ac:dyDescent="0.25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 x14ac:dyDescent="0.25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 x14ac:dyDescent="0.25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 x14ac:dyDescent="0.25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 x14ac:dyDescent="0.25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 x14ac:dyDescent="0.25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 x14ac:dyDescent="0.25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 x14ac:dyDescent="0.25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 x14ac:dyDescent="0.25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 x14ac:dyDescent="0.25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 x14ac:dyDescent="0.25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 x14ac:dyDescent="0.25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 x14ac:dyDescent="0.25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 x14ac:dyDescent="0.25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 x14ac:dyDescent="0.25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 x14ac:dyDescent="0.25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 x14ac:dyDescent="0.25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 x14ac:dyDescent="0.25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 x14ac:dyDescent="0.25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 x14ac:dyDescent="0.25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 x14ac:dyDescent="0.25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 x14ac:dyDescent="0.25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 x14ac:dyDescent="0.25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 x14ac:dyDescent="0.25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 x14ac:dyDescent="0.25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 x14ac:dyDescent="0.25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 x14ac:dyDescent="0.25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 x14ac:dyDescent="0.25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 x14ac:dyDescent="0.25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 x14ac:dyDescent="0.25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 x14ac:dyDescent="0.25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 x14ac:dyDescent="0.25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 x14ac:dyDescent="0.25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 x14ac:dyDescent="0.25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 x14ac:dyDescent="0.25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 x14ac:dyDescent="0.25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 x14ac:dyDescent="0.25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 x14ac:dyDescent="0.25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 x14ac:dyDescent="0.25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 x14ac:dyDescent="0.25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 x14ac:dyDescent="0.25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 x14ac:dyDescent="0.25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 x14ac:dyDescent="0.25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 x14ac:dyDescent="0.25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 x14ac:dyDescent="0.25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 x14ac:dyDescent="0.25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 x14ac:dyDescent="0.25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 x14ac:dyDescent="0.25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 x14ac:dyDescent="0.25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 x14ac:dyDescent="0.25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 x14ac:dyDescent="0.25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 x14ac:dyDescent="0.25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 x14ac:dyDescent="0.25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 x14ac:dyDescent="0.25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 x14ac:dyDescent="0.25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 x14ac:dyDescent="0.25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 x14ac:dyDescent="0.25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 x14ac:dyDescent="0.25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 x14ac:dyDescent="0.25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 x14ac:dyDescent="0.25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 x14ac:dyDescent="0.25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 x14ac:dyDescent="0.25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 x14ac:dyDescent="0.25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 x14ac:dyDescent="0.25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 x14ac:dyDescent="0.25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 x14ac:dyDescent="0.25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 x14ac:dyDescent="0.25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 x14ac:dyDescent="0.25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 x14ac:dyDescent="0.25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 x14ac:dyDescent="0.25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 x14ac:dyDescent="0.25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 x14ac:dyDescent="0.25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 x14ac:dyDescent="0.25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 x14ac:dyDescent="0.25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 x14ac:dyDescent="0.25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 x14ac:dyDescent="0.25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 x14ac:dyDescent="0.25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 x14ac:dyDescent="0.25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 x14ac:dyDescent="0.25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 x14ac:dyDescent="0.25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 x14ac:dyDescent="0.25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 x14ac:dyDescent="0.25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 x14ac:dyDescent="0.25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 x14ac:dyDescent="0.25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 x14ac:dyDescent="0.25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 x14ac:dyDescent="0.25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 x14ac:dyDescent="0.25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 x14ac:dyDescent="0.25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 x14ac:dyDescent="0.25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 x14ac:dyDescent="0.25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 x14ac:dyDescent="0.25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 x14ac:dyDescent="0.25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 x14ac:dyDescent="0.25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 x14ac:dyDescent="0.25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 x14ac:dyDescent="0.25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 x14ac:dyDescent="0.25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 x14ac:dyDescent="0.25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 x14ac:dyDescent="0.25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 x14ac:dyDescent="0.25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 x14ac:dyDescent="0.25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 x14ac:dyDescent="0.25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 x14ac:dyDescent="0.25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 x14ac:dyDescent="0.25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 x14ac:dyDescent="0.25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 x14ac:dyDescent="0.25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 x14ac:dyDescent="0.25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 x14ac:dyDescent="0.25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 x14ac:dyDescent="0.25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 x14ac:dyDescent="0.25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 x14ac:dyDescent="0.25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 x14ac:dyDescent="0.25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 x14ac:dyDescent="0.25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 x14ac:dyDescent="0.25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 x14ac:dyDescent="0.25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 x14ac:dyDescent="0.25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 x14ac:dyDescent="0.25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 x14ac:dyDescent="0.25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 x14ac:dyDescent="0.25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 x14ac:dyDescent="0.25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 x14ac:dyDescent="0.25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 x14ac:dyDescent="0.25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 x14ac:dyDescent="0.25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 x14ac:dyDescent="0.25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 x14ac:dyDescent="0.25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 x14ac:dyDescent="0.25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 x14ac:dyDescent="0.25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 x14ac:dyDescent="0.25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 x14ac:dyDescent="0.25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 x14ac:dyDescent="0.25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 x14ac:dyDescent="0.25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 x14ac:dyDescent="0.25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 x14ac:dyDescent="0.25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 x14ac:dyDescent="0.25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 x14ac:dyDescent="0.25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 x14ac:dyDescent="0.25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 x14ac:dyDescent="0.25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 x14ac:dyDescent="0.25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 x14ac:dyDescent="0.25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 x14ac:dyDescent="0.25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 x14ac:dyDescent="0.25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 x14ac:dyDescent="0.25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 x14ac:dyDescent="0.25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 x14ac:dyDescent="0.25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 x14ac:dyDescent="0.25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 x14ac:dyDescent="0.25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 x14ac:dyDescent="0.25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 x14ac:dyDescent="0.25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 x14ac:dyDescent="0.25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 x14ac:dyDescent="0.25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 x14ac:dyDescent="0.25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 x14ac:dyDescent="0.25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 x14ac:dyDescent="0.25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 x14ac:dyDescent="0.25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 x14ac:dyDescent="0.25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 x14ac:dyDescent="0.25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 x14ac:dyDescent="0.25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 x14ac:dyDescent="0.25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 x14ac:dyDescent="0.25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 x14ac:dyDescent="0.25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 x14ac:dyDescent="0.25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 x14ac:dyDescent="0.25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 x14ac:dyDescent="0.25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 x14ac:dyDescent="0.25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 x14ac:dyDescent="0.25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 x14ac:dyDescent="0.25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 x14ac:dyDescent="0.25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 x14ac:dyDescent="0.25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 x14ac:dyDescent="0.25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 x14ac:dyDescent="0.25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 x14ac:dyDescent="0.25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 x14ac:dyDescent="0.25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 x14ac:dyDescent="0.25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 x14ac:dyDescent="0.25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 x14ac:dyDescent="0.25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 x14ac:dyDescent="0.25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 x14ac:dyDescent="0.25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 x14ac:dyDescent="0.25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 x14ac:dyDescent="0.25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 x14ac:dyDescent="0.25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 x14ac:dyDescent="0.25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 x14ac:dyDescent="0.25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 x14ac:dyDescent="0.25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 x14ac:dyDescent="0.25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 x14ac:dyDescent="0.25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 x14ac:dyDescent="0.25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 x14ac:dyDescent="0.25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 x14ac:dyDescent="0.25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 x14ac:dyDescent="0.25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 x14ac:dyDescent="0.25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 x14ac:dyDescent="0.25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 x14ac:dyDescent="0.25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 x14ac:dyDescent="0.25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 x14ac:dyDescent="0.25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 x14ac:dyDescent="0.25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 x14ac:dyDescent="0.25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 x14ac:dyDescent="0.25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 x14ac:dyDescent="0.25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 x14ac:dyDescent="0.25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 x14ac:dyDescent="0.25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 x14ac:dyDescent="0.25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 x14ac:dyDescent="0.25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 x14ac:dyDescent="0.25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 x14ac:dyDescent="0.25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 x14ac:dyDescent="0.25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 x14ac:dyDescent="0.25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 x14ac:dyDescent="0.25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 x14ac:dyDescent="0.25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 x14ac:dyDescent="0.25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 x14ac:dyDescent="0.25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 x14ac:dyDescent="0.25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 x14ac:dyDescent="0.25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 x14ac:dyDescent="0.25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 x14ac:dyDescent="0.25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 x14ac:dyDescent="0.25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 x14ac:dyDescent="0.25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 x14ac:dyDescent="0.25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 x14ac:dyDescent="0.25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 x14ac:dyDescent="0.25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 x14ac:dyDescent="0.25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 x14ac:dyDescent="0.25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 x14ac:dyDescent="0.25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 x14ac:dyDescent="0.25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 x14ac:dyDescent="0.25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 x14ac:dyDescent="0.25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 x14ac:dyDescent="0.25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 x14ac:dyDescent="0.25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 x14ac:dyDescent="0.25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 x14ac:dyDescent="0.25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 x14ac:dyDescent="0.25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 x14ac:dyDescent="0.25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 x14ac:dyDescent="0.25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 x14ac:dyDescent="0.25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 x14ac:dyDescent="0.25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 x14ac:dyDescent="0.25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 x14ac:dyDescent="0.25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 x14ac:dyDescent="0.25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 x14ac:dyDescent="0.25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 x14ac:dyDescent="0.25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 x14ac:dyDescent="0.25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 x14ac:dyDescent="0.25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 x14ac:dyDescent="0.25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 x14ac:dyDescent="0.25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 x14ac:dyDescent="0.25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 x14ac:dyDescent="0.25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 x14ac:dyDescent="0.25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 x14ac:dyDescent="0.25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 x14ac:dyDescent="0.25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 x14ac:dyDescent="0.25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 x14ac:dyDescent="0.25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 x14ac:dyDescent="0.25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 x14ac:dyDescent="0.25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 x14ac:dyDescent="0.25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 x14ac:dyDescent="0.25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 x14ac:dyDescent="0.25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 x14ac:dyDescent="0.25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 x14ac:dyDescent="0.25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 x14ac:dyDescent="0.25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 x14ac:dyDescent="0.25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 x14ac:dyDescent="0.25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 x14ac:dyDescent="0.25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 x14ac:dyDescent="0.25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 x14ac:dyDescent="0.25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 x14ac:dyDescent="0.25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 x14ac:dyDescent="0.25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 x14ac:dyDescent="0.25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 x14ac:dyDescent="0.25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 x14ac:dyDescent="0.25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 x14ac:dyDescent="0.25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 x14ac:dyDescent="0.25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 x14ac:dyDescent="0.25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 x14ac:dyDescent="0.25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 x14ac:dyDescent="0.25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 x14ac:dyDescent="0.25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 x14ac:dyDescent="0.25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 x14ac:dyDescent="0.25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 x14ac:dyDescent="0.25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 x14ac:dyDescent="0.25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 x14ac:dyDescent="0.25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 x14ac:dyDescent="0.25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 x14ac:dyDescent="0.25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 x14ac:dyDescent="0.25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 x14ac:dyDescent="0.25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 x14ac:dyDescent="0.25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 x14ac:dyDescent="0.25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 x14ac:dyDescent="0.25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 x14ac:dyDescent="0.25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 x14ac:dyDescent="0.25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 x14ac:dyDescent="0.25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 x14ac:dyDescent="0.25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 x14ac:dyDescent="0.25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 x14ac:dyDescent="0.25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 x14ac:dyDescent="0.25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 x14ac:dyDescent="0.25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 x14ac:dyDescent="0.25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 x14ac:dyDescent="0.25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 x14ac:dyDescent="0.25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 x14ac:dyDescent="0.25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 x14ac:dyDescent="0.25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 x14ac:dyDescent="0.25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 x14ac:dyDescent="0.25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 x14ac:dyDescent="0.25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 x14ac:dyDescent="0.25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 x14ac:dyDescent="0.25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 x14ac:dyDescent="0.25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 x14ac:dyDescent="0.25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 x14ac:dyDescent="0.25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 x14ac:dyDescent="0.25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 x14ac:dyDescent="0.25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 x14ac:dyDescent="0.25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 x14ac:dyDescent="0.25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 x14ac:dyDescent="0.25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 x14ac:dyDescent="0.25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 x14ac:dyDescent="0.25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 x14ac:dyDescent="0.25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 x14ac:dyDescent="0.25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 x14ac:dyDescent="0.25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 x14ac:dyDescent="0.25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 x14ac:dyDescent="0.25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 x14ac:dyDescent="0.25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 x14ac:dyDescent="0.25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 x14ac:dyDescent="0.25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 x14ac:dyDescent="0.25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 x14ac:dyDescent="0.25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 x14ac:dyDescent="0.25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 x14ac:dyDescent="0.25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 x14ac:dyDescent="0.25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 x14ac:dyDescent="0.25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 x14ac:dyDescent="0.25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 x14ac:dyDescent="0.25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 x14ac:dyDescent="0.25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 x14ac:dyDescent="0.25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 x14ac:dyDescent="0.25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 x14ac:dyDescent="0.25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 x14ac:dyDescent="0.25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 x14ac:dyDescent="0.25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 x14ac:dyDescent="0.25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 x14ac:dyDescent="0.25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 x14ac:dyDescent="0.25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 x14ac:dyDescent="0.25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 x14ac:dyDescent="0.25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 x14ac:dyDescent="0.25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 x14ac:dyDescent="0.25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 x14ac:dyDescent="0.25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 x14ac:dyDescent="0.25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 x14ac:dyDescent="0.25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 x14ac:dyDescent="0.25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 x14ac:dyDescent="0.25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 x14ac:dyDescent="0.25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 x14ac:dyDescent="0.25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 x14ac:dyDescent="0.25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 x14ac:dyDescent="0.25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 x14ac:dyDescent="0.25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 x14ac:dyDescent="0.25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 x14ac:dyDescent="0.25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 x14ac:dyDescent="0.25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 x14ac:dyDescent="0.25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 x14ac:dyDescent="0.25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 x14ac:dyDescent="0.25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 x14ac:dyDescent="0.25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 x14ac:dyDescent="0.25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 x14ac:dyDescent="0.25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 x14ac:dyDescent="0.25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 x14ac:dyDescent="0.25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 x14ac:dyDescent="0.25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 x14ac:dyDescent="0.25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 x14ac:dyDescent="0.25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 x14ac:dyDescent="0.25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 x14ac:dyDescent="0.25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 x14ac:dyDescent="0.25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 x14ac:dyDescent="0.25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 x14ac:dyDescent="0.25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 x14ac:dyDescent="0.25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 x14ac:dyDescent="0.25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 x14ac:dyDescent="0.25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 x14ac:dyDescent="0.25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 x14ac:dyDescent="0.25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 x14ac:dyDescent="0.25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 x14ac:dyDescent="0.25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 x14ac:dyDescent="0.25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 x14ac:dyDescent="0.25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 x14ac:dyDescent="0.25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 x14ac:dyDescent="0.25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 x14ac:dyDescent="0.25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 x14ac:dyDescent="0.25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 x14ac:dyDescent="0.25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 x14ac:dyDescent="0.25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 x14ac:dyDescent="0.25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 x14ac:dyDescent="0.25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 x14ac:dyDescent="0.25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 x14ac:dyDescent="0.25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 x14ac:dyDescent="0.25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 x14ac:dyDescent="0.25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 x14ac:dyDescent="0.25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 x14ac:dyDescent="0.25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 x14ac:dyDescent="0.25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 x14ac:dyDescent="0.25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 x14ac:dyDescent="0.25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 x14ac:dyDescent="0.25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 x14ac:dyDescent="0.25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 x14ac:dyDescent="0.25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 x14ac:dyDescent="0.25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 x14ac:dyDescent="0.25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 x14ac:dyDescent="0.25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 x14ac:dyDescent="0.25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 x14ac:dyDescent="0.25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 x14ac:dyDescent="0.25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 x14ac:dyDescent="0.25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 x14ac:dyDescent="0.25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 x14ac:dyDescent="0.25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 x14ac:dyDescent="0.25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 x14ac:dyDescent="0.25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 x14ac:dyDescent="0.25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 x14ac:dyDescent="0.25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 x14ac:dyDescent="0.25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 x14ac:dyDescent="0.25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 x14ac:dyDescent="0.25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 x14ac:dyDescent="0.25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 x14ac:dyDescent="0.25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 x14ac:dyDescent="0.25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 x14ac:dyDescent="0.25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 x14ac:dyDescent="0.25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 x14ac:dyDescent="0.25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 x14ac:dyDescent="0.25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 x14ac:dyDescent="0.25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 x14ac:dyDescent="0.25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 x14ac:dyDescent="0.25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 x14ac:dyDescent="0.25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 x14ac:dyDescent="0.25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 x14ac:dyDescent="0.25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 x14ac:dyDescent="0.25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 x14ac:dyDescent="0.25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 x14ac:dyDescent="0.25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 x14ac:dyDescent="0.25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 x14ac:dyDescent="0.25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 x14ac:dyDescent="0.25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 x14ac:dyDescent="0.25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 x14ac:dyDescent="0.25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 x14ac:dyDescent="0.25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 x14ac:dyDescent="0.25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 x14ac:dyDescent="0.25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 x14ac:dyDescent="0.25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 x14ac:dyDescent="0.25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 x14ac:dyDescent="0.25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 x14ac:dyDescent="0.25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 x14ac:dyDescent="0.25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 x14ac:dyDescent="0.25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 x14ac:dyDescent="0.25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 x14ac:dyDescent="0.25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 x14ac:dyDescent="0.25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 x14ac:dyDescent="0.25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 x14ac:dyDescent="0.25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 x14ac:dyDescent="0.25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 x14ac:dyDescent="0.25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 x14ac:dyDescent="0.25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 x14ac:dyDescent="0.25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 x14ac:dyDescent="0.25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 x14ac:dyDescent="0.25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 x14ac:dyDescent="0.25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 x14ac:dyDescent="0.25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 x14ac:dyDescent="0.25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 x14ac:dyDescent="0.25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 x14ac:dyDescent="0.25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 x14ac:dyDescent="0.25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 x14ac:dyDescent="0.25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 x14ac:dyDescent="0.25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 x14ac:dyDescent="0.25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 x14ac:dyDescent="0.25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 x14ac:dyDescent="0.25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 x14ac:dyDescent="0.25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 x14ac:dyDescent="0.25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 x14ac:dyDescent="0.25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 x14ac:dyDescent="0.25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 x14ac:dyDescent="0.25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 x14ac:dyDescent="0.25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 x14ac:dyDescent="0.25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 x14ac:dyDescent="0.25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 x14ac:dyDescent="0.25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 x14ac:dyDescent="0.25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 x14ac:dyDescent="0.25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 x14ac:dyDescent="0.25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 x14ac:dyDescent="0.25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 x14ac:dyDescent="0.25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 x14ac:dyDescent="0.25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 x14ac:dyDescent="0.25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 x14ac:dyDescent="0.25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 x14ac:dyDescent="0.25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 x14ac:dyDescent="0.25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 x14ac:dyDescent="0.25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 x14ac:dyDescent="0.25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 x14ac:dyDescent="0.25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 x14ac:dyDescent="0.25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 x14ac:dyDescent="0.25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 x14ac:dyDescent="0.25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 x14ac:dyDescent="0.25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 x14ac:dyDescent="0.25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 x14ac:dyDescent="0.25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 x14ac:dyDescent="0.25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 x14ac:dyDescent="0.25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 x14ac:dyDescent="0.25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 x14ac:dyDescent="0.25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 x14ac:dyDescent="0.25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 x14ac:dyDescent="0.25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 x14ac:dyDescent="0.25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 x14ac:dyDescent="0.25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 x14ac:dyDescent="0.25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 x14ac:dyDescent="0.25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 x14ac:dyDescent="0.25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 x14ac:dyDescent="0.25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 x14ac:dyDescent="0.25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 x14ac:dyDescent="0.25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 x14ac:dyDescent="0.25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 x14ac:dyDescent="0.25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 x14ac:dyDescent="0.25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 x14ac:dyDescent="0.25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 x14ac:dyDescent="0.25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 x14ac:dyDescent="0.25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 x14ac:dyDescent="0.25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 x14ac:dyDescent="0.25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 x14ac:dyDescent="0.25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 x14ac:dyDescent="0.25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 x14ac:dyDescent="0.25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 x14ac:dyDescent="0.25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 x14ac:dyDescent="0.25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 x14ac:dyDescent="0.25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 x14ac:dyDescent="0.25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 x14ac:dyDescent="0.25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 x14ac:dyDescent="0.25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 x14ac:dyDescent="0.25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 x14ac:dyDescent="0.25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 x14ac:dyDescent="0.25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 x14ac:dyDescent="0.25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 x14ac:dyDescent="0.25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 x14ac:dyDescent="0.25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 x14ac:dyDescent="0.25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 x14ac:dyDescent="0.25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 x14ac:dyDescent="0.25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 x14ac:dyDescent="0.25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 x14ac:dyDescent="0.25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 x14ac:dyDescent="0.25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 x14ac:dyDescent="0.25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 x14ac:dyDescent="0.25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 x14ac:dyDescent="0.25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 x14ac:dyDescent="0.25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 x14ac:dyDescent="0.25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 x14ac:dyDescent="0.25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 x14ac:dyDescent="0.25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 x14ac:dyDescent="0.25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 x14ac:dyDescent="0.25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 x14ac:dyDescent="0.25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 x14ac:dyDescent="0.25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 x14ac:dyDescent="0.25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 x14ac:dyDescent="0.25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 x14ac:dyDescent="0.25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 x14ac:dyDescent="0.25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 x14ac:dyDescent="0.25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 x14ac:dyDescent="0.25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 x14ac:dyDescent="0.25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 x14ac:dyDescent="0.25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 x14ac:dyDescent="0.25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 x14ac:dyDescent="0.25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 x14ac:dyDescent="0.25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 x14ac:dyDescent="0.25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 x14ac:dyDescent="0.25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 x14ac:dyDescent="0.25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 x14ac:dyDescent="0.25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 x14ac:dyDescent="0.25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 x14ac:dyDescent="0.25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 x14ac:dyDescent="0.25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 x14ac:dyDescent="0.25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 x14ac:dyDescent="0.25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 x14ac:dyDescent="0.25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 x14ac:dyDescent="0.25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 x14ac:dyDescent="0.25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 x14ac:dyDescent="0.25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 x14ac:dyDescent="0.25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 x14ac:dyDescent="0.25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 x14ac:dyDescent="0.25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 x14ac:dyDescent="0.25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 x14ac:dyDescent="0.25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 x14ac:dyDescent="0.25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 x14ac:dyDescent="0.25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 x14ac:dyDescent="0.25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 x14ac:dyDescent="0.25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 x14ac:dyDescent="0.25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 x14ac:dyDescent="0.25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 x14ac:dyDescent="0.25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 x14ac:dyDescent="0.25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 x14ac:dyDescent="0.25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 x14ac:dyDescent="0.25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 x14ac:dyDescent="0.25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 x14ac:dyDescent="0.25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 x14ac:dyDescent="0.25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 x14ac:dyDescent="0.25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 x14ac:dyDescent="0.25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 x14ac:dyDescent="0.25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 x14ac:dyDescent="0.25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 x14ac:dyDescent="0.25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 x14ac:dyDescent="0.25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 x14ac:dyDescent="0.25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 x14ac:dyDescent="0.25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 x14ac:dyDescent="0.25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 x14ac:dyDescent="0.25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 x14ac:dyDescent="0.25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 x14ac:dyDescent="0.25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 x14ac:dyDescent="0.25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 x14ac:dyDescent="0.25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 x14ac:dyDescent="0.25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 x14ac:dyDescent="0.25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 x14ac:dyDescent="0.25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 x14ac:dyDescent="0.25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 x14ac:dyDescent="0.25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 x14ac:dyDescent="0.25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 x14ac:dyDescent="0.25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 x14ac:dyDescent="0.25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 x14ac:dyDescent="0.25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 x14ac:dyDescent="0.25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 x14ac:dyDescent="0.25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 x14ac:dyDescent="0.25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 x14ac:dyDescent="0.25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 x14ac:dyDescent="0.25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 x14ac:dyDescent="0.25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 x14ac:dyDescent="0.25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 x14ac:dyDescent="0.25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 x14ac:dyDescent="0.25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 x14ac:dyDescent="0.25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 x14ac:dyDescent="0.25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 x14ac:dyDescent="0.25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 x14ac:dyDescent="0.25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 x14ac:dyDescent="0.25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 x14ac:dyDescent="0.25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 x14ac:dyDescent="0.25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 x14ac:dyDescent="0.25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 x14ac:dyDescent="0.25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 x14ac:dyDescent="0.25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 x14ac:dyDescent="0.25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 x14ac:dyDescent="0.25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 x14ac:dyDescent="0.25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 x14ac:dyDescent="0.25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 x14ac:dyDescent="0.25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 x14ac:dyDescent="0.25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 x14ac:dyDescent="0.25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 x14ac:dyDescent="0.25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 x14ac:dyDescent="0.25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 x14ac:dyDescent="0.25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 x14ac:dyDescent="0.25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 x14ac:dyDescent="0.25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 x14ac:dyDescent="0.25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 x14ac:dyDescent="0.25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 x14ac:dyDescent="0.25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 x14ac:dyDescent="0.25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 x14ac:dyDescent="0.25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 x14ac:dyDescent="0.25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 x14ac:dyDescent="0.25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 x14ac:dyDescent="0.25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 x14ac:dyDescent="0.25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 x14ac:dyDescent="0.25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 x14ac:dyDescent="0.25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 x14ac:dyDescent="0.25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 x14ac:dyDescent="0.25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 x14ac:dyDescent="0.25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 x14ac:dyDescent="0.25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 x14ac:dyDescent="0.25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 x14ac:dyDescent="0.25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 x14ac:dyDescent="0.25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 x14ac:dyDescent="0.25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 x14ac:dyDescent="0.25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 x14ac:dyDescent="0.25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 x14ac:dyDescent="0.25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 x14ac:dyDescent="0.25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 x14ac:dyDescent="0.25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 x14ac:dyDescent="0.25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 x14ac:dyDescent="0.25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 x14ac:dyDescent="0.25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 x14ac:dyDescent="0.25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 x14ac:dyDescent="0.25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 x14ac:dyDescent="0.25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 x14ac:dyDescent="0.25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 x14ac:dyDescent="0.25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 x14ac:dyDescent="0.25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 x14ac:dyDescent="0.25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 x14ac:dyDescent="0.25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 x14ac:dyDescent="0.25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 x14ac:dyDescent="0.25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 x14ac:dyDescent="0.25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 x14ac:dyDescent="0.25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 x14ac:dyDescent="0.25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 x14ac:dyDescent="0.25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 x14ac:dyDescent="0.25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 x14ac:dyDescent="0.25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 x14ac:dyDescent="0.25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 x14ac:dyDescent="0.25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 x14ac:dyDescent="0.25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 x14ac:dyDescent="0.25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 x14ac:dyDescent="0.25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 x14ac:dyDescent="0.25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 x14ac:dyDescent="0.25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 x14ac:dyDescent="0.25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 x14ac:dyDescent="0.25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 x14ac:dyDescent="0.25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 x14ac:dyDescent="0.25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 x14ac:dyDescent="0.25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 x14ac:dyDescent="0.25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 x14ac:dyDescent="0.25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 x14ac:dyDescent="0.25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 x14ac:dyDescent="0.25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 x14ac:dyDescent="0.25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 x14ac:dyDescent="0.25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 x14ac:dyDescent="0.25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 x14ac:dyDescent="0.25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 x14ac:dyDescent="0.25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 x14ac:dyDescent="0.25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 x14ac:dyDescent="0.25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 x14ac:dyDescent="0.25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 x14ac:dyDescent="0.25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 x14ac:dyDescent="0.25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 x14ac:dyDescent="0.25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 x14ac:dyDescent="0.25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 x14ac:dyDescent="0.25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 x14ac:dyDescent="0.25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 x14ac:dyDescent="0.25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 x14ac:dyDescent="0.25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 x14ac:dyDescent="0.25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 x14ac:dyDescent="0.25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 x14ac:dyDescent="0.25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 x14ac:dyDescent="0.25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 x14ac:dyDescent="0.25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 x14ac:dyDescent="0.25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 x14ac:dyDescent="0.25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 x14ac:dyDescent="0.25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 x14ac:dyDescent="0.25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 x14ac:dyDescent="0.25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 x14ac:dyDescent="0.25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 x14ac:dyDescent="0.25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 x14ac:dyDescent="0.25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 x14ac:dyDescent="0.25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 x14ac:dyDescent="0.25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 x14ac:dyDescent="0.25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 x14ac:dyDescent="0.25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 x14ac:dyDescent="0.25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 x14ac:dyDescent="0.25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 x14ac:dyDescent="0.25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 x14ac:dyDescent="0.25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 x14ac:dyDescent="0.25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 x14ac:dyDescent="0.25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 x14ac:dyDescent="0.25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 x14ac:dyDescent="0.25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 x14ac:dyDescent="0.25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 x14ac:dyDescent="0.25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 x14ac:dyDescent="0.25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 x14ac:dyDescent="0.25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 x14ac:dyDescent="0.25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 x14ac:dyDescent="0.25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 x14ac:dyDescent="0.25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 x14ac:dyDescent="0.25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 x14ac:dyDescent="0.25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 x14ac:dyDescent="0.25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 x14ac:dyDescent="0.25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 x14ac:dyDescent="0.25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 x14ac:dyDescent="0.25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 x14ac:dyDescent="0.25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 x14ac:dyDescent="0.25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 x14ac:dyDescent="0.25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 x14ac:dyDescent="0.25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 x14ac:dyDescent="0.25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 x14ac:dyDescent="0.25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 x14ac:dyDescent="0.25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 x14ac:dyDescent="0.25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 x14ac:dyDescent="0.25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 x14ac:dyDescent="0.25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 x14ac:dyDescent="0.25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 x14ac:dyDescent="0.25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 x14ac:dyDescent="0.25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 x14ac:dyDescent="0.25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 x14ac:dyDescent="0.25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 x14ac:dyDescent="0.25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 x14ac:dyDescent="0.25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 x14ac:dyDescent="0.25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 x14ac:dyDescent="0.25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 x14ac:dyDescent="0.25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 x14ac:dyDescent="0.25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 x14ac:dyDescent="0.25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 x14ac:dyDescent="0.25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 x14ac:dyDescent="0.25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 x14ac:dyDescent="0.25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 x14ac:dyDescent="0.25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 x14ac:dyDescent="0.25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 x14ac:dyDescent="0.25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 x14ac:dyDescent="0.25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 x14ac:dyDescent="0.25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 x14ac:dyDescent="0.25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 x14ac:dyDescent="0.25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 x14ac:dyDescent="0.25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 x14ac:dyDescent="0.25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 x14ac:dyDescent="0.25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 x14ac:dyDescent="0.25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 x14ac:dyDescent="0.25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 x14ac:dyDescent="0.25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 x14ac:dyDescent="0.25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 x14ac:dyDescent="0.25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 x14ac:dyDescent="0.25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 x14ac:dyDescent="0.25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 x14ac:dyDescent="0.25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 x14ac:dyDescent="0.25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 x14ac:dyDescent="0.25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 x14ac:dyDescent="0.25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 x14ac:dyDescent="0.25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 x14ac:dyDescent="0.25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 x14ac:dyDescent="0.25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 x14ac:dyDescent="0.25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 x14ac:dyDescent="0.25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 x14ac:dyDescent="0.25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 x14ac:dyDescent="0.25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 x14ac:dyDescent="0.25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 x14ac:dyDescent="0.25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 x14ac:dyDescent="0.25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 x14ac:dyDescent="0.25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 x14ac:dyDescent="0.25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 x14ac:dyDescent="0.25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 x14ac:dyDescent="0.25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 x14ac:dyDescent="0.25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 x14ac:dyDescent="0.25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 x14ac:dyDescent="0.25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 x14ac:dyDescent="0.25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 x14ac:dyDescent="0.25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 x14ac:dyDescent="0.25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 x14ac:dyDescent="0.25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 x14ac:dyDescent="0.25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 x14ac:dyDescent="0.25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 x14ac:dyDescent="0.25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 x14ac:dyDescent="0.25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 x14ac:dyDescent="0.25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 x14ac:dyDescent="0.25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 x14ac:dyDescent="0.25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 x14ac:dyDescent="0.25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 x14ac:dyDescent="0.25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 x14ac:dyDescent="0.25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 x14ac:dyDescent="0.25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 x14ac:dyDescent="0.25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 x14ac:dyDescent="0.25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 x14ac:dyDescent="0.25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 x14ac:dyDescent="0.25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 x14ac:dyDescent="0.25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 x14ac:dyDescent="0.25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 x14ac:dyDescent="0.25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 x14ac:dyDescent="0.25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 x14ac:dyDescent="0.25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 x14ac:dyDescent="0.25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 x14ac:dyDescent="0.25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 x14ac:dyDescent="0.25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 x14ac:dyDescent="0.25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 x14ac:dyDescent="0.25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 x14ac:dyDescent="0.25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 x14ac:dyDescent="0.25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 x14ac:dyDescent="0.25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 x14ac:dyDescent="0.25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 x14ac:dyDescent="0.25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 x14ac:dyDescent="0.25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 x14ac:dyDescent="0.25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 x14ac:dyDescent="0.25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 x14ac:dyDescent="0.25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 x14ac:dyDescent="0.25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 x14ac:dyDescent="0.25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 x14ac:dyDescent="0.25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 x14ac:dyDescent="0.25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 x14ac:dyDescent="0.25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 x14ac:dyDescent="0.25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 x14ac:dyDescent="0.25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 x14ac:dyDescent="0.25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 x14ac:dyDescent="0.25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 x14ac:dyDescent="0.25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 x14ac:dyDescent="0.25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 x14ac:dyDescent="0.25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 x14ac:dyDescent="0.25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 x14ac:dyDescent="0.25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 x14ac:dyDescent="0.25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 x14ac:dyDescent="0.25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 x14ac:dyDescent="0.25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 x14ac:dyDescent="0.25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 x14ac:dyDescent="0.25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 x14ac:dyDescent="0.25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 x14ac:dyDescent="0.25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 x14ac:dyDescent="0.25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 x14ac:dyDescent="0.25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 x14ac:dyDescent="0.25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 x14ac:dyDescent="0.25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 x14ac:dyDescent="0.25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 x14ac:dyDescent="0.25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 x14ac:dyDescent="0.25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 x14ac:dyDescent="0.25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 x14ac:dyDescent="0.25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 x14ac:dyDescent="0.25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 x14ac:dyDescent="0.25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 x14ac:dyDescent="0.25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 x14ac:dyDescent="0.25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 x14ac:dyDescent="0.25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 x14ac:dyDescent="0.25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 x14ac:dyDescent="0.25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 x14ac:dyDescent="0.25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 x14ac:dyDescent="0.25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 x14ac:dyDescent="0.25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 x14ac:dyDescent="0.25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 x14ac:dyDescent="0.25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 x14ac:dyDescent="0.25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 x14ac:dyDescent="0.25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 x14ac:dyDescent="0.25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 x14ac:dyDescent="0.25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 x14ac:dyDescent="0.25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 x14ac:dyDescent="0.25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 x14ac:dyDescent="0.25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 x14ac:dyDescent="0.25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 x14ac:dyDescent="0.25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 x14ac:dyDescent="0.25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 x14ac:dyDescent="0.25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 x14ac:dyDescent="0.25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 x14ac:dyDescent="0.25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 x14ac:dyDescent="0.25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 x14ac:dyDescent="0.25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 x14ac:dyDescent="0.25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 x14ac:dyDescent="0.25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 x14ac:dyDescent="0.25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 x14ac:dyDescent="0.25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 x14ac:dyDescent="0.25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 x14ac:dyDescent="0.25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 x14ac:dyDescent="0.25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 x14ac:dyDescent="0.25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 x14ac:dyDescent="0.25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 x14ac:dyDescent="0.25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 x14ac:dyDescent="0.25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 x14ac:dyDescent="0.25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 x14ac:dyDescent="0.25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 x14ac:dyDescent="0.25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 x14ac:dyDescent="0.25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 x14ac:dyDescent="0.25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 x14ac:dyDescent="0.25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 x14ac:dyDescent="0.25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 x14ac:dyDescent="0.25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 x14ac:dyDescent="0.25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 x14ac:dyDescent="0.25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 x14ac:dyDescent="0.25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 x14ac:dyDescent="0.25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 x14ac:dyDescent="0.25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 x14ac:dyDescent="0.25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 x14ac:dyDescent="0.25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 x14ac:dyDescent="0.25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 x14ac:dyDescent="0.25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 x14ac:dyDescent="0.25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 x14ac:dyDescent="0.25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 x14ac:dyDescent="0.25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 x14ac:dyDescent="0.25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 x14ac:dyDescent="0.25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 x14ac:dyDescent="0.25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 x14ac:dyDescent="0.25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 x14ac:dyDescent="0.25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 x14ac:dyDescent="0.25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 x14ac:dyDescent="0.25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 x14ac:dyDescent="0.25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 x14ac:dyDescent="0.25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 x14ac:dyDescent="0.25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 x14ac:dyDescent="0.25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 x14ac:dyDescent="0.25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 x14ac:dyDescent="0.25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 x14ac:dyDescent="0.25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 x14ac:dyDescent="0.25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 x14ac:dyDescent="0.25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 x14ac:dyDescent="0.25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 x14ac:dyDescent="0.25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 x14ac:dyDescent="0.25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 x14ac:dyDescent="0.25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 x14ac:dyDescent="0.25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 x14ac:dyDescent="0.25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 x14ac:dyDescent="0.25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 x14ac:dyDescent="0.25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 x14ac:dyDescent="0.25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 x14ac:dyDescent="0.25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 x14ac:dyDescent="0.25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 x14ac:dyDescent="0.25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 x14ac:dyDescent="0.25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 x14ac:dyDescent="0.25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 x14ac:dyDescent="0.25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 x14ac:dyDescent="0.25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 x14ac:dyDescent="0.25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 x14ac:dyDescent="0.25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 x14ac:dyDescent="0.25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 x14ac:dyDescent="0.25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 x14ac:dyDescent="0.25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 x14ac:dyDescent="0.25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 x14ac:dyDescent="0.25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 x14ac:dyDescent="0.25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 x14ac:dyDescent="0.25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 x14ac:dyDescent="0.25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 x14ac:dyDescent="0.25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 x14ac:dyDescent="0.25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 x14ac:dyDescent="0.25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 x14ac:dyDescent="0.25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 x14ac:dyDescent="0.25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 x14ac:dyDescent="0.25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 x14ac:dyDescent="0.25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 x14ac:dyDescent="0.25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 x14ac:dyDescent="0.25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 x14ac:dyDescent="0.25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 x14ac:dyDescent="0.25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 x14ac:dyDescent="0.25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 x14ac:dyDescent="0.25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 x14ac:dyDescent="0.25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 x14ac:dyDescent="0.25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 x14ac:dyDescent="0.25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 x14ac:dyDescent="0.25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 x14ac:dyDescent="0.25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 x14ac:dyDescent="0.25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 x14ac:dyDescent="0.25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 x14ac:dyDescent="0.25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 x14ac:dyDescent="0.25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 x14ac:dyDescent="0.25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 x14ac:dyDescent="0.25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 x14ac:dyDescent="0.25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 x14ac:dyDescent="0.25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 x14ac:dyDescent="0.25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 x14ac:dyDescent="0.25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 x14ac:dyDescent="0.25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 x14ac:dyDescent="0.25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 x14ac:dyDescent="0.25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 x14ac:dyDescent="0.25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 x14ac:dyDescent="0.25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 x14ac:dyDescent="0.25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 x14ac:dyDescent="0.25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 x14ac:dyDescent="0.25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 x14ac:dyDescent="0.25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 x14ac:dyDescent="0.25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 x14ac:dyDescent="0.25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 x14ac:dyDescent="0.25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 x14ac:dyDescent="0.25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 x14ac:dyDescent="0.25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 x14ac:dyDescent="0.25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 x14ac:dyDescent="0.25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 x14ac:dyDescent="0.25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 x14ac:dyDescent="0.25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 x14ac:dyDescent="0.25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 x14ac:dyDescent="0.25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 x14ac:dyDescent="0.25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 x14ac:dyDescent="0.25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 x14ac:dyDescent="0.25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 x14ac:dyDescent="0.25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 x14ac:dyDescent="0.25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 x14ac:dyDescent="0.25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 x14ac:dyDescent="0.25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 x14ac:dyDescent="0.25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 x14ac:dyDescent="0.25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 x14ac:dyDescent="0.25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 x14ac:dyDescent="0.25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 x14ac:dyDescent="0.25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 x14ac:dyDescent="0.25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 x14ac:dyDescent="0.25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 x14ac:dyDescent="0.25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 x14ac:dyDescent="0.25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 x14ac:dyDescent="0.25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 x14ac:dyDescent="0.25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 x14ac:dyDescent="0.25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 x14ac:dyDescent="0.25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 x14ac:dyDescent="0.25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 x14ac:dyDescent="0.25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 x14ac:dyDescent="0.25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 x14ac:dyDescent="0.25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 x14ac:dyDescent="0.25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 x14ac:dyDescent="0.25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 x14ac:dyDescent="0.25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 x14ac:dyDescent="0.25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 x14ac:dyDescent="0.25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 x14ac:dyDescent="0.25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 x14ac:dyDescent="0.25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 x14ac:dyDescent="0.25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 x14ac:dyDescent="0.25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 x14ac:dyDescent="0.25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 x14ac:dyDescent="0.25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 x14ac:dyDescent="0.25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 x14ac:dyDescent="0.25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 x14ac:dyDescent="0.25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 x14ac:dyDescent="0.25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 x14ac:dyDescent="0.25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 x14ac:dyDescent="0.25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 x14ac:dyDescent="0.25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 x14ac:dyDescent="0.25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 x14ac:dyDescent="0.25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 x14ac:dyDescent="0.25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 x14ac:dyDescent="0.25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 x14ac:dyDescent="0.25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 x14ac:dyDescent="0.25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 x14ac:dyDescent="0.25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 x14ac:dyDescent="0.25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 x14ac:dyDescent="0.25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 x14ac:dyDescent="0.25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 x14ac:dyDescent="0.25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 x14ac:dyDescent="0.25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 x14ac:dyDescent="0.25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 x14ac:dyDescent="0.25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 x14ac:dyDescent="0.25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 x14ac:dyDescent="0.25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 x14ac:dyDescent="0.25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 x14ac:dyDescent="0.25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 x14ac:dyDescent="0.25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 x14ac:dyDescent="0.25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 x14ac:dyDescent="0.25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 x14ac:dyDescent="0.25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 x14ac:dyDescent="0.25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 x14ac:dyDescent="0.25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 x14ac:dyDescent="0.25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 x14ac:dyDescent="0.25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 x14ac:dyDescent="0.25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 x14ac:dyDescent="0.25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 x14ac:dyDescent="0.25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 x14ac:dyDescent="0.25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 x14ac:dyDescent="0.25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 x14ac:dyDescent="0.25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 x14ac:dyDescent="0.25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 x14ac:dyDescent="0.25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 x14ac:dyDescent="0.25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 x14ac:dyDescent="0.25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 x14ac:dyDescent="0.25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 x14ac:dyDescent="0.25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 x14ac:dyDescent="0.25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 x14ac:dyDescent="0.25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 x14ac:dyDescent="0.25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 x14ac:dyDescent="0.25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 x14ac:dyDescent="0.25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 x14ac:dyDescent="0.25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 x14ac:dyDescent="0.25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 x14ac:dyDescent="0.25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 x14ac:dyDescent="0.25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 x14ac:dyDescent="0.25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 x14ac:dyDescent="0.25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 x14ac:dyDescent="0.25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 x14ac:dyDescent="0.25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 x14ac:dyDescent="0.25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 x14ac:dyDescent="0.25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 x14ac:dyDescent="0.25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 x14ac:dyDescent="0.25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 x14ac:dyDescent="0.25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 x14ac:dyDescent="0.25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 x14ac:dyDescent="0.25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 x14ac:dyDescent="0.25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 x14ac:dyDescent="0.25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 x14ac:dyDescent="0.25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 x14ac:dyDescent="0.25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 x14ac:dyDescent="0.25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 x14ac:dyDescent="0.25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 x14ac:dyDescent="0.25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 x14ac:dyDescent="0.25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 x14ac:dyDescent="0.25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 x14ac:dyDescent="0.25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 x14ac:dyDescent="0.25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 x14ac:dyDescent="0.25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 x14ac:dyDescent="0.25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 x14ac:dyDescent="0.25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 x14ac:dyDescent="0.25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 x14ac:dyDescent="0.25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 x14ac:dyDescent="0.25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 x14ac:dyDescent="0.25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 x14ac:dyDescent="0.25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 x14ac:dyDescent="0.25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 x14ac:dyDescent="0.25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 x14ac:dyDescent="0.25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 x14ac:dyDescent="0.25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 x14ac:dyDescent="0.25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 x14ac:dyDescent="0.25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 x14ac:dyDescent="0.25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 x14ac:dyDescent="0.25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 x14ac:dyDescent="0.25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 x14ac:dyDescent="0.25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 x14ac:dyDescent="0.25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 x14ac:dyDescent="0.25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 x14ac:dyDescent="0.25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 x14ac:dyDescent="0.25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 x14ac:dyDescent="0.25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 x14ac:dyDescent="0.25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 x14ac:dyDescent="0.25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 x14ac:dyDescent="0.25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 x14ac:dyDescent="0.25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 x14ac:dyDescent="0.25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 x14ac:dyDescent="0.25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 x14ac:dyDescent="0.25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 x14ac:dyDescent="0.25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 x14ac:dyDescent="0.25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 x14ac:dyDescent="0.25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 x14ac:dyDescent="0.25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 x14ac:dyDescent="0.25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 x14ac:dyDescent="0.25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 x14ac:dyDescent="0.25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 x14ac:dyDescent="0.25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 x14ac:dyDescent="0.25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 x14ac:dyDescent="0.25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 x14ac:dyDescent="0.25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 x14ac:dyDescent="0.25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 x14ac:dyDescent="0.25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 x14ac:dyDescent="0.25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 x14ac:dyDescent="0.25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 x14ac:dyDescent="0.25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 x14ac:dyDescent="0.25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 x14ac:dyDescent="0.25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 x14ac:dyDescent="0.25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 x14ac:dyDescent="0.25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 x14ac:dyDescent="0.25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 x14ac:dyDescent="0.25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 x14ac:dyDescent="0.25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 x14ac:dyDescent="0.25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 x14ac:dyDescent="0.25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 x14ac:dyDescent="0.25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 x14ac:dyDescent="0.25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 x14ac:dyDescent="0.25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 x14ac:dyDescent="0.25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 x14ac:dyDescent="0.25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 x14ac:dyDescent="0.25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 x14ac:dyDescent="0.25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 x14ac:dyDescent="0.25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 x14ac:dyDescent="0.25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 x14ac:dyDescent="0.25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 x14ac:dyDescent="0.25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 x14ac:dyDescent="0.25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 x14ac:dyDescent="0.25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 x14ac:dyDescent="0.25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 x14ac:dyDescent="0.25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 x14ac:dyDescent="0.25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 x14ac:dyDescent="0.25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 x14ac:dyDescent="0.25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 x14ac:dyDescent="0.25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 x14ac:dyDescent="0.25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 x14ac:dyDescent="0.25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 x14ac:dyDescent="0.25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 x14ac:dyDescent="0.25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 x14ac:dyDescent="0.25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 x14ac:dyDescent="0.25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 x14ac:dyDescent="0.25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 x14ac:dyDescent="0.25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 x14ac:dyDescent="0.25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 x14ac:dyDescent="0.25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 x14ac:dyDescent="0.25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 x14ac:dyDescent="0.25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 x14ac:dyDescent="0.25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 x14ac:dyDescent="0.25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 x14ac:dyDescent="0.25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 x14ac:dyDescent="0.25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 x14ac:dyDescent="0.25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 x14ac:dyDescent="0.25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 x14ac:dyDescent="0.25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 x14ac:dyDescent="0.25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 x14ac:dyDescent="0.25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 x14ac:dyDescent="0.25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 x14ac:dyDescent="0.25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 x14ac:dyDescent="0.25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 x14ac:dyDescent="0.25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 x14ac:dyDescent="0.25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 x14ac:dyDescent="0.25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 x14ac:dyDescent="0.25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 x14ac:dyDescent="0.25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 x14ac:dyDescent="0.25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 x14ac:dyDescent="0.25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 x14ac:dyDescent="0.25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 x14ac:dyDescent="0.25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 x14ac:dyDescent="0.25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 x14ac:dyDescent="0.25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 x14ac:dyDescent="0.25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 x14ac:dyDescent="0.25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 x14ac:dyDescent="0.25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 x14ac:dyDescent="0.25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 x14ac:dyDescent="0.25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 x14ac:dyDescent="0.25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 x14ac:dyDescent="0.25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 x14ac:dyDescent="0.25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 x14ac:dyDescent="0.25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 x14ac:dyDescent="0.25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 x14ac:dyDescent="0.25">
      <c r="F2260" t="s">
        <v>12144</v>
      </c>
      <c r="G2260">
        <v>2257</v>
      </c>
      <c r="H2260" t="s">
        <v>6198</v>
      </c>
      <c r="I2260" t="s">
        <v>24561</v>
      </c>
      <c r="J2260" t="s">
        <v>12145</v>
      </c>
    </row>
    <row r="2261" spans="6:10" x14ac:dyDescent="0.25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 x14ac:dyDescent="0.25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 x14ac:dyDescent="0.25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 x14ac:dyDescent="0.25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 x14ac:dyDescent="0.25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 x14ac:dyDescent="0.25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 x14ac:dyDescent="0.25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 x14ac:dyDescent="0.25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 x14ac:dyDescent="0.25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 x14ac:dyDescent="0.25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 x14ac:dyDescent="0.25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 x14ac:dyDescent="0.25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 x14ac:dyDescent="0.25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 x14ac:dyDescent="0.25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 x14ac:dyDescent="0.25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 x14ac:dyDescent="0.25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 x14ac:dyDescent="0.25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 x14ac:dyDescent="0.25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 x14ac:dyDescent="0.25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 x14ac:dyDescent="0.25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 x14ac:dyDescent="0.25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 x14ac:dyDescent="0.25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 x14ac:dyDescent="0.25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 x14ac:dyDescent="0.25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 x14ac:dyDescent="0.25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 x14ac:dyDescent="0.25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 x14ac:dyDescent="0.25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 x14ac:dyDescent="0.25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 x14ac:dyDescent="0.25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 x14ac:dyDescent="0.25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 x14ac:dyDescent="0.25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 x14ac:dyDescent="0.25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 x14ac:dyDescent="0.25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 x14ac:dyDescent="0.25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 x14ac:dyDescent="0.25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 x14ac:dyDescent="0.25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 x14ac:dyDescent="0.25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 x14ac:dyDescent="0.25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 x14ac:dyDescent="0.25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 x14ac:dyDescent="0.25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 x14ac:dyDescent="0.25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 x14ac:dyDescent="0.25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 x14ac:dyDescent="0.25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 x14ac:dyDescent="0.25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 x14ac:dyDescent="0.25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 x14ac:dyDescent="0.25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 x14ac:dyDescent="0.25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 x14ac:dyDescent="0.25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 x14ac:dyDescent="0.25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 x14ac:dyDescent="0.25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 x14ac:dyDescent="0.25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 x14ac:dyDescent="0.25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 x14ac:dyDescent="0.25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 x14ac:dyDescent="0.25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 x14ac:dyDescent="0.25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 x14ac:dyDescent="0.25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 x14ac:dyDescent="0.25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 x14ac:dyDescent="0.25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 x14ac:dyDescent="0.25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 x14ac:dyDescent="0.25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 x14ac:dyDescent="0.25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 x14ac:dyDescent="0.25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 x14ac:dyDescent="0.25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 x14ac:dyDescent="0.25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 x14ac:dyDescent="0.25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 x14ac:dyDescent="0.25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 x14ac:dyDescent="0.25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 x14ac:dyDescent="0.25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 x14ac:dyDescent="0.25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 x14ac:dyDescent="0.25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 x14ac:dyDescent="0.25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 x14ac:dyDescent="0.25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 x14ac:dyDescent="0.25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 x14ac:dyDescent="0.25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 x14ac:dyDescent="0.25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 x14ac:dyDescent="0.25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 x14ac:dyDescent="0.25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 x14ac:dyDescent="0.25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 x14ac:dyDescent="0.25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 x14ac:dyDescent="0.25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 x14ac:dyDescent="0.25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 x14ac:dyDescent="0.25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 x14ac:dyDescent="0.25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 x14ac:dyDescent="0.25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 x14ac:dyDescent="0.25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 x14ac:dyDescent="0.25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 x14ac:dyDescent="0.25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 x14ac:dyDescent="0.25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 x14ac:dyDescent="0.25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 x14ac:dyDescent="0.25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 x14ac:dyDescent="0.25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 x14ac:dyDescent="0.25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 x14ac:dyDescent="0.25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 x14ac:dyDescent="0.25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 x14ac:dyDescent="0.25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 x14ac:dyDescent="0.25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 x14ac:dyDescent="0.25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 x14ac:dyDescent="0.25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 x14ac:dyDescent="0.25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 x14ac:dyDescent="0.25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 x14ac:dyDescent="0.25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 x14ac:dyDescent="0.25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 x14ac:dyDescent="0.25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 x14ac:dyDescent="0.25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 x14ac:dyDescent="0.25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 x14ac:dyDescent="0.25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 x14ac:dyDescent="0.25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 x14ac:dyDescent="0.25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 x14ac:dyDescent="0.25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 x14ac:dyDescent="0.25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 x14ac:dyDescent="0.25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 x14ac:dyDescent="0.25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 x14ac:dyDescent="0.25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 x14ac:dyDescent="0.25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 x14ac:dyDescent="0.25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 x14ac:dyDescent="0.25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 x14ac:dyDescent="0.25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 x14ac:dyDescent="0.25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 x14ac:dyDescent="0.25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 x14ac:dyDescent="0.25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 x14ac:dyDescent="0.25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 x14ac:dyDescent="0.25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 x14ac:dyDescent="0.25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 x14ac:dyDescent="0.25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 x14ac:dyDescent="0.25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 x14ac:dyDescent="0.25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 x14ac:dyDescent="0.25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 x14ac:dyDescent="0.25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 x14ac:dyDescent="0.25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 x14ac:dyDescent="0.25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 x14ac:dyDescent="0.25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 x14ac:dyDescent="0.25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 x14ac:dyDescent="0.25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 x14ac:dyDescent="0.25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 x14ac:dyDescent="0.25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 x14ac:dyDescent="0.25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 x14ac:dyDescent="0.25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 x14ac:dyDescent="0.25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 x14ac:dyDescent="0.25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 x14ac:dyDescent="0.25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 x14ac:dyDescent="0.25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 x14ac:dyDescent="0.25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 x14ac:dyDescent="0.25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 x14ac:dyDescent="0.25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 x14ac:dyDescent="0.25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 x14ac:dyDescent="0.25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 x14ac:dyDescent="0.25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 x14ac:dyDescent="0.25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 x14ac:dyDescent="0.25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 x14ac:dyDescent="0.25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 x14ac:dyDescent="0.25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 x14ac:dyDescent="0.25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 x14ac:dyDescent="0.25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 x14ac:dyDescent="0.25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 x14ac:dyDescent="0.25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 x14ac:dyDescent="0.25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 x14ac:dyDescent="0.25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 x14ac:dyDescent="0.25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 x14ac:dyDescent="0.25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 x14ac:dyDescent="0.25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 x14ac:dyDescent="0.25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 x14ac:dyDescent="0.25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 x14ac:dyDescent="0.25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 x14ac:dyDescent="0.25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 x14ac:dyDescent="0.25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 x14ac:dyDescent="0.25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 x14ac:dyDescent="0.25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 x14ac:dyDescent="0.25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 x14ac:dyDescent="0.25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 x14ac:dyDescent="0.25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 x14ac:dyDescent="0.25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 x14ac:dyDescent="0.25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 x14ac:dyDescent="0.25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 x14ac:dyDescent="0.25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 x14ac:dyDescent="0.25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 x14ac:dyDescent="0.25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 x14ac:dyDescent="0.25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 x14ac:dyDescent="0.25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 x14ac:dyDescent="0.25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 x14ac:dyDescent="0.25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 x14ac:dyDescent="0.25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 x14ac:dyDescent="0.25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 x14ac:dyDescent="0.25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 x14ac:dyDescent="0.25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 x14ac:dyDescent="0.25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 x14ac:dyDescent="0.25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 x14ac:dyDescent="0.25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 x14ac:dyDescent="0.25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 x14ac:dyDescent="0.25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 x14ac:dyDescent="0.25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 x14ac:dyDescent="0.25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 x14ac:dyDescent="0.25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 x14ac:dyDescent="0.25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 x14ac:dyDescent="0.25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 x14ac:dyDescent="0.25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 x14ac:dyDescent="0.25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 x14ac:dyDescent="0.25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 x14ac:dyDescent="0.25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 x14ac:dyDescent="0.25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 x14ac:dyDescent="0.25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 x14ac:dyDescent="0.25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 x14ac:dyDescent="0.25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 x14ac:dyDescent="0.25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 x14ac:dyDescent="0.25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 x14ac:dyDescent="0.25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 x14ac:dyDescent="0.25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 x14ac:dyDescent="0.25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 x14ac:dyDescent="0.25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 x14ac:dyDescent="0.25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 x14ac:dyDescent="0.25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 x14ac:dyDescent="0.25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 x14ac:dyDescent="0.25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 x14ac:dyDescent="0.25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 x14ac:dyDescent="0.25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 x14ac:dyDescent="0.25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 x14ac:dyDescent="0.25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 x14ac:dyDescent="0.25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 x14ac:dyDescent="0.25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 x14ac:dyDescent="0.25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 x14ac:dyDescent="0.25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 x14ac:dyDescent="0.25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 x14ac:dyDescent="0.25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 x14ac:dyDescent="0.25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 x14ac:dyDescent="0.25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 x14ac:dyDescent="0.25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 x14ac:dyDescent="0.25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 x14ac:dyDescent="0.25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 x14ac:dyDescent="0.25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 x14ac:dyDescent="0.25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 x14ac:dyDescent="0.25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 x14ac:dyDescent="0.25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 x14ac:dyDescent="0.25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 x14ac:dyDescent="0.25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 x14ac:dyDescent="0.25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 x14ac:dyDescent="0.25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 x14ac:dyDescent="0.25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 x14ac:dyDescent="0.25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 x14ac:dyDescent="0.25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 x14ac:dyDescent="0.25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 x14ac:dyDescent="0.25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 x14ac:dyDescent="0.25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 x14ac:dyDescent="0.25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 x14ac:dyDescent="0.25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 x14ac:dyDescent="0.25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 x14ac:dyDescent="0.25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 x14ac:dyDescent="0.25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 x14ac:dyDescent="0.25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 x14ac:dyDescent="0.25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 x14ac:dyDescent="0.25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 x14ac:dyDescent="0.25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 x14ac:dyDescent="0.25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 x14ac:dyDescent="0.25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 x14ac:dyDescent="0.25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 x14ac:dyDescent="0.25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 x14ac:dyDescent="0.25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 x14ac:dyDescent="0.25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 x14ac:dyDescent="0.25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 x14ac:dyDescent="0.25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 x14ac:dyDescent="0.25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 x14ac:dyDescent="0.25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 x14ac:dyDescent="0.25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 x14ac:dyDescent="0.25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 x14ac:dyDescent="0.25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 x14ac:dyDescent="0.25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 x14ac:dyDescent="0.25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 x14ac:dyDescent="0.25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 x14ac:dyDescent="0.25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 x14ac:dyDescent="0.25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 x14ac:dyDescent="0.25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 x14ac:dyDescent="0.25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 x14ac:dyDescent="0.25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 x14ac:dyDescent="0.25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 x14ac:dyDescent="0.25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 x14ac:dyDescent="0.25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 x14ac:dyDescent="0.25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 x14ac:dyDescent="0.25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 x14ac:dyDescent="0.25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 x14ac:dyDescent="0.25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 x14ac:dyDescent="0.25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 x14ac:dyDescent="0.25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 x14ac:dyDescent="0.25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 x14ac:dyDescent="0.25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 x14ac:dyDescent="0.25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 x14ac:dyDescent="0.25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 x14ac:dyDescent="0.25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 x14ac:dyDescent="0.25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 x14ac:dyDescent="0.25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 x14ac:dyDescent="0.25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 x14ac:dyDescent="0.25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 x14ac:dyDescent="0.25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 x14ac:dyDescent="0.25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 x14ac:dyDescent="0.25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 x14ac:dyDescent="0.25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 x14ac:dyDescent="0.25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 x14ac:dyDescent="0.25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 x14ac:dyDescent="0.25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 x14ac:dyDescent="0.25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 x14ac:dyDescent="0.25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 x14ac:dyDescent="0.25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 x14ac:dyDescent="0.25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 x14ac:dyDescent="0.25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 x14ac:dyDescent="0.25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 x14ac:dyDescent="0.25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 x14ac:dyDescent="0.25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 x14ac:dyDescent="0.25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 x14ac:dyDescent="0.25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 x14ac:dyDescent="0.25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 x14ac:dyDescent="0.25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 x14ac:dyDescent="0.25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 x14ac:dyDescent="0.25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 x14ac:dyDescent="0.25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 x14ac:dyDescent="0.25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 x14ac:dyDescent="0.25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 x14ac:dyDescent="0.25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 x14ac:dyDescent="0.25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 x14ac:dyDescent="0.25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 x14ac:dyDescent="0.25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 x14ac:dyDescent="0.25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 x14ac:dyDescent="0.25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 x14ac:dyDescent="0.25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 x14ac:dyDescent="0.25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 x14ac:dyDescent="0.25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 x14ac:dyDescent="0.25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 x14ac:dyDescent="0.25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 x14ac:dyDescent="0.25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 x14ac:dyDescent="0.25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 x14ac:dyDescent="0.25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 x14ac:dyDescent="0.25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 x14ac:dyDescent="0.25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 x14ac:dyDescent="0.25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 x14ac:dyDescent="0.25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 x14ac:dyDescent="0.25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 x14ac:dyDescent="0.25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 x14ac:dyDescent="0.25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 x14ac:dyDescent="0.25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 x14ac:dyDescent="0.25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 x14ac:dyDescent="0.25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 x14ac:dyDescent="0.25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 x14ac:dyDescent="0.25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 x14ac:dyDescent="0.25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 x14ac:dyDescent="0.25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 x14ac:dyDescent="0.25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 x14ac:dyDescent="0.25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 x14ac:dyDescent="0.25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 x14ac:dyDescent="0.25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 x14ac:dyDescent="0.25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 x14ac:dyDescent="0.25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 x14ac:dyDescent="0.25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 x14ac:dyDescent="0.25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 x14ac:dyDescent="0.25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 x14ac:dyDescent="0.25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 x14ac:dyDescent="0.25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 x14ac:dyDescent="0.25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 x14ac:dyDescent="0.25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 x14ac:dyDescent="0.25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 x14ac:dyDescent="0.25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 x14ac:dyDescent="0.25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 x14ac:dyDescent="0.25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 x14ac:dyDescent="0.25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 x14ac:dyDescent="0.25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 x14ac:dyDescent="0.25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 x14ac:dyDescent="0.25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 x14ac:dyDescent="0.25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 x14ac:dyDescent="0.25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 x14ac:dyDescent="0.25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 x14ac:dyDescent="0.25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 x14ac:dyDescent="0.25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 x14ac:dyDescent="0.25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 x14ac:dyDescent="0.25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 x14ac:dyDescent="0.25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 x14ac:dyDescent="0.25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 x14ac:dyDescent="0.25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 x14ac:dyDescent="0.25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 x14ac:dyDescent="0.25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 x14ac:dyDescent="0.25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 x14ac:dyDescent="0.25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 x14ac:dyDescent="0.25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 x14ac:dyDescent="0.25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 x14ac:dyDescent="0.25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 x14ac:dyDescent="0.25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 x14ac:dyDescent="0.25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 x14ac:dyDescent="0.25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 x14ac:dyDescent="0.25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 x14ac:dyDescent="0.25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 x14ac:dyDescent="0.25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 x14ac:dyDescent="0.25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 x14ac:dyDescent="0.25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 x14ac:dyDescent="0.25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 x14ac:dyDescent="0.25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 x14ac:dyDescent="0.25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 x14ac:dyDescent="0.25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 x14ac:dyDescent="0.25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 x14ac:dyDescent="0.25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 x14ac:dyDescent="0.25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 x14ac:dyDescent="0.25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 x14ac:dyDescent="0.25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 x14ac:dyDescent="0.25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 x14ac:dyDescent="0.25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 x14ac:dyDescent="0.25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 x14ac:dyDescent="0.25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 x14ac:dyDescent="0.25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 x14ac:dyDescent="0.25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 x14ac:dyDescent="0.25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 x14ac:dyDescent="0.25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 x14ac:dyDescent="0.25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 x14ac:dyDescent="0.25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 x14ac:dyDescent="0.25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 x14ac:dyDescent="0.25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 x14ac:dyDescent="0.25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 x14ac:dyDescent="0.25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 x14ac:dyDescent="0.25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 x14ac:dyDescent="0.25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 x14ac:dyDescent="0.25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 x14ac:dyDescent="0.25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 x14ac:dyDescent="0.25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 x14ac:dyDescent="0.25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 x14ac:dyDescent="0.25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 x14ac:dyDescent="0.25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 x14ac:dyDescent="0.25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 x14ac:dyDescent="0.25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 x14ac:dyDescent="0.25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 x14ac:dyDescent="0.25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 x14ac:dyDescent="0.25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 x14ac:dyDescent="0.25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 x14ac:dyDescent="0.25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 x14ac:dyDescent="0.25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 x14ac:dyDescent="0.25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 x14ac:dyDescent="0.25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 x14ac:dyDescent="0.25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 x14ac:dyDescent="0.25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 x14ac:dyDescent="0.25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 x14ac:dyDescent="0.25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 x14ac:dyDescent="0.25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 x14ac:dyDescent="0.25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 x14ac:dyDescent="0.25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 x14ac:dyDescent="0.25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 x14ac:dyDescent="0.25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 x14ac:dyDescent="0.25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 x14ac:dyDescent="0.25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 x14ac:dyDescent="0.25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 x14ac:dyDescent="0.25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 x14ac:dyDescent="0.25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 x14ac:dyDescent="0.25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 x14ac:dyDescent="0.25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 x14ac:dyDescent="0.25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 x14ac:dyDescent="0.25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 x14ac:dyDescent="0.25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 x14ac:dyDescent="0.25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 x14ac:dyDescent="0.25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 x14ac:dyDescent="0.25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 x14ac:dyDescent="0.25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 x14ac:dyDescent="0.25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 x14ac:dyDescent="0.25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 x14ac:dyDescent="0.25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 x14ac:dyDescent="0.25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 x14ac:dyDescent="0.25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 x14ac:dyDescent="0.25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 x14ac:dyDescent="0.25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 x14ac:dyDescent="0.25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 x14ac:dyDescent="0.25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 x14ac:dyDescent="0.25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 x14ac:dyDescent="0.25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 x14ac:dyDescent="0.25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 x14ac:dyDescent="0.25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 x14ac:dyDescent="0.25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 x14ac:dyDescent="0.25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 x14ac:dyDescent="0.25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 x14ac:dyDescent="0.25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 x14ac:dyDescent="0.25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 x14ac:dyDescent="0.25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 x14ac:dyDescent="0.25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 x14ac:dyDescent="0.25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 x14ac:dyDescent="0.25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 x14ac:dyDescent="0.25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 x14ac:dyDescent="0.25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 x14ac:dyDescent="0.25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 x14ac:dyDescent="0.25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 x14ac:dyDescent="0.25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 x14ac:dyDescent="0.25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 x14ac:dyDescent="0.25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 x14ac:dyDescent="0.25">
      <c r="F2741" t="s">
        <v>13503</v>
      </c>
      <c r="H2741" t="s">
        <v>1307</v>
      </c>
      <c r="I2741" t="s">
        <v>1306</v>
      </c>
      <c r="J2741" t="s">
        <v>13504</v>
      </c>
    </row>
    <row r="2742" spans="6:10" x14ac:dyDescent="0.25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 x14ac:dyDescent="0.25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 x14ac:dyDescent="0.25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 x14ac:dyDescent="0.25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 x14ac:dyDescent="0.25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 x14ac:dyDescent="0.25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 x14ac:dyDescent="0.25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 x14ac:dyDescent="0.25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 x14ac:dyDescent="0.25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 x14ac:dyDescent="0.25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 x14ac:dyDescent="0.25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 x14ac:dyDescent="0.25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 x14ac:dyDescent="0.25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 x14ac:dyDescent="0.25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 x14ac:dyDescent="0.25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 x14ac:dyDescent="0.25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 x14ac:dyDescent="0.25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 x14ac:dyDescent="0.25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 x14ac:dyDescent="0.25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 x14ac:dyDescent="0.25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 x14ac:dyDescent="0.25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 x14ac:dyDescent="0.25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 x14ac:dyDescent="0.25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 x14ac:dyDescent="0.25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 x14ac:dyDescent="0.25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 x14ac:dyDescent="0.25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 x14ac:dyDescent="0.25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 x14ac:dyDescent="0.25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 x14ac:dyDescent="0.25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 x14ac:dyDescent="0.25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 x14ac:dyDescent="0.25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 x14ac:dyDescent="0.25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 x14ac:dyDescent="0.25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 x14ac:dyDescent="0.25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 x14ac:dyDescent="0.25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 x14ac:dyDescent="0.25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 x14ac:dyDescent="0.25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 x14ac:dyDescent="0.25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 x14ac:dyDescent="0.25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 x14ac:dyDescent="0.25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 x14ac:dyDescent="0.25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 x14ac:dyDescent="0.25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 x14ac:dyDescent="0.25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 x14ac:dyDescent="0.25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 x14ac:dyDescent="0.25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 x14ac:dyDescent="0.25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 x14ac:dyDescent="0.25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 x14ac:dyDescent="0.25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 x14ac:dyDescent="0.25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 x14ac:dyDescent="0.25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 x14ac:dyDescent="0.25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 x14ac:dyDescent="0.25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 x14ac:dyDescent="0.25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 x14ac:dyDescent="0.25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 x14ac:dyDescent="0.25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 x14ac:dyDescent="0.25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 x14ac:dyDescent="0.25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 x14ac:dyDescent="0.25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 x14ac:dyDescent="0.25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 x14ac:dyDescent="0.25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 x14ac:dyDescent="0.25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 x14ac:dyDescent="0.25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 x14ac:dyDescent="0.25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 x14ac:dyDescent="0.25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 x14ac:dyDescent="0.25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 x14ac:dyDescent="0.25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 x14ac:dyDescent="0.25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 x14ac:dyDescent="0.25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 x14ac:dyDescent="0.25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 x14ac:dyDescent="0.25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 x14ac:dyDescent="0.25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 x14ac:dyDescent="0.25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 x14ac:dyDescent="0.25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 x14ac:dyDescent="0.25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 x14ac:dyDescent="0.25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 x14ac:dyDescent="0.25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 x14ac:dyDescent="0.25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 x14ac:dyDescent="0.25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 x14ac:dyDescent="0.25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 x14ac:dyDescent="0.25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 x14ac:dyDescent="0.25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 x14ac:dyDescent="0.25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 x14ac:dyDescent="0.25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 x14ac:dyDescent="0.25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 x14ac:dyDescent="0.25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 x14ac:dyDescent="0.25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 x14ac:dyDescent="0.25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 x14ac:dyDescent="0.25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 x14ac:dyDescent="0.25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 x14ac:dyDescent="0.25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 x14ac:dyDescent="0.25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 x14ac:dyDescent="0.25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 x14ac:dyDescent="0.25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 x14ac:dyDescent="0.25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 x14ac:dyDescent="0.25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 x14ac:dyDescent="0.25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 x14ac:dyDescent="0.25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 x14ac:dyDescent="0.25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 x14ac:dyDescent="0.25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 x14ac:dyDescent="0.25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 x14ac:dyDescent="0.25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 x14ac:dyDescent="0.25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 x14ac:dyDescent="0.25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 x14ac:dyDescent="0.25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 x14ac:dyDescent="0.25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 x14ac:dyDescent="0.25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 x14ac:dyDescent="0.25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 x14ac:dyDescent="0.25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 x14ac:dyDescent="0.25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 x14ac:dyDescent="0.25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 x14ac:dyDescent="0.25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 x14ac:dyDescent="0.25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 x14ac:dyDescent="0.25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 x14ac:dyDescent="0.25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 x14ac:dyDescent="0.25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 x14ac:dyDescent="0.25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 x14ac:dyDescent="0.25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 x14ac:dyDescent="0.25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 x14ac:dyDescent="0.25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 x14ac:dyDescent="0.25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 x14ac:dyDescent="0.25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 x14ac:dyDescent="0.25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 x14ac:dyDescent="0.25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 x14ac:dyDescent="0.25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 x14ac:dyDescent="0.25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 x14ac:dyDescent="0.25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 x14ac:dyDescent="0.25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 x14ac:dyDescent="0.25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 x14ac:dyDescent="0.25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 x14ac:dyDescent="0.25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 x14ac:dyDescent="0.25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 x14ac:dyDescent="0.25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 x14ac:dyDescent="0.25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 x14ac:dyDescent="0.25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 x14ac:dyDescent="0.25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 x14ac:dyDescent="0.25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 x14ac:dyDescent="0.25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 x14ac:dyDescent="0.25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 x14ac:dyDescent="0.25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 x14ac:dyDescent="0.25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 x14ac:dyDescent="0.25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 x14ac:dyDescent="0.25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 x14ac:dyDescent="0.25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 x14ac:dyDescent="0.25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 x14ac:dyDescent="0.25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 x14ac:dyDescent="0.25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 x14ac:dyDescent="0.25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 x14ac:dyDescent="0.25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 x14ac:dyDescent="0.25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 x14ac:dyDescent="0.25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 x14ac:dyDescent="0.25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 x14ac:dyDescent="0.25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 x14ac:dyDescent="0.25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 x14ac:dyDescent="0.25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 x14ac:dyDescent="0.25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 x14ac:dyDescent="0.25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 x14ac:dyDescent="0.25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 x14ac:dyDescent="0.25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 x14ac:dyDescent="0.25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 x14ac:dyDescent="0.25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 x14ac:dyDescent="0.25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 x14ac:dyDescent="0.25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 x14ac:dyDescent="0.25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 x14ac:dyDescent="0.25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 x14ac:dyDescent="0.25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 x14ac:dyDescent="0.25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 x14ac:dyDescent="0.25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 x14ac:dyDescent="0.25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 x14ac:dyDescent="0.25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 x14ac:dyDescent="0.25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 x14ac:dyDescent="0.25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 x14ac:dyDescent="0.25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 x14ac:dyDescent="0.25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 x14ac:dyDescent="0.25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 x14ac:dyDescent="0.25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 x14ac:dyDescent="0.25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 x14ac:dyDescent="0.25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 x14ac:dyDescent="0.25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 x14ac:dyDescent="0.25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 x14ac:dyDescent="0.25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 x14ac:dyDescent="0.25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 x14ac:dyDescent="0.25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 x14ac:dyDescent="0.25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 x14ac:dyDescent="0.25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 x14ac:dyDescent="0.25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 x14ac:dyDescent="0.25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 x14ac:dyDescent="0.25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 x14ac:dyDescent="0.25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 x14ac:dyDescent="0.25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 x14ac:dyDescent="0.25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 x14ac:dyDescent="0.25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 x14ac:dyDescent="0.25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 x14ac:dyDescent="0.25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 x14ac:dyDescent="0.25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 x14ac:dyDescent="0.25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 x14ac:dyDescent="0.25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 x14ac:dyDescent="0.25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 x14ac:dyDescent="0.25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 x14ac:dyDescent="0.25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 x14ac:dyDescent="0.25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 x14ac:dyDescent="0.25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 x14ac:dyDescent="0.25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 x14ac:dyDescent="0.25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 x14ac:dyDescent="0.25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 x14ac:dyDescent="0.25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 x14ac:dyDescent="0.25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 x14ac:dyDescent="0.25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 x14ac:dyDescent="0.25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 x14ac:dyDescent="0.25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 x14ac:dyDescent="0.25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 x14ac:dyDescent="0.25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 x14ac:dyDescent="0.25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 x14ac:dyDescent="0.25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 x14ac:dyDescent="0.25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 x14ac:dyDescent="0.25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 x14ac:dyDescent="0.25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 x14ac:dyDescent="0.25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 x14ac:dyDescent="0.25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 x14ac:dyDescent="0.25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 x14ac:dyDescent="0.25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 x14ac:dyDescent="0.25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 x14ac:dyDescent="0.25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 x14ac:dyDescent="0.25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 x14ac:dyDescent="0.25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 x14ac:dyDescent="0.25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 x14ac:dyDescent="0.25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 x14ac:dyDescent="0.25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 x14ac:dyDescent="0.25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 x14ac:dyDescent="0.25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 x14ac:dyDescent="0.25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 x14ac:dyDescent="0.25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 x14ac:dyDescent="0.25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 x14ac:dyDescent="0.25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 x14ac:dyDescent="0.25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 x14ac:dyDescent="0.25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 x14ac:dyDescent="0.25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 x14ac:dyDescent="0.25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 x14ac:dyDescent="0.25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 x14ac:dyDescent="0.25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 x14ac:dyDescent="0.25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 x14ac:dyDescent="0.25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 x14ac:dyDescent="0.25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 x14ac:dyDescent="0.25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 x14ac:dyDescent="0.25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 x14ac:dyDescent="0.25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 x14ac:dyDescent="0.25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 x14ac:dyDescent="0.25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 x14ac:dyDescent="0.25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 x14ac:dyDescent="0.25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 x14ac:dyDescent="0.25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 x14ac:dyDescent="0.25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 x14ac:dyDescent="0.25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 x14ac:dyDescent="0.25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 x14ac:dyDescent="0.25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 x14ac:dyDescent="0.25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 x14ac:dyDescent="0.25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 x14ac:dyDescent="0.25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 x14ac:dyDescent="0.25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 x14ac:dyDescent="0.25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 x14ac:dyDescent="0.25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 x14ac:dyDescent="0.25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 x14ac:dyDescent="0.25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 x14ac:dyDescent="0.25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 x14ac:dyDescent="0.25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 x14ac:dyDescent="0.25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 x14ac:dyDescent="0.25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 x14ac:dyDescent="0.25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 x14ac:dyDescent="0.25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 x14ac:dyDescent="0.25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 x14ac:dyDescent="0.25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 x14ac:dyDescent="0.25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 x14ac:dyDescent="0.25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 x14ac:dyDescent="0.25">
      <c r="F3014" t="s">
        <v>14309</v>
      </c>
      <c r="H3014" t="s">
        <v>5736</v>
      </c>
      <c r="I3014" t="s">
        <v>5737</v>
      </c>
      <c r="J3014" t="s">
        <v>14310</v>
      </c>
    </row>
    <row r="3015" spans="6:10" x14ac:dyDescent="0.25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 x14ac:dyDescent="0.25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 x14ac:dyDescent="0.25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 x14ac:dyDescent="0.25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 x14ac:dyDescent="0.25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 x14ac:dyDescent="0.25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 x14ac:dyDescent="0.25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 x14ac:dyDescent="0.25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 x14ac:dyDescent="0.25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 x14ac:dyDescent="0.25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 x14ac:dyDescent="0.25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 x14ac:dyDescent="0.25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 x14ac:dyDescent="0.25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 x14ac:dyDescent="0.25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 x14ac:dyDescent="0.25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 x14ac:dyDescent="0.25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 x14ac:dyDescent="0.25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 x14ac:dyDescent="0.25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 x14ac:dyDescent="0.25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 x14ac:dyDescent="0.25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 x14ac:dyDescent="0.25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 x14ac:dyDescent="0.25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 x14ac:dyDescent="0.25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 x14ac:dyDescent="0.25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 x14ac:dyDescent="0.25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 x14ac:dyDescent="0.25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 x14ac:dyDescent="0.25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 x14ac:dyDescent="0.25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 x14ac:dyDescent="0.25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 x14ac:dyDescent="0.25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 x14ac:dyDescent="0.25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 x14ac:dyDescent="0.25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 x14ac:dyDescent="0.25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 x14ac:dyDescent="0.25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 x14ac:dyDescent="0.25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 x14ac:dyDescent="0.25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 x14ac:dyDescent="0.25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 x14ac:dyDescent="0.25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 x14ac:dyDescent="0.25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 x14ac:dyDescent="0.25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 x14ac:dyDescent="0.25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 x14ac:dyDescent="0.25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 x14ac:dyDescent="0.25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 x14ac:dyDescent="0.25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 x14ac:dyDescent="0.25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 x14ac:dyDescent="0.25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 x14ac:dyDescent="0.25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 x14ac:dyDescent="0.25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 x14ac:dyDescent="0.25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 x14ac:dyDescent="0.25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 x14ac:dyDescent="0.25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 x14ac:dyDescent="0.25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 x14ac:dyDescent="0.25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 x14ac:dyDescent="0.25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 x14ac:dyDescent="0.25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 x14ac:dyDescent="0.25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 x14ac:dyDescent="0.25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 x14ac:dyDescent="0.25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 x14ac:dyDescent="0.25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 x14ac:dyDescent="0.25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 x14ac:dyDescent="0.25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 x14ac:dyDescent="0.25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 x14ac:dyDescent="0.25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 x14ac:dyDescent="0.25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 x14ac:dyDescent="0.25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 x14ac:dyDescent="0.25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 x14ac:dyDescent="0.25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 x14ac:dyDescent="0.25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 x14ac:dyDescent="0.25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 x14ac:dyDescent="0.25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 x14ac:dyDescent="0.25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 x14ac:dyDescent="0.25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 x14ac:dyDescent="0.25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 x14ac:dyDescent="0.25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 x14ac:dyDescent="0.25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 x14ac:dyDescent="0.25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 x14ac:dyDescent="0.25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 x14ac:dyDescent="0.25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 x14ac:dyDescent="0.25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 x14ac:dyDescent="0.25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 x14ac:dyDescent="0.25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 x14ac:dyDescent="0.25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 x14ac:dyDescent="0.25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 x14ac:dyDescent="0.25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 x14ac:dyDescent="0.25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 x14ac:dyDescent="0.25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 x14ac:dyDescent="0.25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 x14ac:dyDescent="0.25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 x14ac:dyDescent="0.25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 x14ac:dyDescent="0.25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 x14ac:dyDescent="0.25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 x14ac:dyDescent="0.25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 x14ac:dyDescent="0.25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 x14ac:dyDescent="0.25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 x14ac:dyDescent="0.25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 x14ac:dyDescent="0.25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 x14ac:dyDescent="0.25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 x14ac:dyDescent="0.25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 x14ac:dyDescent="0.25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 x14ac:dyDescent="0.25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 x14ac:dyDescent="0.25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 x14ac:dyDescent="0.25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 x14ac:dyDescent="0.25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 x14ac:dyDescent="0.25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 x14ac:dyDescent="0.25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 x14ac:dyDescent="0.25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 x14ac:dyDescent="0.25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 x14ac:dyDescent="0.25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 x14ac:dyDescent="0.25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 x14ac:dyDescent="0.25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 x14ac:dyDescent="0.25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 x14ac:dyDescent="0.25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 x14ac:dyDescent="0.25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 x14ac:dyDescent="0.25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 x14ac:dyDescent="0.25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 x14ac:dyDescent="0.25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 x14ac:dyDescent="0.25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 x14ac:dyDescent="0.25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 x14ac:dyDescent="0.25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 x14ac:dyDescent="0.25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 x14ac:dyDescent="0.25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 x14ac:dyDescent="0.25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 x14ac:dyDescent="0.25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 x14ac:dyDescent="0.25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 x14ac:dyDescent="0.25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 x14ac:dyDescent="0.25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 x14ac:dyDescent="0.25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 x14ac:dyDescent="0.25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 x14ac:dyDescent="0.25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 x14ac:dyDescent="0.25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 x14ac:dyDescent="0.25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 x14ac:dyDescent="0.25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 x14ac:dyDescent="0.25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 x14ac:dyDescent="0.25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 x14ac:dyDescent="0.25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 x14ac:dyDescent="0.25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 x14ac:dyDescent="0.25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 x14ac:dyDescent="0.25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 x14ac:dyDescent="0.25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 x14ac:dyDescent="0.25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 x14ac:dyDescent="0.25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 x14ac:dyDescent="0.25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 x14ac:dyDescent="0.25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 x14ac:dyDescent="0.25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 x14ac:dyDescent="0.25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 x14ac:dyDescent="0.25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 x14ac:dyDescent="0.25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 x14ac:dyDescent="0.25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 x14ac:dyDescent="0.25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 x14ac:dyDescent="0.25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 x14ac:dyDescent="0.25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 x14ac:dyDescent="0.25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 x14ac:dyDescent="0.25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 x14ac:dyDescent="0.25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 x14ac:dyDescent="0.25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 x14ac:dyDescent="0.25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 x14ac:dyDescent="0.25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 x14ac:dyDescent="0.25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 x14ac:dyDescent="0.25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 x14ac:dyDescent="0.25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 x14ac:dyDescent="0.25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 x14ac:dyDescent="0.25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 x14ac:dyDescent="0.25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 x14ac:dyDescent="0.25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 x14ac:dyDescent="0.25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 x14ac:dyDescent="0.25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 x14ac:dyDescent="0.25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 x14ac:dyDescent="0.25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 x14ac:dyDescent="0.25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 x14ac:dyDescent="0.25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 x14ac:dyDescent="0.25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 x14ac:dyDescent="0.25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 x14ac:dyDescent="0.25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 x14ac:dyDescent="0.25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 x14ac:dyDescent="0.25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 x14ac:dyDescent="0.25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 x14ac:dyDescent="0.25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 x14ac:dyDescent="0.25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 x14ac:dyDescent="0.25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 x14ac:dyDescent="0.25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 x14ac:dyDescent="0.25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 x14ac:dyDescent="0.25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 x14ac:dyDescent="0.25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 x14ac:dyDescent="0.25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 x14ac:dyDescent="0.25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 x14ac:dyDescent="0.25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 x14ac:dyDescent="0.25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 x14ac:dyDescent="0.25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 x14ac:dyDescent="0.25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 x14ac:dyDescent="0.25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 x14ac:dyDescent="0.25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 x14ac:dyDescent="0.25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 x14ac:dyDescent="0.25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 x14ac:dyDescent="0.25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 x14ac:dyDescent="0.25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 x14ac:dyDescent="0.25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 x14ac:dyDescent="0.25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 x14ac:dyDescent="0.25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 x14ac:dyDescent="0.25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 x14ac:dyDescent="0.25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 x14ac:dyDescent="0.25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 x14ac:dyDescent="0.25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 x14ac:dyDescent="0.25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 x14ac:dyDescent="0.25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 x14ac:dyDescent="0.25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 x14ac:dyDescent="0.25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 x14ac:dyDescent="0.25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 x14ac:dyDescent="0.25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 x14ac:dyDescent="0.25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 x14ac:dyDescent="0.25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 x14ac:dyDescent="0.25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 x14ac:dyDescent="0.25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 x14ac:dyDescent="0.25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 x14ac:dyDescent="0.25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 x14ac:dyDescent="0.25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 x14ac:dyDescent="0.25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 x14ac:dyDescent="0.25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 x14ac:dyDescent="0.25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 x14ac:dyDescent="0.25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 x14ac:dyDescent="0.25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 x14ac:dyDescent="0.25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 x14ac:dyDescent="0.25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 x14ac:dyDescent="0.25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 x14ac:dyDescent="0.25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 x14ac:dyDescent="0.25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 x14ac:dyDescent="0.25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 x14ac:dyDescent="0.25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 x14ac:dyDescent="0.25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 x14ac:dyDescent="0.25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 x14ac:dyDescent="0.25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 x14ac:dyDescent="0.25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 x14ac:dyDescent="0.25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 x14ac:dyDescent="0.25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 x14ac:dyDescent="0.25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 x14ac:dyDescent="0.25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 x14ac:dyDescent="0.25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 x14ac:dyDescent="0.25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 x14ac:dyDescent="0.25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 x14ac:dyDescent="0.25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 x14ac:dyDescent="0.25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 x14ac:dyDescent="0.25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 x14ac:dyDescent="0.25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 x14ac:dyDescent="0.25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 x14ac:dyDescent="0.25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 x14ac:dyDescent="0.25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 x14ac:dyDescent="0.25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 x14ac:dyDescent="0.25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 x14ac:dyDescent="0.25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 x14ac:dyDescent="0.25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 x14ac:dyDescent="0.25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 x14ac:dyDescent="0.25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 x14ac:dyDescent="0.25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 x14ac:dyDescent="0.25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 x14ac:dyDescent="0.25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 x14ac:dyDescent="0.25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 x14ac:dyDescent="0.25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 x14ac:dyDescent="0.25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 x14ac:dyDescent="0.25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 x14ac:dyDescent="0.25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 x14ac:dyDescent="0.25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 x14ac:dyDescent="0.25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 x14ac:dyDescent="0.25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 x14ac:dyDescent="0.25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 x14ac:dyDescent="0.25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 x14ac:dyDescent="0.25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 x14ac:dyDescent="0.25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 x14ac:dyDescent="0.25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 x14ac:dyDescent="0.25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 x14ac:dyDescent="0.25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 x14ac:dyDescent="0.25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 x14ac:dyDescent="0.25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 x14ac:dyDescent="0.25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 x14ac:dyDescent="0.25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 x14ac:dyDescent="0.25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 x14ac:dyDescent="0.25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 x14ac:dyDescent="0.25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 x14ac:dyDescent="0.25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 x14ac:dyDescent="0.25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 x14ac:dyDescent="0.25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 x14ac:dyDescent="0.25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 x14ac:dyDescent="0.25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 x14ac:dyDescent="0.25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 x14ac:dyDescent="0.25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 x14ac:dyDescent="0.25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 x14ac:dyDescent="0.25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 x14ac:dyDescent="0.25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 x14ac:dyDescent="0.25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 x14ac:dyDescent="0.25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 x14ac:dyDescent="0.25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 x14ac:dyDescent="0.25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 x14ac:dyDescent="0.25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 x14ac:dyDescent="0.25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 x14ac:dyDescent="0.25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 x14ac:dyDescent="0.25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 x14ac:dyDescent="0.25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 x14ac:dyDescent="0.25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 x14ac:dyDescent="0.25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 x14ac:dyDescent="0.25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 x14ac:dyDescent="0.25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 x14ac:dyDescent="0.25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 x14ac:dyDescent="0.25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 x14ac:dyDescent="0.25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 x14ac:dyDescent="0.25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 x14ac:dyDescent="0.25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 x14ac:dyDescent="0.25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 x14ac:dyDescent="0.25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 x14ac:dyDescent="0.25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 x14ac:dyDescent="0.25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 x14ac:dyDescent="0.25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 x14ac:dyDescent="0.25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 x14ac:dyDescent="0.25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 x14ac:dyDescent="0.25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 x14ac:dyDescent="0.25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 x14ac:dyDescent="0.25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 x14ac:dyDescent="0.25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 x14ac:dyDescent="0.25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 x14ac:dyDescent="0.25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 x14ac:dyDescent="0.25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 x14ac:dyDescent="0.25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 x14ac:dyDescent="0.25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 x14ac:dyDescent="0.25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 x14ac:dyDescent="0.25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 x14ac:dyDescent="0.25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 x14ac:dyDescent="0.25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 x14ac:dyDescent="0.25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 x14ac:dyDescent="0.25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 x14ac:dyDescent="0.25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 x14ac:dyDescent="0.25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 x14ac:dyDescent="0.25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 x14ac:dyDescent="0.25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 x14ac:dyDescent="0.25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 x14ac:dyDescent="0.25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 x14ac:dyDescent="0.25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 x14ac:dyDescent="0.25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 x14ac:dyDescent="0.25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 x14ac:dyDescent="0.25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 x14ac:dyDescent="0.25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 x14ac:dyDescent="0.25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 x14ac:dyDescent="0.25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 x14ac:dyDescent="0.25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 x14ac:dyDescent="0.25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 x14ac:dyDescent="0.25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 x14ac:dyDescent="0.25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 x14ac:dyDescent="0.25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 x14ac:dyDescent="0.25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 x14ac:dyDescent="0.25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 x14ac:dyDescent="0.25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 x14ac:dyDescent="0.25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 x14ac:dyDescent="0.25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 x14ac:dyDescent="0.25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 x14ac:dyDescent="0.25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 x14ac:dyDescent="0.25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 x14ac:dyDescent="0.25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 x14ac:dyDescent="0.25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 x14ac:dyDescent="0.25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 x14ac:dyDescent="0.25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 x14ac:dyDescent="0.25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 x14ac:dyDescent="0.25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 x14ac:dyDescent="0.25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 x14ac:dyDescent="0.25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 x14ac:dyDescent="0.25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 x14ac:dyDescent="0.25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 x14ac:dyDescent="0.25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 x14ac:dyDescent="0.25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 x14ac:dyDescent="0.25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 x14ac:dyDescent="0.25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 x14ac:dyDescent="0.25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 x14ac:dyDescent="0.25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 x14ac:dyDescent="0.25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 x14ac:dyDescent="0.25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 x14ac:dyDescent="0.25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 x14ac:dyDescent="0.25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 x14ac:dyDescent="0.25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 x14ac:dyDescent="0.25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 x14ac:dyDescent="0.25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 x14ac:dyDescent="0.25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 x14ac:dyDescent="0.25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 x14ac:dyDescent="0.25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 x14ac:dyDescent="0.25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 x14ac:dyDescent="0.25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 x14ac:dyDescent="0.25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 x14ac:dyDescent="0.25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 x14ac:dyDescent="0.25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 x14ac:dyDescent="0.25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 x14ac:dyDescent="0.25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 x14ac:dyDescent="0.25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 x14ac:dyDescent="0.25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 x14ac:dyDescent="0.25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 x14ac:dyDescent="0.25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 x14ac:dyDescent="0.25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 x14ac:dyDescent="0.25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 x14ac:dyDescent="0.25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 x14ac:dyDescent="0.25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 x14ac:dyDescent="0.25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 x14ac:dyDescent="0.25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 x14ac:dyDescent="0.25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 x14ac:dyDescent="0.25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 x14ac:dyDescent="0.25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 x14ac:dyDescent="0.25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 x14ac:dyDescent="0.25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 x14ac:dyDescent="0.25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 x14ac:dyDescent="0.25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 x14ac:dyDescent="0.25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 x14ac:dyDescent="0.25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 x14ac:dyDescent="0.25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 x14ac:dyDescent="0.25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 x14ac:dyDescent="0.25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 x14ac:dyDescent="0.25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 x14ac:dyDescent="0.25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 x14ac:dyDescent="0.25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 x14ac:dyDescent="0.25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 x14ac:dyDescent="0.25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 x14ac:dyDescent="0.25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 x14ac:dyDescent="0.25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 x14ac:dyDescent="0.25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 x14ac:dyDescent="0.25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 x14ac:dyDescent="0.25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 x14ac:dyDescent="0.25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 x14ac:dyDescent="0.25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 x14ac:dyDescent="0.25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 x14ac:dyDescent="0.25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 x14ac:dyDescent="0.25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 x14ac:dyDescent="0.25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 x14ac:dyDescent="0.25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 x14ac:dyDescent="0.25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 x14ac:dyDescent="0.25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 x14ac:dyDescent="0.25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 x14ac:dyDescent="0.25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 x14ac:dyDescent="0.25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 x14ac:dyDescent="0.25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 x14ac:dyDescent="0.25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 x14ac:dyDescent="0.25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 x14ac:dyDescent="0.25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 x14ac:dyDescent="0.25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 x14ac:dyDescent="0.25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 x14ac:dyDescent="0.25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 x14ac:dyDescent="0.25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 x14ac:dyDescent="0.25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 x14ac:dyDescent="0.25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 x14ac:dyDescent="0.25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 x14ac:dyDescent="0.25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 x14ac:dyDescent="0.25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 x14ac:dyDescent="0.25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 x14ac:dyDescent="0.25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 x14ac:dyDescent="0.25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 x14ac:dyDescent="0.25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 x14ac:dyDescent="0.25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 x14ac:dyDescent="0.25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 x14ac:dyDescent="0.25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 x14ac:dyDescent="0.25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 x14ac:dyDescent="0.25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 x14ac:dyDescent="0.25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 x14ac:dyDescent="0.25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 x14ac:dyDescent="0.25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 x14ac:dyDescent="0.25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 x14ac:dyDescent="0.25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 x14ac:dyDescent="0.25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 x14ac:dyDescent="0.25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 x14ac:dyDescent="0.25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 x14ac:dyDescent="0.25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 x14ac:dyDescent="0.25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 x14ac:dyDescent="0.25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 x14ac:dyDescent="0.25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 x14ac:dyDescent="0.25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 x14ac:dyDescent="0.25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 x14ac:dyDescent="0.25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 x14ac:dyDescent="0.25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 x14ac:dyDescent="0.25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 x14ac:dyDescent="0.25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 x14ac:dyDescent="0.25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 x14ac:dyDescent="0.25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 x14ac:dyDescent="0.25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 x14ac:dyDescent="0.25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 x14ac:dyDescent="0.25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 x14ac:dyDescent="0.25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 x14ac:dyDescent="0.25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 x14ac:dyDescent="0.25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 x14ac:dyDescent="0.25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 x14ac:dyDescent="0.25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 x14ac:dyDescent="0.25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 x14ac:dyDescent="0.25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 x14ac:dyDescent="0.25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 x14ac:dyDescent="0.25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 x14ac:dyDescent="0.25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 x14ac:dyDescent="0.25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 x14ac:dyDescent="0.25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 x14ac:dyDescent="0.25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 x14ac:dyDescent="0.25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 x14ac:dyDescent="0.25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 x14ac:dyDescent="0.25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 x14ac:dyDescent="0.25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 x14ac:dyDescent="0.25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 x14ac:dyDescent="0.25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 x14ac:dyDescent="0.25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 x14ac:dyDescent="0.25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 x14ac:dyDescent="0.25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 x14ac:dyDescent="0.25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 x14ac:dyDescent="0.25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 x14ac:dyDescent="0.25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 x14ac:dyDescent="0.25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 x14ac:dyDescent="0.25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 x14ac:dyDescent="0.25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 x14ac:dyDescent="0.25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 x14ac:dyDescent="0.25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 x14ac:dyDescent="0.25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 x14ac:dyDescent="0.25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 x14ac:dyDescent="0.25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 x14ac:dyDescent="0.25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 x14ac:dyDescent="0.25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 x14ac:dyDescent="0.25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 x14ac:dyDescent="0.25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 x14ac:dyDescent="0.25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 x14ac:dyDescent="0.25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 x14ac:dyDescent="0.25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 x14ac:dyDescent="0.25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 x14ac:dyDescent="0.25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 x14ac:dyDescent="0.25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 x14ac:dyDescent="0.25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 x14ac:dyDescent="0.25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 x14ac:dyDescent="0.25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 x14ac:dyDescent="0.25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 x14ac:dyDescent="0.25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 x14ac:dyDescent="0.25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 x14ac:dyDescent="0.25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 x14ac:dyDescent="0.25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 x14ac:dyDescent="0.25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 x14ac:dyDescent="0.25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 x14ac:dyDescent="0.25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 x14ac:dyDescent="0.25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 x14ac:dyDescent="0.25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 x14ac:dyDescent="0.25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 x14ac:dyDescent="0.25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 x14ac:dyDescent="0.25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 x14ac:dyDescent="0.25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 x14ac:dyDescent="0.25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 x14ac:dyDescent="0.25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 x14ac:dyDescent="0.25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 x14ac:dyDescent="0.25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 x14ac:dyDescent="0.25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 x14ac:dyDescent="0.25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 x14ac:dyDescent="0.25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 x14ac:dyDescent="0.25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 x14ac:dyDescent="0.25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 x14ac:dyDescent="0.25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 x14ac:dyDescent="0.25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 x14ac:dyDescent="0.25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 x14ac:dyDescent="0.25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 x14ac:dyDescent="0.25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 x14ac:dyDescent="0.25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 x14ac:dyDescent="0.25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 x14ac:dyDescent="0.25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 x14ac:dyDescent="0.25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 x14ac:dyDescent="0.25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 x14ac:dyDescent="0.25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 x14ac:dyDescent="0.25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 x14ac:dyDescent="0.25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 x14ac:dyDescent="0.25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 x14ac:dyDescent="0.25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 x14ac:dyDescent="0.25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 x14ac:dyDescent="0.25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 x14ac:dyDescent="0.25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 x14ac:dyDescent="0.25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 x14ac:dyDescent="0.25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 x14ac:dyDescent="0.25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 x14ac:dyDescent="0.25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 x14ac:dyDescent="0.25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 x14ac:dyDescent="0.25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 x14ac:dyDescent="0.25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 x14ac:dyDescent="0.25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 x14ac:dyDescent="0.25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 x14ac:dyDescent="0.25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 x14ac:dyDescent="0.25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 x14ac:dyDescent="0.25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 x14ac:dyDescent="0.25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 x14ac:dyDescent="0.25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 x14ac:dyDescent="0.25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 x14ac:dyDescent="0.25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 x14ac:dyDescent="0.25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 x14ac:dyDescent="0.25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 x14ac:dyDescent="0.25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 x14ac:dyDescent="0.25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 x14ac:dyDescent="0.25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 x14ac:dyDescent="0.25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 x14ac:dyDescent="0.25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 x14ac:dyDescent="0.25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 x14ac:dyDescent="0.25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 x14ac:dyDescent="0.25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 x14ac:dyDescent="0.25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 x14ac:dyDescent="0.25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 x14ac:dyDescent="0.25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 x14ac:dyDescent="0.25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 x14ac:dyDescent="0.25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 x14ac:dyDescent="0.25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 x14ac:dyDescent="0.25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 x14ac:dyDescent="0.25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 x14ac:dyDescent="0.25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 x14ac:dyDescent="0.25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 x14ac:dyDescent="0.25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 x14ac:dyDescent="0.25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 x14ac:dyDescent="0.25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 x14ac:dyDescent="0.25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 x14ac:dyDescent="0.25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 x14ac:dyDescent="0.25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 x14ac:dyDescent="0.25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 x14ac:dyDescent="0.25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 x14ac:dyDescent="0.25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 x14ac:dyDescent="0.25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 x14ac:dyDescent="0.25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 x14ac:dyDescent="0.25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 x14ac:dyDescent="0.25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 x14ac:dyDescent="0.25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 x14ac:dyDescent="0.25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 x14ac:dyDescent="0.25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 x14ac:dyDescent="0.25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 x14ac:dyDescent="0.25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 x14ac:dyDescent="0.25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 x14ac:dyDescent="0.25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 x14ac:dyDescent="0.25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 x14ac:dyDescent="0.25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 x14ac:dyDescent="0.25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 x14ac:dyDescent="0.25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 x14ac:dyDescent="0.25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 x14ac:dyDescent="0.25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 x14ac:dyDescent="0.25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 x14ac:dyDescent="0.25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 x14ac:dyDescent="0.25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 x14ac:dyDescent="0.25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 x14ac:dyDescent="0.25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 x14ac:dyDescent="0.25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 x14ac:dyDescent="0.25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 x14ac:dyDescent="0.25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 x14ac:dyDescent="0.25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 x14ac:dyDescent="0.25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 x14ac:dyDescent="0.25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 x14ac:dyDescent="0.25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 x14ac:dyDescent="0.25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 x14ac:dyDescent="0.25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 x14ac:dyDescent="0.25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 x14ac:dyDescent="0.25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 x14ac:dyDescent="0.25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 x14ac:dyDescent="0.25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 x14ac:dyDescent="0.25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 x14ac:dyDescent="0.25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 x14ac:dyDescent="0.25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 x14ac:dyDescent="0.25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 x14ac:dyDescent="0.25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 x14ac:dyDescent="0.25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 x14ac:dyDescent="0.25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 x14ac:dyDescent="0.25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 x14ac:dyDescent="0.25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 x14ac:dyDescent="0.25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 x14ac:dyDescent="0.25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 x14ac:dyDescent="0.25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 x14ac:dyDescent="0.25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 x14ac:dyDescent="0.25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 x14ac:dyDescent="0.25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 x14ac:dyDescent="0.25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 x14ac:dyDescent="0.25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 x14ac:dyDescent="0.25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 x14ac:dyDescent="0.25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 x14ac:dyDescent="0.25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 x14ac:dyDescent="0.25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 x14ac:dyDescent="0.25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 x14ac:dyDescent="0.25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 x14ac:dyDescent="0.25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 x14ac:dyDescent="0.25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 x14ac:dyDescent="0.25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 x14ac:dyDescent="0.25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 x14ac:dyDescent="0.25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 x14ac:dyDescent="0.25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 x14ac:dyDescent="0.25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 x14ac:dyDescent="0.25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 x14ac:dyDescent="0.25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 x14ac:dyDescent="0.25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 x14ac:dyDescent="0.25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 x14ac:dyDescent="0.25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 x14ac:dyDescent="0.25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 x14ac:dyDescent="0.25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 x14ac:dyDescent="0.25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 x14ac:dyDescent="0.25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 x14ac:dyDescent="0.25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 x14ac:dyDescent="0.25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 x14ac:dyDescent="0.25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 x14ac:dyDescent="0.25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 x14ac:dyDescent="0.25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 x14ac:dyDescent="0.25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 x14ac:dyDescent="0.25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 x14ac:dyDescent="0.25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 x14ac:dyDescent="0.25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 x14ac:dyDescent="0.25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 x14ac:dyDescent="0.25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 x14ac:dyDescent="0.25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 x14ac:dyDescent="0.25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 x14ac:dyDescent="0.25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 x14ac:dyDescent="0.25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 x14ac:dyDescent="0.25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 x14ac:dyDescent="0.25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 x14ac:dyDescent="0.25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 x14ac:dyDescent="0.25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 x14ac:dyDescent="0.25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 x14ac:dyDescent="0.25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 x14ac:dyDescent="0.25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 x14ac:dyDescent="0.25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 x14ac:dyDescent="0.25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 x14ac:dyDescent="0.25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 x14ac:dyDescent="0.25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 x14ac:dyDescent="0.25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 x14ac:dyDescent="0.25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 x14ac:dyDescent="0.25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 x14ac:dyDescent="0.25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 x14ac:dyDescent="0.25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 x14ac:dyDescent="0.25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 x14ac:dyDescent="0.25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 x14ac:dyDescent="0.25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 x14ac:dyDescent="0.25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 x14ac:dyDescent="0.25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 x14ac:dyDescent="0.25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 x14ac:dyDescent="0.25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 x14ac:dyDescent="0.25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 x14ac:dyDescent="0.25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 x14ac:dyDescent="0.25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 x14ac:dyDescent="0.25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 x14ac:dyDescent="0.25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 x14ac:dyDescent="0.25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 x14ac:dyDescent="0.25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 x14ac:dyDescent="0.25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 x14ac:dyDescent="0.25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 x14ac:dyDescent="0.25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 x14ac:dyDescent="0.25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 x14ac:dyDescent="0.25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 x14ac:dyDescent="0.25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 x14ac:dyDescent="0.25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 x14ac:dyDescent="0.25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 x14ac:dyDescent="0.25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 x14ac:dyDescent="0.25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 x14ac:dyDescent="0.25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 x14ac:dyDescent="0.25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 x14ac:dyDescent="0.25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 x14ac:dyDescent="0.25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 x14ac:dyDescent="0.25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 x14ac:dyDescent="0.25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 x14ac:dyDescent="0.25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 x14ac:dyDescent="0.25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 x14ac:dyDescent="0.25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 x14ac:dyDescent="0.25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 x14ac:dyDescent="0.25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 x14ac:dyDescent="0.25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 x14ac:dyDescent="0.25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 x14ac:dyDescent="0.25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 x14ac:dyDescent="0.25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 x14ac:dyDescent="0.25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 x14ac:dyDescent="0.25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 x14ac:dyDescent="0.25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 x14ac:dyDescent="0.25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 x14ac:dyDescent="0.25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 x14ac:dyDescent="0.25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 x14ac:dyDescent="0.25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 x14ac:dyDescent="0.25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 x14ac:dyDescent="0.25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 x14ac:dyDescent="0.25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 x14ac:dyDescent="0.25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 x14ac:dyDescent="0.25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 x14ac:dyDescent="0.25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 x14ac:dyDescent="0.25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 x14ac:dyDescent="0.25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 x14ac:dyDescent="0.25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 x14ac:dyDescent="0.25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 x14ac:dyDescent="0.25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 x14ac:dyDescent="0.25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 x14ac:dyDescent="0.25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 x14ac:dyDescent="0.25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 x14ac:dyDescent="0.25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 x14ac:dyDescent="0.25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 x14ac:dyDescent="0.25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 x14ac:dyDescent="0.25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 x14ac:dyDescent="0.25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 x14ac:dyDescent="0.25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 x14ac:dyDescent="0.25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 x14ac:dyDescent="0.25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 x14ac:dyDescent="0.25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 x14ac:dyDescent="0.25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 x14ac:dyDescent="0.25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 x14ac:dyDescent="0.25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 x14ac:dyDescent="0.25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 x14ac:dyDescent="0.25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 x14ac:dyDescent="0.25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 x14ac:dyDescent="0.25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 x14ac:dyDescent="0.25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 x14ac:dyDescent="0.25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 x14ac:dyDescent="0.25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 x14ac:dyDescent="0.25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 x14ac:dyDescent="0.25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 x14ac:dyDescent="0.25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 x14ac:dyDescent="0.25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 x14ac:dyDescent="0.25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 x14ac:dyDescent="0.25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 x14ac:dyDescent="0.25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 x14ac:dyDescent="0.25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 x14ac:dyDescent="0.25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 x14ac:dyDescent="0.25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 x14ac:dyDescent="0.25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 x14ac:dyDescent="0.25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 x14ac:dyDescent="0.25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 x14ac:dyDescent="0.25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 x14ac:dyDescent="0.25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 x14ac:dyDescent="0.25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 x14ac:dyDescent="0.25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 x14ac:dyDescent="0.25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 x14ac:dyDescent="0.25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 x14ac:dyDescent="0.25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 x14ac:dyDescent="0.25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 x14ac:dyDescent="0.25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 x14ac:dyDescent="0.25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 x14ac:dyDescent="0.25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 x14ac:dyDescent="0.25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 x14ac:dyDescent="0.25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 x14ac:dyDescent="0.25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 x14ac:dyDescent="0.25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 x14ac:dyDescent="0.25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 x14ac:dyDescent="0.25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 x14ac:dyDescent="0.25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 x14ac:dyDescent="0.25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 x14ac:dyDescent="0.25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 x14ac:dyDescent="0.25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 x14ac:dyDescent="0.25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 x14ac:dyDescent="0.25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 x14ac:dyDescent="0.25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 x14ac:dyDescent="0.25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 x14ac:dyDescent="0.25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 x14ac:dyDescent="0.25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 x14ac:dyDescent="0.25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 x14ac:dyDescent="0.25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 x14ac:dyDescent="0.25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 x14ac:dyDescent="0.25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 x14ac:dyDescent="0.25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 x14ac:dyDescent="0.25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 x14ac:dyDescent="0.25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 x14ac:dyDescent="0.25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 x14ac:dyDescent="0.25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 x14ac:dyDescent="0.25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 x14ac:dyDescent="0.25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 x14ac:dyDescent="0.25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 x14ac:dyDescent="0.25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 x14ac:dyDescent="0.25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 x14ac:dyDescent="0.25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 x14ac:dyDescent="0.25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 x14ac:dyDescent="0.25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 x14ac:dyDescent="0.25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 x14ac:dyDescent="0.25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 x14ac:dyDescent="0.25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 x14ac:dyDescent="0.25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 x14ac:dyDescent="0.25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 x14ac:dyDescent="0.25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 x14ac:dyDescent="0.25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 x14ac:dyDescent="0.25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 x14ac:dyDescent="0.25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 x14ac:dyDescent="0.25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 x14ac:dyDescent="0.25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 x14ac:dyDescent="0.25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 x14ac:dyDescent="0.25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 x14ac:dyDescent="0.25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 x14ac:dyDescent="0.25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 x14ac:dyDescent="0.25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 x14ac:dyDescent="0.25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 x14ac:dyDescent="0.25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 x14ac:dyDescent="0.25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 x14ac:dyDescent="0.25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 x14ac:dyDescent="0.25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 x14ac:dyDescent="0.25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 x14ac:dyDescent="0.25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 x14ac:dyDescent="0.25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 x14ac:dyDescent="0.25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 x14ac:dyDescent="0.25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 x14ac:dyDescent="0.25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 x14ac:dyDescent="0.25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 x14ac:dyDescent="0.25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 x14ac:dyDescent="0.25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 x14ac:dyDescent="0.25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 x14ac:dyDescent="0.25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 x14ac:dyDescent="0.25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 x14ac:dyDescent="0.25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 x14ac:dyDescent="0.25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 x14ac:dyDescent="0.25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 x14ac:dyDescent="0.25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 x14ac:dyDescent="0.25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 x14ac:dyDescent="0.25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 x14ac:dyDescent="0.25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 x14ac:dyDescent="0.25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 x14ac:dyDescent="0.25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 x14ac:dyDescent="0.25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 x14ac:dyDescent="0.25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 x14ac:dyDescent="0.25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 x14ac:dyDescent="0.25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 x14ac:dyDescent="0.25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 x14ac:dyDescent="0.25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 x14ac:dyDescent="0.25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 x14ac:dyDescent="0.25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 x14ac:dyDescent="0.25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 x14ac:dyDescent="0.25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 x14ac:dyDescent="0.25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 x14ac:dyDescent="0.25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 x14ac:dyDescent="0.25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 x14ac:dyDescent="0.25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 x14ac:dyDescent="0.25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 x14ac:dyDescent="0.25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 x14ac:dyDescent="0.25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 x14ac:dyDescent="0.25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 x14ac:dyDescent="0.25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 x14ac:dyDescent="0.25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 x14ac:dyDescent="0.25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 x14ac:dyDescent="0.25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 x14ac:dyDescent="0.25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 x14ac:dyDescent="0.25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 x14ac:dyDescent="0.25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 x14ac:dyDescent="0.25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 x14ac:dyDescent="0.25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 x14ac:dyDescent="0.25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 x14ac:dyDescent="0.25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 x14ac:dyDescent="0.25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 x14ac:dyDescent="0.25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 x14ac:dyDescent="0.25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 x14ac:dyDescent="0.25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 x14ac:dyDescent="0.25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 x14ac:dyDescent="0.25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 x14ac:dyDescent="0.25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 x14ac:dyDescent="0.25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 x14ac:dyDescent="0.25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 x14ac:dyDescent="0.25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 x14ac:dyDescent="0.25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 x14ac:dyDescent="0.25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 x14ac:dyDescent="0.25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 x14ac:dyDescent="0.25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 x14ac:dyDescent="0.25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 x14ac:dyDescent="0.25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 x14ac:dyDescent="0.25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 x14ac:dyDescent="0.25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 x14ac:dyDescent="0.25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 x14ac:dyDescent="0.25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 x14ac:dyDescent="0.25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 x14ac:dyDescent="0.25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 x14ac:dyDescent="0.25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 x14ac:dyDescent="0.25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 x14ac:dyDescent="0.25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 x14ac:dyDescent="0.25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 x14ac:dyDescent="0.25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 x14ac:dyDescent="0.25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 x14ac:dyDescent="0.25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 x14ac:dyDescent="0.25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 x14ac:dyDescent="0.25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 x14ac:dyDescent="0.25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 x14ac:dyDescent="0.25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 x14ac:dyDescent="0.25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 x14ac:dyDescent="0.25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 x14ac:dyDescent="0.25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 x14ac:dyDescent="0.25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 x14ac:dyDescent="0.25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 x14ac:dyDescent="0.25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 x14ac:dyDescent="0.25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 x14ac:dyDescent="0.25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 x14ac:dyDescent="0.25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 x14ac:dyDescent="0.25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 x14ac:dyDescent="0.25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 x14ac:dyDescent="0.25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 x14ac:dyDescent="0.25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 x14ac:dyDescent="0.25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 x14ac:dyDescent="0.25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 x14ac:dyDescent="0.25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 x14ac:dyDescent="0.25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 x14ac:dyDescent="0.25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 x14ac:dyDescent="0.25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 x14ac:dyDescent="0.25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 x14ac:dyDescent="0.25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 x14ac:dyDescent="0.25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 x14ac:dyDescent="0.25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 x14ac:dyDescent="0.25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 x14ac:dyDescent="0.25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 x14ac:dyDescent="0.25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 x14ac:dyDescent="0.25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 x14ac:dyDescent="0.25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 x14ac:dyDescent="0.25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 x14ac:dyDescent="0.25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 x14ac:dyDescent="0.25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 x14ac:dyDescent="0.25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 x14ac:dyDescent="0.25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 x14ac:dyDescent="0.25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 x14ac:dyDescent="0.25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 x14ac:dyDescent="0.25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 x14ac:dyDescent="0.25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 x14ac:dyDescent="0.25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 x14ac:dyDescent="0.25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 x14ac:dyDescent="0.25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 x14ac:dyDescent="0.25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 x14ac:dyDescent="0.25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 x14ac:dyDescent="0.25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 x14ac:dyDescent="0.25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 x14ac:dyDescent="0.25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 x14ac:dyDescent="0.25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 x14ac:dyDescent="0.25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 x14ac:dyDescent="0.25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 x14ac:dyDescent="0.25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 x14ac:dyDescent="0.25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 x14ac:dyDescent="0.25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 x14ac:dyDescent="0.25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 x14ac:dyDescent="0.25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 x14ac:dyDescent="0.25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 x14ac:dyDescent="0.25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 x14ac:dyDescent="0.25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 x14ac:dyDescent="0.25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 x14ac:dyDescent="0.25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 x14ac:dyDescent="0.25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 x14ac:dyDescent="0.25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 x14ac:dyDescent="0.25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 x14ac:dyDescent="0.25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 x14ac:dyDescent="0.25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 x14ac:dyDescent="0.25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 x14ac:dyDescent="0.25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 x14ac:dyDescent="0.25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 x14ac:dyDescent="0.25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 x14ac:dyDescent="0.25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 x14ac:dyDescent="0.25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 x14ac:dyDescent="0.25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 x14ac:dyDescent="0.25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 x14ac:dyDescent="0.25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 x14ac:dyDescent="0.25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 x14ac:dyDescent="0.25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 x14ac:dyDescent="0.25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 x14ac:dyDescent="0.25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 x14ac:dyDescent="0.25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 x14ac:dyDescent="0.25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 x14ac:dyDescent="0.25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 x14ac:dyDescent="0.25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 x14ac:dyDescent="0.25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 x14ac:dyDescent="0.25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 x14ac:dyDescent="0.25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 x14ac:dyDescent="0.25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 x14ac:dyDescent="0.25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 x14ac:dyDescent="0.25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 x14ac:dyDescent="0.25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 x14ac:dyDescent="0.25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 x14ac:dyDescent="0.25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 x14ac:dyDescent="0.25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 x14ac:dyDescent="0.25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 x14ac:dyDescent="0.25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 x14ac:dyDescent="0.25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 x14ac:dyDescent="0.25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 x14ac:dyDescent="0.25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 x14ac:dyDescent="0.25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 x14ac:dyDescent="0.25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 x14ac:dyDescent="0.25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 x14ac:dyDescent="0.25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 x14ac:dyDescent="0.25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 x14ac:dyDescent="0.25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 x14ac:dyDescent="0.25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 x14ac:dyDescent="0.25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 x14ac:dyDescent="0.25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 x14ac:dyDescent="0.25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 x14ac:dyDescent="0.25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 x14ac:dyDescent="0.25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 x14ac:dyDescent="0.25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 x14ac:dyDescent="0.25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 x14ac:dyDescent="0.25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 x14ac:dyDescent="0.25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 x14ac:dyDescent="0.25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 x14ac:dyDescent="0.25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 x14ac:dyDescent="0.25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 x14ac:dyDescent="0.25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 x14ac:dyDescent="0.25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 x14ac:dyDescent="0.25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 x14ac:dyDescent="0.25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 x14ac:dyDescent="0.25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 x14ac:dyDescent="0.25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 x14ac:dyDescent="0.25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 x14ac:dyDescent="0.25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 x14ac:dyDescent="0.25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 x14ac:dyDescent="0.25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 x14ac:dyDescent="0.25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 x14ac:dyDescent="0.25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 x14ac:dyDescent="0.25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 x14ac:dyDescent="0.25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 x14ac:dyDescent="0.25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 x14ac:dyDescent="0.25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 x14ac:dyDescent="0.25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 x14ac:dyDescent="0.25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 x14ac:dyDescent="0.25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 x14ac:dyDescent="0.25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 x14ac:dyDescent="0.25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 x14ac:dyDescent="0.25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 x14ac:dyDescent="0.25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 x14ac:dyDescent="0.25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 x14ac:dyDescent="0.25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 x14ac:dyDescent="0.25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 x14ac:dyDescent="0.25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 x14ac:dyDescent="0.25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 x14ac:dyDescent="0.25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 x14ac:dyDescent="0.25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 x14ac:dyDescent="0.25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 x14ac:dyDescent="0.25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 x14ac:dyDescent="0.25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 x14ac:dyDescent="0.25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 x14ac:dyDescent="0.25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 x14ac:dyDescent="0.25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 x14ac:dyDescent="0.25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 x14ac:dyDescent="0.25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 x14ac:dyDescent="0.25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 x14ac:dyDescent="0.25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 x14ac:dyDescent="0.25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 x14ac:dyDescent="0.25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 x14ac:dyDescent="0.25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 x14ac:dyDescent="0.25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 x14ac:dyDescent="0.25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 x14ac:dyDescent="0.25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 x14ac:dyDescent="0.25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 x14ac:dyDescent="0.25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 x14ac:dyDescent="0.25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 x14ac:dyDescent="0.25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 x14ac:dyDescent="0.25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 x14ac:dyDescent="0.25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 x14ac:dyDescent="0.25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 x14ac:dyDescent="0.25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 x14ac:dyDescent="0.25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 x14ac:dyDescent="0.25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 x14ac:dyDescent="0.25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 x14ac:dyDescent="0.25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 x14ac:dyDescent="0.25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 x14ac:dyDescent="0.25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 x14ac:dyDescent="0.25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 x14ac:dyDescent="0.25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 x14ac:dyDescent="0.25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 x14ac:dyDescent="0.25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 x14ac:dyDescent="0.25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 x14ac:dyDescent="0.25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 x14ac:dyDescent="0.25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 x14ac:dyDescent="0.25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 x14ac:dyDescent="0.25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 x14ac:dyDescent="0.25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 x14ac:dyDescent="0.25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 x14ac:dyDescent="0.25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 x14ac:dyDescent="0.25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 x14ac:dyDescent="0.25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 x14ac:dyDescent="0.25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 x14ac:dyDescent="0.25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 x14ac:dyDescent="0.25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 x14ac:dyDescent="0.25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 x14ac:dyDescent="0.25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 x14ac:dyDescent="0.25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 x14ac:dyDescent="0.25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 x14ac:dyDescent="0.25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 x14ac:dyDescent="0.25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 x14ac:dyDescent="0.25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 x14ac:dyDescent="0.25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 x14ac:dyDescent="0.25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 x14ac:dyDescent="0.25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 x14ac:dyDescent="0.25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 x14ac:dyDescent="0.25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 x14ac:dyDescent="0.25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 x14ac:dyDescent="0.25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 x14ac:dyDescent="0.25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 x14ac:dyDescent="0.25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 x14ac:dyDescent="0.25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 x14ac:dyDescent="0.25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 x14ac:dyDescent="0.25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 x14ac:dyDescent="0.25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 x14ac:dyDescent="0.25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 x14ac:dyDescent="0.25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 x14ac:dyDescent="0.25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 x14ac:dyDescent="0.25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 x14ac:dyDescent="0.25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 x14ac:dyDescent="0.25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 x14ac:dyDescent="0.25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 x14ac:dyDescent="0.25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 x14ac:dyDescent="0.25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 x14ac:dyDescent="0.25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 x14ac:dyDescent="0.25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 x14ac:dyDescent="0.25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 x14ac:dyDescent="0.25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 x14ac:dyDescent="0.25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 x14ac:dyDescent="0.25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 x14ac:dyDescent="0.25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 x14ac:dyDescent="0.25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 x14ac:dyDescent="0.25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 x14ac:dyDescent="0.25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 x14ac:dyDescent="0.25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 x14ac:dyDescent="0.25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 x14ac:dyDescent="0.25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 x14ac:dyDescent="0.25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 x14ac:dyDescent="0.25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 x14ac:dyDescent="0.25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 x14ac:dyDescent="0.25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 x14ac:dyDescent="0.25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 x14ac:dyDescent="0.25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 x14ac:dyDescent="0.25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 x14ac:dyDescent="0.25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 x14ac:dyDescent="0.25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 x14ac:dyDescent="0.25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 x14ac:dyDescent="0.25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 x14ac:dyDescent="0.25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 x14ac:dyDescent="0.25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 x14ac:dyDescent="0.25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 x14ac:dyDescent="0.25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 x14ac:dyDescent="0.25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 x14ac:dyDescent="0.25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 x14ac:dyDescent="0.25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 x14ac:dyDescent="0.25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 x14ac:dyDescent="0.25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 x14ac:dyDescent="0.25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 x14ac:dyDescent="0.25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 x14ac:dyDescent="0.25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 x14ac:dyDescent="0.25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 x14ac:dyDescent="0.25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 x14ac:dyDescent="0.25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 x14ac:dyDescent="0.25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 x14ac:dyDescent="0.25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 x14ac:dyDescent="0.25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 x14ac:dyDescent="0.25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 x14ac:dyDescent="0.25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 x14ac:dyDescent="0.25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 x14ac:dyDescent="0.25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 x14ac:dyDescent="0.25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 x14ac:dyDescent="0.25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 x14ac:dyDescent="0.25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 x14ac:dyDescent="0.25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 x14ac:dyDescent="0.25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 x14ac:dyDescent="0.25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 x14ac:dyDescent="0.25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 x14ac:dyDescent="0.25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 x14ac:dyDescent="0.25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 x14ac:dyDescent="0.25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 x14ac:dyDescent="0.25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 x14ac:dyDescent="0.25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 x14ac:dyDescent="0.25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 x14ac:dyDescent="0.25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 x14ac:dyDescent="0.25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 x14ac:dyDescent="0.25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 x14ac:dyDescent="0.25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 x14ac:dyDescent="0.25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 x14ac:dyDescent="0.25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 x14ac:dyDescent="0.25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 x14ac:dyDescent="0.25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 x14ac:dyDescent="0.25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 x14ac:dyDescent="0.25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 x14ac:dyDescent="0.25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 x14ac:dyDescent="0.25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 x14ac:dyDescent="0.25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 x14ac:dyDescent="0.25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 x14ac:dyDescent="0.25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 x14ac:dyDescent="0.25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 x14ac:dyDescent="0.25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 x14ac:dyDescent="0.25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 x14ac:dyDescent="0.25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 x14ac:dyDescent="0.25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 x14ac:dyDescent="0.25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 x14ac:dyDescent="0.25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 x14ac:dyDescent="0.25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 x14ac:dyDescent="0.25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 x14ac:dyDescent="0.25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 x14ac:dyDescent="0.25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 x14ac:dyDescent="0.25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 x14ac:dyDescent="0.25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 x14ac:dyDescent="0.25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 x14ac:dyDescent="0.25">
      <c r="F4274" t="s">
        <v>17459</v>
      </c>
      <c r="G4274">
        <v>4271</v>
      </c>
      <c r="H4274" t="s">
        <v>24562</v>
      </c>
      <c r="I4274" t="s">
        <v>24563</v>
      </c>
      <c r="J4274" t="s">
        <v>17460</v>
      </c>
    </row>
    <row r="4275" spans="6:10" x14ac:dyDescent="0.25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 x14ac:dyDescent="0.25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 x14ac:dyDescent="0.25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 x14ac:dyDescent="0.25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 x14ac:dyDescent="0.25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 x14ac:dyDescent="0.25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 x14ac:dyDescent="0.25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 x14ac:dyDescent="0.25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 x14ac:dyDescent="0.25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 x14ac:dyDescent="0.25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 x14ac:dyDescent="0.25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 x14ac:dyDescent="0.25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 x14ac:dyDescent="0.25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 x14ac:dyDescent="0.25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 x14ac:dyDescent="0.25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 x14ac:dyDescent="0.25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 x14ac:dyDescent="0.25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 x14ac:dyDescent="0.25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 x14ac:dyDescent="0.25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 x14ac:dyDescent="0.25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 x14ac:dyDescent="0.25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 x14ac:dyDescent="0.25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 x14ac:dyDescent="0.25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 x14ac:dyDescent="0.25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 x14ac:dyDescent="0.25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 x14ac:dyDescent="0.25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 x14ac:dyDescent="0.25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 x14ac:dyDescent="0.25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 x14ac:dyDescent="0.25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 x14ac:dyDescent="0.25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 x14ac:dyDescent="0.25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 x14ac:dyDescent="0.25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 x14ac:dyDescent="0.25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 x14ac:dyDescent="0.25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 x14ac:dyDescent="0.25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 x14ac:dyDescent="0.25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 x14ac:dyDescent="0.25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 x14ac:dyDescent="0.25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 x14ac:dyDescent="0.25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 x14ac:dyDescent="0.25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 x14ac:dyDescent="0.25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 x14ac:dyDescent="0.25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 x14ac:dyDescent="0.25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 x14ac:dyDescent="0.25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 x14ac:dyDescent="0.25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 x14ac:dyDescent="0.25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 x14ac:dyDescent="0.25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 x14ac:dyDescent="0.25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 x14ac:dyDescent="0.25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 x14ac:dyDescent="0.25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 x14ac:dyDescent="0.25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 x14ac:dyDescent="0.25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 x14ac:dyDescent="0.25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 x14ac:dyDescent="0.25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 x14ac:dyDescent="0.25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 x14ac:dyDescent="0.25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 x14ac:dyDescent="0.25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 x14ac:dyDescent="0.25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 x14ac:dyDescent="0.25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 x14ac:dyDescent="0.25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 x14ac:dyDescent="0.25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 x14ac:dyDescent="0.25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 x14ac:dyDescent="0.25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 x14ac:dyDescent="0.25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 x14ac:dyDescent="0.25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 x14ac:dyDescent="0.25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 x14ac:dyDescent="0.25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 x14ac:dyDescent="0.25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 x14ac:dyDescent="0.25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 x14ac:dyDescent="0.25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 x14ac:dyDescent="0.25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 x14ac:dyDescent="0.25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 x14ac:dyDescent="0.25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 x14ac:dyDescent="0.25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 x14ac:dyDescent="0.25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 x14ac:dyDescent="0.25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 x14ac:dyDescent="0.25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 x14ac:dyDescent="0.25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 x14ac:dyDescent="0.25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 x14ac:dyDescent="0.25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 x14ac:dyDescent="0.25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 x14ac:dyDescent="0.25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 x14ac:dyDescent="0.25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 x14ac:dyDescent="0.25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 x14ac:dyDescent="0.25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 x14ac:dyDescent="0.25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 x14ac:dyDescent="0.25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 x14ac:dyDescent="0.25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 x14ac:dyDescent="0.25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 x14ac:dyDescent="0.25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 x14ac:dyDescent="0.25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 x14ac:dyDescent="0.25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 x14ac:dyDescent="0.25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 x14ac:dyDescent="0.25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 x14ac:dyDescent="0.25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 x14ac:dyDescent="0.25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 x14ac:dyDescent="0.25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 x14ac:dyDescent="0.25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 x14ac:dyDescent="0.25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 x14ac:dyDescent="0.25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 x14ac:dyDescent="0.25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 x14ac:dyDescent="0.25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 x14ac:dyDescent="0.25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 x14ac:dyDescent="0.25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 x14ac:dyDescent="0.25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 x14ac:dyDescent="0.25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 x14ac:dyDescent="0.25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 x14ac:dyDescent="0.25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 x14ac:dyDescent="0.25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 x14ac:dyDescent="0.25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 x14ac:dyDescent="0.25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 x14ac:dyDescent="0.25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 x14ac:dyDescent="0.25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 x14ac:dyDescent="0.25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 x14ac:dyDescent="0.25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 x14ac:dyDescent="0.25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 x14ac:dyDescent="0.25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 x14ac:dyDescent="0.25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 x14ac:dyDescent="0.25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 x14ac:dyDescent="0.25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 x14ac:dyDescent="0.25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 x14ac:dyDescent="0.25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 x14ac:dyDescent="0.25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 x14ac:dyDescent="0.25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 x14ac:dyDescent="0.25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 x14ac:dyDescent="0.25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 x14ac:dyDescent="0.25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 x14ac:dyDescent="0.25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 x14ac:dyDescent="0.25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 x14ac:dyDescent="0.25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 x14ac:dyDescent="0.25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 x14ac:dyDescent="0.25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 x14ac:dyDescent="0.25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 x14ac:dyDescent="0.25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 x14ac:dyDescent="0.25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 x14ac:dyDescent="0.25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 x14ac:dyDescent="0.25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 x14ac:dyDescent="0.25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 x14ac:dyDescent="0.25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 x14ac:dyDescent="0.25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 x14ac:dyDescent="0.25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 x14ac:dyDescent="0.25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 x14ac:dyDescent="0.25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 x14ac:dyDescent="0.25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 x14ac:dyDescent="0.25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 x14ac:dyDescent="0.25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 x14ac:dyDescent="0.25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 x14ac:dyDescent="0.25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 x14ac:dyDescent="0.25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 x14ac:dyDescent="0.25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 x14ac:dyDescent="0.25">
      <c r="F4425" t="s">
        <v>17806</v>
      </c>
      <c r="G4425">
        <v>4422</v>
      </c>
      <c r="H4425" t="s">
        <v>6139</v>
      </c>
      <c r="I4425" t="s">
        <v>24510</v>
      </c>
      <c r="J4425" t="s">
        <v>17807</v>
      </c>
    </row>
    <row r="4426" spans="6:10" x14ac:dyDescent="0.25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 x14ac:dyDescent="0.25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 x14ac:dyDescent="0.25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 x14ac:dyDescent="0.25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 x14ac:dyDescent="0.25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 x14ac:dyDescent="0.25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 x14ac:dyDescent="0.25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 x14ac:dyDescent="0.25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 x14ac:dyDescent="0.25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 x14ac:dyDescent="0.25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 x14ac:dyDescent="0.25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 x14ac:dyDescent="0.25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 x14ac:dyDescent="0.25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 x14ac:dyDescent="0.25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 x14ac:dyDescent="0.25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 x14ac:dyDescent="0.25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 x14ac:dyDescent="0.25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 x14ac:dyDescent="0.25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 x14ac:dyDescent="0.25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 x14ac:dyDescent="0.25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 x14ac:dyDescent="0.25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 x14ac:dyDescent="0.25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 x14ac:dyDescent="0.25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 x14ac:dyDescent="0.25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 x14ac:dyDescent="0.25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 x14ac:dyDescent="0.25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 x14ac:dyDescent="0.25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 x14ac:dyDescent="0.25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 x14ac:dyDescent="0.25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 x14ac:dyDescent="0.25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 x14ac:dyDescent="0.25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 x14ac:dyDescent="0.25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 x14ac:dyDescent="0.25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 x14ac:dyDescent="0.25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 x14ac:dyDescent="0.25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 x14ac:dyDescent="0.25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 x14ac:dyDescent="0.25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 x14ac:dyDescent="0.25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 x14ac:dyDescent="0.25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 x14ac:dyDescent="0.25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 x14ac:dyDescent="0.25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 x14ac:dyDescent="0.25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 x14ac:dyDescent="0.25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 x14ac:dyDescent="0.25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 x14ac:dyDescent="0.25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 x14ac:dyDescent="0.25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 x14ac:dyDescent="0.25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 x14ac:dyDescent="0.25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 x14ac:dyDescent="0.25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 x14ac:dyDescent="0.25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 x14ac:dyDescent="0.25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 x14ac:dyDescent="0.25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 x14ac:dyDescent="0.25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 x14ac:dyDescent="0.25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 x14ac:dyDescent="0.25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 x14ac:dyDescent="0.25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 x14ac:dyDescent="0.25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 x14ac:dyDescent="0.25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 x14ac:dyDescent="0.25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 x14ac:dyDescent="0.25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 x14ac:dyDescent="0.25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 x14ac:dyDescent="0.25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 x14ac:dyDescent="0.25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 x14ac:dyDescent="0.25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 x14ac:dyDescent="0.25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 x14ac:dyDescent="0.25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 x14ac:dyDescent="0.25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 x14ac:dyDescent="0.25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 x14ac:dyDescent="0.25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 x14ac:dyDescent="0.25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 x14ac:dyDescent="0.25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 x14ac:dyDescent="0.25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 x14ac:dyDescent="0.25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 x14ac:dyDescent="0.25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 x14ac:dyDescent="0.25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 x14ac:dyDescent="0.25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 x14ac:dyDescent="0.25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 x14ac:dyDescent="0.25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 x14ac:dyDescent="0.25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 x14ac:dyDescent="0.25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 x14ac:dyDescent="0.25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 x14ac:dyDescent="0.25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 x14ac:dyDescent="0.25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 x14ac:dyDescent="0.25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 x14ac:dyDescent="0.25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 x14ac:dyDescent="0.25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 x14ac:dyDescent="0.25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 x14ac:dyDescent="0.25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 x14ac:dyDescent="0.25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 x14ac:dyDescent="0.25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 x14ac:dyDescent="0.25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 x14ac:dyDescent="0.25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 x14ac:dyDescent="0.25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 x14ac:dyDescent="0.25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 x14ac:dyDescent="0.25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 x14ac:dyDescent="0.25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 x14ac:dyDescent="0.25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 x14ac:dyDescent="0.25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 x14ac:dyDescent="0.25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 x14ac:dyDescent="0.25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 x14ac:dyDescent="0.25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 x14ac:dyDescent="0.25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 x14ac:dyDescent="0.25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 x14ac:dyDescent="0.25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 x14ac:dyDescent="0.25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 x14ac:dyDescent="0.25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 x14ac:dyDescent="0.25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 x14ac:dyDescent="0.25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 x14ac:dyDescent="0.25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 x14ac:dyDescent="0.25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 x14ac:dyDescent="0.25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 x14ac:dyDescent="0.25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 x14ac:dyDescent="0.25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 x14ac:dyDescent="0.25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 x14ac:dyDescent="0.25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 x14ac:dyDescent="0.25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 x14ac:dyDescent="0.25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 x14ac:dyDescent="0.25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 x14ac:dyDescent="0.25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 x14ac:dyDescent="0.25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 x14ac:dyDescent="0.25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 x14ac:dyDescent="0.25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 x14ac:dyDescent="0.25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 x14ac:dyDescent="0.25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 x14ac:dyDescent="0.25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 x14ac:dyDescent="0.25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 x14ac:dyDescent="0.25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 x14ac:dyDescent="0.25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 x14ac:dyDescent="0.25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 x14ac:dyDescent="0.25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 x14ac:dyDescent="0.25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 x14ac:dyDescent="0.25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 x14ac:dyDescent="0.25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 x14ac:dyDescent="0.25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 x14ac:dyDescent="0.25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 x14ac:dyDescent="0.25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 x14ac:dyDescent="0.25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 x14ac:dyDescent="0.25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 x14ac:dyDescent="0.25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 x14ac:dyDescent="0.25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 x14ac:dyDescent="0.25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 x14ac:dyDescent="0.25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 x14ac:dyDescent="0.25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 x14ac:dyDescent="0.25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 x14ac:dyDescent="0.25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 x14ac:dyDescent="0.25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 x14ac:dyDescent="0.25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 x14ac:dyDescent="0.25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 x14ac:dyDescent="0.25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 x14ac:dyDescent="0.25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 x14ac:dyDescent="0.25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 x14ac:dyDescent="0.25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 x14ac:dyDescent="0.25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 x14ac:dyDescent="0.25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 x14ac:dyDescent="0.25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 x14ac:dyDescent="0.25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 x14ac:dyDescent="0.25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 x14ac:dyDescent="0.25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 x14ac:dyDescent="0.25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 x14ac:dyDescent="0.25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 x14ac:dyDescent="0.25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 x14ac:dyDescent="0.25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 x14ac:dyDescent="0.25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 x14ac:dyDescent="0.25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 x14ac:dyDescent="0.25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 x14ac:dyDescent="0.25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 x14ac:dyDescent="0.25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 x14ac:dyDescent="0.25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 x14ac:dyDescent="0.25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 x14ac:dyDescent="0.25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 x14ac:dyDescent="0.25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 x14ac:dyDescent="0.25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 x14ac:dyDescent="0.25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 x14ac:dyDescent="0.25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 x14ac:dyDescent="0.25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 x14ac:dyDescent="0.25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 x14ac:dyDescent="0.25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 x14ac:dyDescent="0.25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 x14ac:dyDescent="0.25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 x14ac:dyDescent="0.25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 x14ac:dyDescent="0.25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 x14ac:dyDescent="0.25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 x14ac:dyDescent="0.25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 x14ac:dyDescent="0.25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 x14ac:dyDescent="0.25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 x14ac:dyDescent="0.25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 x14ac:dyDescent="0.25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 x14ac:dyDescent="0.25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 x14ac:dyDescent="0.25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 x14ac:dyDescent="0.25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 x14ac:dyDescent="0.25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 x14ac:dyDescent="0.25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 x14ac:dyDescent="0.25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 x14ac:dyDescent="0.25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 x14ac:dyDescent="0.25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 x14ac:dyDescent="0.25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 x14ac:dyDescent="0.25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 x14ac:dyDescent="0.25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 x14ac:dyDescent="0.25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 x14ac:dyDescent="0.25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 x14ac:dyDescent="0.25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 x14ac:dyDescent="0.25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 x14ac:dyDescent="0.25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 x14ac:dyDescent="0.25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 x14ac:dyDescent="0.25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 x14ac:dyDescent="0.25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 x14ac:dyDescent="0.25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 x14ac:dyDescent="0.25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 x14ac:dyDescent="0.25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 x14ac:dyDescent="0.25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 x14ac:dyDescent="0.25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 x14ac:dyDescent="0.25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 x14ac:dyDescent="0.25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 x14ac:dyDescent="0.25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 x14ac:dyDescent="0.25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 x14ac:dyDescent="0.25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 x14ac:dyDescent="0.25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 x14ac:dyDescent="0.25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 x14ac:dyDescent="0.25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 x14ac:dyDescent="0.25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 x14ac:dyDescent="0.25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 x14ac:dyDescent="0.25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 x14ac:dyDescent="0.25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 x14ac:dyDescent="0.25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 x14ac:dyDescent="0.25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 x14ac:dyDescent="0.25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 x14ac:dyDescent="0.25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 x14ac:dyDescent="0.25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 x14ac:dyDescent="0.25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 x14ac:dyDescent="0.25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 x14ac:dyDescent="0.25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 x14ac:dyDescent="0.25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 x14ac:dyDescent="0.25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 x14ac:dyDescent="0.25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 x14ac:dyDescent="0.25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 x14ac:dyDescent="0.25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 x14ac:dyDescent="0.25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 x14ac:dyDescent="0.25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 x14ac:dyDescent="0.25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 x14ac:dyDescent="0.25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 x14ac:dyDescent="0.25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 x14ac:dyDescent="0.25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 x14ac:dyDescent="0.25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 x14ac:dyDescent="0.25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 x14ac:dyDescent="0.25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 x14ac:dyDescent="0.25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 x14ac:dyDescent="0.25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 x14ac:dyDescent="0.25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 x14ac:dyDescent="0.25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 x14ac:dyDescent="0.25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 x14ac:dyDescent="0.25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 x14ac:dyDescent="0.25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 x14ac:dyDescent="0.25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 x14ac:dyDescent="0.25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 x14ac:dyDescent="0.25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 x14ac:dyDescent="0.25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 x14ac:dyDescent="0.25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 x14ac:dyDescent="0.25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 x14ac:dyDescent="0.25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 x14ac:dyDescent="0.25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 x14ac:dyDescent="0.25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 x14ac:dyDescent="0.25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 x14ac:dyDescent="0.25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 x14ac:dyDescent="0.25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 x14ac:dyDescent="0.25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 x14ac:dyDescent="0.25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 x14ac:dyDescent="0.25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 x14ac:dyDescent="0.25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 x14ac:dyDescent="0.25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 x14ac:dyDescent="0.25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 x14ac:dyDescent="0.25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 x14ac:dyDescent="0.25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 x14ac:dyDescent="0.25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 x14ac:dyDescent="0.25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 x14ac:dyDescent="0.25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 x14ac:dyDescent="0.25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 x14ac:dyDescent="0.25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 x14ac:dyDescent="0.25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 x14ac:dyDescent="0.25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 x14ac:dyDescent="0.25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 x14ac:dyDescent="0.25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 x14ac:dyDescent="0.25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 x14ac:dyDescent="0.25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 x14ac:dyDescent="0.25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 x14ac:dyDescent="0.25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 x14ac:dyDescent="0.25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 x14ac:dyDescent="0.25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 x14ac:dyDescent="0.25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 x14ac:dyDescent="0.25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 x14ac:dyDescent="0.25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 x14ac:dyDescent="0.25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 x14ac:dyDescent="0.25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 x14ac:dyDescent="0.25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 x14ac:dyDescent="0.25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 x14ac:dyDescent="0.25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 x14ac:dyDescent="0.25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 x14ac:dyDescent="0.25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 x14ac:dyDescent="0.25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 x14ac:dyDescent="0.25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 x14ac:dyDescent="0.25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 x14ac:dyDescent="0.25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 x14ac:dyDescent="0.25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 x14ac:dyDescent="0.25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 x14ac:dyDescent="0.25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 x14ac:dyDescent="0.25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 x14ac:dyDescent="0.25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 x14ac:dyDescent="0.25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 x14ac:dyDescent="0.25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 x14ac:dyDescent="0.25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 x14ac:dyDescent="0.25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 x14ac:dyDescent="0.25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 x14ac:dyDescent="0.25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 x14ac:dyDescent="0.25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 x14ac:dyDescent="0.25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 x14ac:dyDescent="0.25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 x14ac:dyDescent="0.25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 x14ac:dyDescent="0.25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 x14ac:dyDescent="0.25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 x14ac:dyDescent="0.25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 x14ac:dyDescent="0.25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 x14ac:dyDescent="0.25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 x14ac:dyDescent="0.25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 x14ac:dyDescent="0.25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 x14ac:dyDescent="0.25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 x14ac:dyDescent="0.25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 x14ac:dyDescent="0.25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 x14ac:dyDescent="0.25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 x14ac:dyDescent="0.25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 x14ac:dyDescent="0.25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 x14ac:dyDescent="0.25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 x14ac:dyDescent="0.25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 x14ac:dyDescent="0.25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 x14ac:dyDescent="0.25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 x14ac:dyDescent="0.25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 x14ac:dyDescent="0.25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 x14ac:dyDescent="0.25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 x14ac:dyDescent="0.25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 x14ac:dyDescent="0.25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 x14ac:dyDescent="0.25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 x14ac:dyDescent="0.25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 x14ac:dyDescent="0.25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 x14ac:dyDescent="0.25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 x14ac:dyDescent="0.25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 x14ac:dyDescent="0.25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 x14ac:dyDescent="0.25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 x14ac:dyDescent="0.25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 x14ac:dyDescent="0.25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 x14ac:dyDescent="0.25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 x14ac:dyDescent="0.25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 x14ac:dyDescent="0.25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 x14ac:dyDescent="0.25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 x14ac:dyDescent="0.25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 x14ac:dyDescent="0.25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 x14ac:dyDescent="0.25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 x14ac:dyDescent="0.25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 x14ac:dyDescent="0.25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 x14ac:dyDescent="0.25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 x14ac:dyDescent="0.25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 x14ac:dyDescent="0.25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 x14ac:dyDescent="0.25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 x14ac:dyDescent="0.25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 x14ac:dyDescent="0.25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 x14ac:dyDescent="0.25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 x14ac:dyDescent="0.25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 x14ac:dyDescent="0.25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 x14ac:dyDescent="0.25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 x14ac:dyDescent="0.25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 x14ac:dyDescent="0.25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 x14ac:dyDescent="0.25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 x14ac:dyDescent="0.25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 x14ac:dyDescent="0.25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 x14ac:dyDescent="0.25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 x14ac:dyDescent="0.25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 x14ac:dyDescent="0.25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 x14ac:dyDescent="0.25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 x14ac:dyDescent="0.25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 x14ac:dyDescent="0.25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 x14ac:dyDescent="0.25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 x14ac:dyDescent="0.25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 x14ac:dyDescent="0.25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 x14ac:dyDescent="0.25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 x14ac:dyDescent="0.25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 x14ac:dyDescent="0.25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 x14ac:dyDescent="0.25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 x14ac:dyDescent="0.25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 x14ac:dyDescent="0.25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 x14ac:dyDescent="0.25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 x14ac:dyDescent="0.25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 x14ac:dyDescent="0.25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 x14ac:dyDescent="0.25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 x14ac:dyDescent="0.25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 x14ac:dyDescent="0.25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 x14ac:dyDescent="0.25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 x14ac:dyDescent="0.25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 x14ac:dyDescent="0.25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 x14ac:dyDescent="0.25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 x14ac:dyDescent="0.25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 x14ac:dyDescent="0.25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 x14ac:dyDescent="0.25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 x14ac:dyDescent="0.25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 x14ac:dyDescent="0.25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 x14ac:dyDescent="0.25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 x14ac:dyDescent="0.25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 x14ac:dyDescent="0.25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 x14ac:dyDescent="0.25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 x14ac:dyDescent="0.25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 x14ac:dyDescent="0.25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 x14ac:dyDescent="0.25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 x14ac:dyDescent="0.25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 x14ac:dyDescent="0.25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 x14ac:dyDescent="0.25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 x14ac:dyDescent="0.25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 x14ac:dyDescent="0.25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 x14ac:dyDescent="0.25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 x14ac:dyDescent="0.25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 x14ac:dyDescent="0.25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 x14ac:dyDescent="0.25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 x14ac:dyDescent="0.25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 x14ac:dyDescent="0.25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 x14ac:dyDescent="0.25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 x14ac:dyDescent="0.25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 x14ac:dyDescent="0.25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 x14ac:dyDescent="0.25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 x14ac:dyDescent="0.25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 x14ac:dyDescent="0.25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 x14ac:dyDescent="0.25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 x14ac:dyDescent="0.25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 x14ac:dyDescent="0.25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 x14ac:dyDescent="0.25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 x14ac:dyDescent="0.25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 x14ac:dyDescent="0.25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 x14ac:dyDescent="0.25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 x14ac:dyDescent="0.25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 x14ac:dyDescent="0.25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 x14ac:dyDescent="0.25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 x14ac:dyDescent="0.25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 x14ac:dyDescent="0.25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 x14ac:dyDescent="0.25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 x14ac:dyDescent="0.25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 x14ac:dyDescent="0.25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 x14ac:dyDescent="0.25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 x14ac:dyDescent="0.25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 x14ac:dyDescent="0.25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 x14ac:dyDescent="0.25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 x14ac:dyDescent="0.25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 x14ac:dyDescent="0.25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 x14ac:dyDescent="0.25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 x14ac:dyDescent="0.25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 x14ac:dyDescent="0.25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 x14ac:dyDescent="0.25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 x14ac:dyDescent="0.25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 x14ac:dyDescent="0.25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 x14ac:dyDescent="0.25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 x14ac:dyDescent="0.25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 x14ac:dyDescent="0.25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 x14ac:dyDescent="0.25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 x14ac:dyDescent="0.25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 x14ac:dyDescent="0.25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 x14ac:dyDescent="0.25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 x14ac:dyDescent="0.25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 x14ac:dyDescent="0.25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 x14ac:dyDescent="0.25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 x14ac:dyDescent="0.25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 x14ac:dyDescent="0.25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 x14ac:dyDescent="0.25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 x14ac:dyDescent="0.25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 x14ac:dyDescent="0.25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 x14ac:dyDescent="0.25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 x14ac:dyDescent="0.25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 x14ac:dyDescent="0.25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 x14ac:dyDescent="0.25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 x14ac:dyDescent="0.25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 x14ac:dyDescent="0.25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 x14ac:dyDescent="0.25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 x14ac:dyDescent="0.25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 x14ac:dyDescent="0.25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 x14ac:dyDescent="0.25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 x14ac:dyDescent="0.25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 x14ac:dyDescent="0.25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 x14ac:dyDescent="0.25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 x14ac:dyDescent="0.25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 x14ac:dyDescent="0.25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 x14ac:dyDescent="0.25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 x14ac:dyDescent="0.25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 x14ac:dyDescent="0.25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 x14ac:dyDescent="0.25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 x14ac:dyDescent="0.25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 x14ac:dyDescent="0.25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 x14ac:dyDescent="0.25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 x14ac:dyDescent="0.25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 x14ac:dyDescent="0.25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 x14ac:dyDescent="0.25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 x14ac:dyDescent="0.25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 x14ac:dyDescent="0.25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 x14ac:dyDescent="0.25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 x14ac:dyDescent="0.25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 x14ac:dyDescent="0.25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 x14ac:dyDescent="0.25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 x14ac:dyDescent="0.25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 x14ac:dyDescent="0.25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 x14ac:dyDescent="0.25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 x14ac:dyDescent="0.25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 x14ac:dyDescent="0.25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 x14ac:dyDescent="0.25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 x14ac:dyDescent="0.25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 x14ac:dyDescent="0.25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 x14ac:dyDescent="0.25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 x14ac:dyDescent="0.25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 x14ac:dyDescent="0.25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 x14ac:dyDescent="0.25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 x14ac:dyDescent="0.25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 x14ac:dyDescent="0.25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 x14ac:dyDescent="0.25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 x14ac:dyDescent="0.25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 x14ac:dyDescent="0.25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 x14ac:dyDescent="0.25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 x14ac:dyDescent="0.25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 x14ac:dyDescent="0.25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 x14ac:dyDescent="0.25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 x14ac:dyDescent="0.25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 x14ac:dyDescent="0.25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 x14ac:dyDescent="0.25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 x14ac:dyDescent="0.25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 x14ac:dyDescent="0.25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 x14ac:dyDescent="0.25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 x14ac:dyDescent="0.25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 x14ac:dyDescent="0.25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 x14ac:dyDescent="0.25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 x14ac:dyDescent="0.25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 x14ac:dyDescent="0.25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 x14ac:dyDescent="0.25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 x14ac:dyDescent="0.25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 x14ac:dyDescent="0.25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 x14ac:dyDescent="0.25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 x14ac:dyDescent="0.25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 x14ac:dyDescent="0.25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 x14ac:dyDescent="0.25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 x14ac:dyDescent="0.25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 x14ac:dyDescent="0.25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 x14ac:dyDescent="0.25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 x14ac:dyDescent="0.25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 x14ac:dyDescent="0.25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 x14ac:dyDescent="0.25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 x14ac:dyDescent="0.25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 x14ac:dyDescent="0.25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 x14ac:dyDescent="0.25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 x14ac:dyDescent="0.25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 x14ac:dyDescent="0.25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 x14ac:dyDescent="0.25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 x14ac:dyDescent="0.25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 x14ac:dyDescent="0.25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 x14ac:dyDescent="0.25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 x14ac:dyDescent="0.25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 x14ac:dyDescent="0.25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 x14ac:dyDescent="0.25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 x14ac:dyDescent="0.25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 x14ac:dyDescent="0.25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 x14ac:dyDescent="0.25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 x14ac:dyDescent="0.25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 x14ac:dyDescent="0.25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 x14ac:dyDescent="0.25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 x14ac:dyDescent="0.25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 x14ac:dyDescent="0.25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 x14ac:dyDescent="0.25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 x14ac:dyDescent="0.25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 x14ac:dyDescent="0.25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 x14ac:dyDescent="0.25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 x14ac:dyDescent="0.25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 x14ac:dyDescent="0.25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 x14ac:dyDescent="0.25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 x14ac:dyDescent="0.25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 x14ac:dyDescent="0.25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 x14ac:dyDescent="0.25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 x14ac:dyDescent="0.25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 x14ac:dyDescent="0.25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 x14ac:dyDescent="0.25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 x14ac:dyDescent="0.25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 x14ac:dyDescent="0.25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 x14ac:dyDescent="0.25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 x14ac:dyDescent="0.25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 x14ac:dyDescent="0.25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 x14ac:dyDescent="0.25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 x14ac:dyDescent="0.25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 x14ac:dyDescent="0.25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 x14ac:dyDescent="0.25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 x14ac:dyDescent="0.25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 x14ac:dyDescent="0.25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 x14ac:dyDescent="0.25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 x14ac:dyDescent="0.25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 x14ac:dyDescent="0.25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 x14ac:dyDescent="0.25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 x14ac:dyDescent="0.25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 x14ac:dyDescent="0.25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 x14ac:dyDescent="0.25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 x14ac:dyDescent="0.25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 x14ac:dyDescent="0.25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 x14ac:dyDescent="0.25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 x14ac:dyDescent="0.25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 x14ac:dyDescent="0.25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 x14ac:dyDescent="0.25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 x14ac:dyDescent="0.25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 x14ac:dyDescent="0.25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 x14ac:dyDescent="0.25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 x14ac:dyDescent="0.25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 x14ac:dyDescent="0.25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 x14ac:dyDescent="0.25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 x14ac:dyDescent="0.25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 x14ac:dyDescent="0.25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 x14ac:dyDescent="0.25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 x14ac:dyDescent="0.25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 x14ac:dyDescent="0.25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 x14ac:dyDescent="0.25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 x14ac:dyDescent="0.25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 x14ac:dyDescent="0.25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 x14ac:dyDescent="0.25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 x14ac:dyDescent="0.25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 x14ac:dyDescent="0.25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 x14ac:dyDescent="0.25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 x14ac:dyDescent="0.25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 x14ac:dyDescent="0.25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 x14ac:dyDescent="0.25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 x14ac:dyDescent="0.25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 x14ac:dyDescent="0.25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 x14ac:dyDescent="0.25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 x14ac:dyDescent="0.25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 x14ac:dyDescent="0.25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 x14ac:dyDescent="0.25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 x14ac:dyDescent="0.25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 x14ac:dyDescent="0.25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 x14ac:dyDescent="0.25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 x14ac:dyDescent="0.25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 x14ac:dyDescent="0.25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 x14ac:dyDescent="0.25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 x14ac:dyDescent="0.25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 x14ac:dyDescent="0.25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 x14ac:dyDescent="0.25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 x14ac:dyDescent="0.25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 x14ac:dyDescent="0.25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 x14ac:dyDescent="0.25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 x14ac:dyDescent="0.25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 x14ac:dyDescent="0.25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 x14ac:dyDescent="0.25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 x14ac:dyDescent="0.25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 x14ac:dyDescent="0.25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 x14ac:dyDescent="0.25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 x14ac:dyDescent="0.25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 x14ac:dyDescent="0.25">
      <c r="F5072" t="s">
        <v>19348</v>
      </c>
      <c r="G5072">
        <v>5069</v>
      </c>
      <c r="H5072" t="s">
        <v>1636</v>
      </c>
      <c r="I5072" t="s">
        <v>24460</v>
      </c>
      <c r="J5072" t="s">
        <v>19349</v>
      </c>
    </row>
    <row r="5073" spans="6:10" x14ac:dyDescent="0.25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 x14ac:dyDescent="0.25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 x14ac:dyDescent="0.25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 x14ac:dyDescent="0.25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 x14ac:dyDescent="0.25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 x14ac:dyDescent="0.25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 x14ac:dyDescent="0.25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 x14ac:dyDescent="0.25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 x14ac:dyDescent="0.25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 x14ac:dyDescent="0.25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 x14ac:dyDescent="0.25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 x14ac:dyDescent="0.25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 x14ac:dyDescent="0.25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 x14ac:dyDescent="0.25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 x14ac:dyDescent="0.25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 x14ac:dyDescent="0.25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 x14ac:dyDescent="0.25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 x14ac:dyDescent="0.25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 x14ac:dyDescent="0.25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 x14ac:dyDescent="0.25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 x14ac:dyDescent="0.25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 x14ac:dyDescent="0.25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 x14ac:dyDescent="0.25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 x14ac:dyDescent="0.25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 x14ac:dyDescent="0.25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 x14ac:dyDescent="0.25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 x14ac:dyDescent="0.25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 x14ac:dyDescent="0.25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 x14ac:dyDescent="0.25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 x14ac:dyDescent="0.25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 x14ac:dyDescent="0.25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 x14ac:dyDescent="0.25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 x14ac:dyDescent="0.25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 x14ac:dyDescent="0.25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 x14ac:dyDescent="0.25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 x14ac:dyDescent="0.25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 x14ac:dyDescent="0.25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 x14ac:dyDescent="0.25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 x14ac:dyDescent="0.25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 x14ac:dyDescent="0.25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 x14ac:dyDescent="0.25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 x14ac:dyDescent="0.25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 x14ac:dyDescent="0.25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 x14ac:dyDescent="0.25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 x14ac:dyDescent="0.25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 x14ac:dyDescent="0.25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 x14ac:dyDescent="0.25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 x14ac:dyDescent="0.25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 x14ac:dyDescent="0.25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 x14ac:dyDescent="0.25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 x14ac:dyDescent="0.25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 x14ac:dyDescent="0.25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 x14ac:dyDescent="0.25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 x14ac:dyDescent="0.25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 x14ac:dyDescent="0.25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 x14ac:dyDescent="0.25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 x14ac:dyDescent="0.25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 x14ac:dyDescent="0.25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 x14ac:dyDescent="0.25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 x14ac:dyDescent="0.25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 x14ac:dyDescent="0.25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 x14ac:dyDescent="0.25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 x14ac:dyDescent="0.25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 x14ac:dyDescent="0.25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 x14ac:dyDescent="0.25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 x14ac:dyDescent="0.25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 x14ac:dyDescent="0.25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 x14ac:dyDescent="0.25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 x14ac:dyDescent="0.25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 x14ac:dyDescent="0.25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 x14ac:dyDescent="0.25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 x14ac:dyDescent="0.25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 x14ac:dyDescent="0.25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 x14ac:dyDescent="0.25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 x14ac:dyDescent="0.25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 x14ac:dyDescent="0.25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 x14ac:dyDescent="0.25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 x14ac:dyDescent="0.25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 x14ac:dyDescent="0.25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 x14ac:dyDescent="0.25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 x14ac:dyDescent="0.25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 x14ac:dyDescent="0.25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 x14ac:dyDescent="0.25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 x14ac:dyDescent="0.25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 x14ac:dyDescent="0.25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 x14ac:dyDescent="0.25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 x14ac:dyDescent="0.25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 x14ac:dyDescent="0.25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 x14ac:dyDescent="0.25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 x14ac:dyDescent="0.25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 x14ac:dyDescent="0.25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 x14ac:dyDescent="0.25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 x14ac:dyDescent="0.25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 x14ac:dyDescent="0.25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 x14ac:dyDescent="0.25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 x14ac:dyDescent="0.25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 x14ac:dyDescent="0.25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 x14ac:dyDescent="0.25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 x14ac:dyDescent="0.25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 x14ac:dyDescent="0.25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 x14ac:dyDescent="0.25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 x14ac:dyDescent="0.25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 x14ac:dyDescent="0.25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 x14ac:dyDescent="0.25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 x14ac:dyDescent="0.25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 x14ac:dyDescent="0.25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 x14ac:dyDescent="0.25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 x14ac:dyDescent="0.25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 x14ac:dyDescent="0.25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 x14ac:dyDescent="0.25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 x14ac:dyDescent="0.25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 x14ac:dyDescent="0.25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 x14ac:dyDescent="0.25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 x14ac:dyDescent="0.25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 x14ac:dyDescent="0.25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 x14ac:dyDescent="0.25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 x14ac:dyDescent="0.25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 x14ac:dyDescent="0.25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 x14ac:dyDescent="0.25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 x14ac:dyDescent="0.25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 x14ac:dyDescent="0.25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 x14ac:dyDescent="0.25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 x14ac:dyDescent="0.25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 x14ac:dyDescent="0.25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 x14ac:dyDescent="0.25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 x14ac:dyDescent="0.25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 x14ac:dyDescent="0.25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 x14ac:dyDescent="0.25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 x14ac:dyDescent="0.25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 x14ac:dyDescent="0.25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 x14ac:dyDescent="0.25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 x14ac:dyDescent="0.25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 x14ac:dyDescent="0.25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 x14ac:dyDescent="0.25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 x14ac:dyDescent="0.25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 x14ac:dyDescent="0.25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 x14ac:dyDescent="0.25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 x14ac:dyDescent="0.25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 x14ac:dyDescent="0.25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 x14ac:dyDescent="0.25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 x14ac:dyDescent="0.25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 x14ac:dyDescent="0.25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 x14ac:dyDescent="0.25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 x14ac:dyDescent="0.25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 x14ac:dyDescent="0.25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 x14ac:dyDescent="0.25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 x14ac:dyDescent="0.25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 x14ac:dyDescent="0.25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 x14ac:dyDescent="0.25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 x14ac:dyDescent="0.25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 x14ac:dyDescent="0.25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 x14ac:dyDescent="0.25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 x14ac:dyDescent="0.25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 x14ac:dyDescent="0.25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 x14ac:dyDescent="0.25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 x14ac:dyDescent="0.25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 x14ac:dyDescent="0.25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 x14ac:dyDescent="0.25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 x14ac:dyDescent="0.25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 x14ac:dyDescent="0.25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 x14ac:dyDescent="0.25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 x14ac:dyDescent="0.25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 x14ac:dyDescent="0.25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 x14ac:dyDescent="0.25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 x14ac:dyDescent="0.25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 x14ac:dyDescent="0.25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 x14ac:dyDescent="0.25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 x14ac:dyDescent="0.25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 x14ac:dyDescent="0.25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 x14ac:dyDescent="0.25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 x14ac:dyDescent="0.25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 x14ac:dyDescent="0.25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 x14ac:dyDescent="0.25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 x14ac:dyDescent="0.25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 x14ac:dyDescent="0.25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 x14ac:dyDescent="0.25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 x14ac:dyDescent="0.25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 x14ac:dyDescent="0.25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 x14ac:dyDescent="0.25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 x14ac:dyDescent="0.25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 x14ac:dyDescent="0.25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 x14ac:dyDescent="0.25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 x14ac:dyDescent="0.25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 x14ac:dyDescent="0.25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 x14ac:dyDescent="0.25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 x14ac:dyDescent="0.25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 x14ac:dyDescent="0.25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 x14ac:dyDescent="0.25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 x14ac:dyDescent="0.25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 x14ac:dyDescent="0.25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 x14ac:dyDescent="0.25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 x14ac:dyDescent="0.25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 x14ac:dyDescent="0.25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 x14ac:dyDescent="0.25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 x14ac:dyDescent="0.25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 x14ac:dyDescent="0.25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 x14ac:dyDescent="0.25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 x14ac:dyDescent="0.25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 x14ac:dyDescent="0.25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 x14ac:dyDescent="0.25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 x14ac:dyDescent="0.25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 x14ac:dyDescent="0.25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 x14ac:dyDescent="0.25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 x14ac:dyDescent="0.25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 x14ac:dyDescent="0.25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 x14ac:dyDescent="0.25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 x14ac:dyDescent="0.25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 x14ac:dyDescent="0.25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 x14ac:dyDescent="0.25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 x14ac:dyDescent="0.25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 x14ac:dyDescent="0.25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 x14ac:dyDescent="0.25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 x14ac:dyDescent="0.25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 x14ac:dyDescent="0.25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 x14ac:dyDescent="0.25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 x14ac:dyDescent="0.25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 x14ac:dyDescent="0.25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 x14ac:dyDescent="0.25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 x14ac:dyDescent="0.25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 x14ac:dyDescent="0.25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 x14ac:dyDescent="0.25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 x14ac:dyDescent="0.25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 x14ac:dyDescent="0.25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 x14ac:dyDescent="0.25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 x14ac:dyDescent="0.25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 x14ac:dyDescent="0.25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 x14ac:dyDescent="0.25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 x14ac:dyDescent="0.25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 x14ac:dyDescent="0.25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 x14ac:dyDescent="0.25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 x14ac:dyDescent="0.25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 x14ac:dyDescent="0.25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 x14ac:dyDescent="0.25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 x14ac:dyDescent="0.25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 x14ac:dyDescent="0.25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 x14ac:dyDescent="0.25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 x14ac:dyDescent="0.25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 x14ac:dyDescent="0.25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 x14ac:dyDescent="0.25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 x14ac:dyDescent="0.25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 x14ac:dyDescent="0.25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 x14ac:dyDescent="0.25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 x14ac:dyDescent="0.25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 x14ac:dyDescent="0.25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 x14ac:dyDescent="0.25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 x14ac:dyDescent="0.25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 x14ac:dyDescent="0.25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 x14ac:dyDescent="0.25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 x14ac:dyDescent="0.25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 x14ac:dyDescent="0.25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 x14ac:dyDescent="0.25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 x14ac:dyDescent="0.25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 x14ac:dyDescent="0.25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 x14ac:dyDescent="0.25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 x14ac:dyDescent="0.25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 x14ac:dyDescent="0.25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 x14ac:dyDescent="0.25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 x14ac:dyDescent="0.25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 x14ac:dyDescent="0.25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 x14ac:dyDescent="0.25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 x14ac:dyDescent="0.25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 x14ac:dyDescent="0.25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 x14ac:dyDescent="0.25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 x14ac:dyDescent="0.25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 x14ac:dyDescent="0.25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 x14ac:dyDescent="0.25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 x14ac:dyDescent="0.25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 x14ac:dyDescent="0.25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 x14ac:dyDescent="0.25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 x14ac:dyDescent="0.25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 x14ac:dyDescent="0.25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 x14ac:dyDescent="0.25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 x14ac:dyDescent="0.25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 x14ac:dyDescent="0.25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 x14ac:dyDescent="0.25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 x14ac:dyDescent="0.25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 x14ac:dyDescent="0.25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 x14ac:dyDescent="0.25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 x14ac:dyDescent="0.25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 x14ac:dyDescent="0.25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 x14ac:dyDescent="0.25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 x14ac:dyDescent="0.25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 x14ac:dyDescent="0.25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 x14ac:dyDescent="0.25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 x14ac:dyDescent="0.25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 x14ac:dyDescent="0.25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 x14ac:dyDescent="0.25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 x14ac:dyDescent="0.25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 x14ac:dyDescent="0.25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 x14ac:dyDescent="0.25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 x14ac:dyDescent="0.25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 x14ac:dyDescent="0.25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 x14ac:dyDescent="0.25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 x14ac:dyDescent="0.25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 x14ac:dyDescent="0.25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 x14ac:dyDescent="0.25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 x14ac:dyDescent="0.25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 x14ac:dyDescent="0.25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 x14ac:dyDescent="0.25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 x14ac:dyDescent="0.25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 x14ac:dyDescent="0.25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 x14ac:dyDescent="0.25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 x14ac:dyDescent="0.25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 x14ac:dyDescent="0.25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 x14ac:dyDescent="0.25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 x14ac:dyDescent="0.25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 x14ac:dyDescent="0.25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 x14ac:dyDescent="0.25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 x14ac:dyDescent="0.25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 x14ac:dyDescent="0.25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 x14ac:dyDescent="0.25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 x14ac:dyDescent="0.25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 x14ac:dyDescent="0.25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 x14ac:dyDescent="0.25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 x14ac:dyDescent="0.25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 x14ac:dyDescent="0.25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 x14ac:dyDescent="0.25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 x14ac:dyDescent="0.25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 x14ac:dyDescent="0.25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 x14ac:dyDescent="0.25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 x14ac:dyDescent="0.25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 x14ac:dyDescent="0.25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 x14ac:dyDescent="0.25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 x14ac:dyDescent="0.25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 x14ac:dyDescent="0.25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 x14ac:dyDescent="0.25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 x14ac:dyDescent="0.25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 x14ac:dyDescent="0.25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 x14ac:dyDescent="0.25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 x14ac:dyDescent="0.25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 x14ac:dyDescent="0.25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 x14ac:dyDescent="0.25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 x14ac:dyDescent="0.25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 x14ac:dyDescent="0.25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 x14ac:dyDescent="0.25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 x14ac:dyDescent="0.25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 x14ac:dyDescent="0.25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 x14ac:dyDescent="0.25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 x14ac:dyDescent="0.25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 x14ac:dyDescent="0.25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 x14ac:dyDescent="0.25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 x14ac:dyDescent="0.25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 x14ac:dyDescent="0.25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 x14ac:dyDescent="0.25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 x14ac:dyDescent="0.25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 x14ac:dyDescent="0.25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 x14ac:dyDescent="0.25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 x14ac:dyDescent="0.25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 x14ac:dyDescent="0.25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 x14ac:dyDescent="0.25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 x14ac:dyDescent="0.25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 x14ac:dyDescent="0.25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 x14ac:dyDescent="0.25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 x14ac:dyDescent="0.25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 x14ac:dyDescent="0.25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 x14ac:dyDescent="0.25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 x14ac:dyDescent="0.25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 x14ac:dyDescent="0.25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 x14ac:dyDescent="0.25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 x14ac:dyDescent="0.25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 x14ac:dyDescent="0.25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 x14ac:dyDescent="0.25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 x14ac:dyDescent="0.25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 x14ac:dyDescent="0.25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 x14ac:dyDescent="0.25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 x14ac:dyDescent="0.25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 x14ac:dyDescent="0.25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 x14ac:dyDescent="0.25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 x14ac:dyDescent="0.25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 x14ac:dyDescent="0.25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 x14ac:dyDescent="0.25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 x14ac:dyDescent="0.25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 x14ac:dyDescent="0.25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 x14ac:dyDescent="0.25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 x14ac:dyDescent="0.25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 x14ac:dyDescent="0.25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 x14ac:dyDescent="0.25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 x14ac:dyDescent="0.25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 x14ac:dyDescent="0.25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 x14ac:dyDescent="0.25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 x14ac:dyDescent="0.25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 x14ac:dyDescent="0.25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 x14ac:dyDescent="0.25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 x14ac:dyDescent="0.25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 x14ac:dyDescent="0.25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 x14ac:dyDescent="0.25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 x14ac:dyDescent="0.25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 x14ac:dyDescent="0.25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 x14ac:dyDescent="0.25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 x14ac:dyDescent="0.25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 x14ac:dyDescent="0.25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 x14ac:dyDescent="0.25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 x14ac:dyDescent="0.25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 x14ac:dyDescent="0.25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 x14ac:dyDescent="0.25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 x14ac:dyDescent="0.25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 x14ac:dyDescent="0.25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 x14ac:dyDescent="0.25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 x14ac:dyDescent="0.25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 x14ac:dyDescent="0.25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 x14ac:dyDescent="0.25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 x14ac:dyDescent="0.25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 x14ac:dyDescent="0.25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 x14ac:dyDescent="0.25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 x14ac:dyDescent="0.25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 x14ac:dyDescent="0.25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 x14ac:dyDescent="0.25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 x14ac:dyDescent="0.25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 x14ac:dyDescent="0.25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 x14ac:dyDescent="0.25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 x14ac:dyDescent="0.25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 x14ac:dyDescent="0.25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 x14ac:dyDescent="0.25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 x14ac:dyDescent="0.25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 x14ac:dyDescent="0.25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 x14ac:dyDescent="0.25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 x14ac:dyDescent="0.25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 x14ac:dyDescent="0.25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 x14ac:dyDescent="0.25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 x14ac:dyDescent="0.25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 x14ac:dyDescent="0.25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 x14ac:dyDescent="0.25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 x14ac:dyDescent="0.25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 x14ac:dyDescent="0.25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 x14ac:dyDescent="0.25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 x14ac:dyDescent="0.25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 x14ac:dyDescent="0.25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 x14ac:dyDescent="0.25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 x14ac:dyDescent="0.25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 x14ac:dyDescent="0.25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 x14ac:dyDescent="0.25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 x14ac:dyDescent="0.25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 x14ac:dyDescent="0.25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 x14ac:dyDescent="0.25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 x14ac:dyDescent="0.25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 x14ac:dyDescent="0.25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 x14ac:dyDescent="0.25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 x14ac:dyDescent="0.25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 x14ac:dyDescent="0.25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 x14ac:dyDescent="0.25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 x14ac:dyDescent="0.25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 x14ac:dyDescent="0.25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 x14ac:dyDescent="0.25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 x14ac:dyDescent="0.25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 x14ac:dyDescent="0.25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 x14ac:dyDescent="0.25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 x14ac:dyDescent="0.25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 x14ac:dyDescent="0.25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 x14ac:dyDescent="0.25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 x14ac:dyDescent="0.25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 x14ac:dyDescent="0.25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 x14ac:dyDescent="0.25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 x14ac:dyDescent="0.25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 x14ac:dyDescent="0.25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 x14ac:dyDescent="0.25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 x14ac:dyDescent="0.25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 x14ac:dyDescent="0.25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 x14ac:dyDescent="0.25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 x14ac:dyDescent="0.25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 x14ac:dyDescent="0.25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 x14ac:dyDescent="0.25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 x14ac:dyDescent="0.25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 x14ac:dyDescent="0.25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 x14ac:dyDescent="0.25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 x14ac:dyDescent="0.25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 x14ac:dyDescent="0.25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 x14ac:dyDescent="0.25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 x14ac:dyDescent="0.25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 x14ac:dyDescent="0.25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 x14ac:dyDescent="0.25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 x14ac:dyDescent="0.25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 x14ac:dyDescent="0.25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 x14ac:dyDescent="0.25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 x14ac:dyDescent="0.25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 x14ac:dyDescent="0.25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 x14ac:dyDescent="0.25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 x14ac:dyDescent="0.25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 x14ac:dyDescent="0.25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 x14ac:dyDescent="0.25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 x14ac:dyDescent="0.25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 x14ac:dyDescent="0.25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 x14ac:dyDescent="0.25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 x14ac:dyDescent="0.25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 x14ac:dyDescent="0.25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 x14ac:dyDescent="0.25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 x14ac:dyDescent="0.25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 x14ac:dyDescent="0.25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 x14ac:dyDescent="0.25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 x14ac:dyDescent="0.25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 x14ac:dyDescent="0.25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 x14ac:dyDescent="0.25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 x14ac:dyDescent="0.25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 x14ac:dyDescent="0.25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 x14ac:dyDescent="0.25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 x14ac:dyDescent="0.25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 x14ac:dyDescent="0.25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 x14ac:dyDescent="0.25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 x14ac:dyDescent="0.25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 x14ac:dyDescent="0.25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 x14ac:dyDescent="0.25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 x14ac:dyDescent="0.25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 x14ac:dyDescent="0.25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 x14ac:dyDescent="0.25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 x14ac:dyDescent="0.25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 x14ac:dyDescent="0.25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 x14ac:dyDescent="0.25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 x14ac:dyDescent="0.25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 x14ac:dyDescent="0.25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 x14ac:dyDescent="0.25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 x14ac:dyDescent="0.25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 x14ac:dyDescent="0.25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 x14ac:dyDescent="0.25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 x14ac:dyDescent="0.25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 x14ac:dyDescent="0.25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 x14ac:dyDescent="0.25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 x14ac:dyDescent="0.25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 x14ac:dyDescent="0.25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 x14ac:dyDescent="0.25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 x14ac:dyDescent="0.25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 x14ac:dyDescent="0.25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 x14ac:dyDescent="0.25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 x14ac:dyDescent="0.25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 x14ac:dyDescent="0.25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 x14ac:dyDescent="0.25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 x14ac:dyDescent="0.25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 x14ac:dyDescent="0.25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 x14ac:dyDescent="0.25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 x14ac:dyDescent="0.25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 x14ac:dyDescent="0.25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 x14ac:dyDescent="0.25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 x14ac:dyDescent="0.25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 x14ac:dyDescent="0.25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 x14ac:dyDescent="0.25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 x14ac:dyDescent="0.25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 x14ac:dyDescent="0.25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 x14ac:dyDescent="0.25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 x14ac:dyDescent="0.25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 x14ac:dyDescent="0.25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 x14ac:dyDescent="0.25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 x14ac:dyDescent="0.25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 x14ac:dyDescent="0.25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 x14ac:dyDescent="0.25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 x14ac:dyDescent="0.25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 x14ac:dyDescent="0.25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 x14ac:dyDescent="0.25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 x14ac:dyDescent="0.25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 x14ac:dyDescent="0.25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 x14ac:dyDescent="0.25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 x14ac:dyDescent="0.25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 x14ac:dyDescent="0.25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 x14ac:dyDescent="0.25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 x14ac:dyDescent="0.25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 x14ac:dyDescent="0.25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 x14ac:dyDescent="0.25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 x14ac:dyDescent="0.25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 x14ac:dyDescent="0.25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 x14ac:dyDescent="0.25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 x14ac:dyDescent="0.25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 x14ac:dyDescent="0.25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 x14ac:dyDescent="0.25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 x14ac:dyDescent="0.25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 x14ac:dyDescent="0.25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 x14ac:dyDescent="0.25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 x14ac:dyDescent="0.25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 x14ac:dyDescent="0.25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 x14ac:dyDescent="0.25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 x14ac:dyDescent="0.25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 x14ac:dyDescent="0.25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 x14ac:dyDescent="0.25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 x14ac:dyDescent="0.25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 x14ac:dyDescent="0.25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 x14ac:dyDescent="0.25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 x14ac:dyDescent="0.25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 x14ac:dyDescent="0.25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 x14ac:dyDescent="0.25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 x14ac:dyDescent="0.25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 x14ac:dyDescent="0.25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 x14ac:dyDescent="0.25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 x14ac:dyDescent="0.25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 x14ac:dyDescent="0.25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 x14ac:dyDescent="0.25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 x14ac:dyDescent="0.25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 x14ac:dyDescent="0.25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 x14ac:dyDescent="0.25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 x14ac:dyDescent="0.25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 x14ac:dyDescent="0.25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 x14ac:dyDescent="0.25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 x14ac:dyDescent="0.25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 x14ac:dyDescent="0.25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 x14ac:dyDescent="0.25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 x14ac:dyDescent="0.25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 x14ac:dyDescent="0.25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 x14ac:dyDescent="0.25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 x14ac:dyDescent="0.25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 x14ac:dyDescent="0.25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 x14ac:dyDescent="0.25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 x14ac:dyDescent="0.25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 x14ac:dyDescent="0.25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 x14ac:dyDescent="0.25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 x14ac:dyDescent="0.25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 x14ac:dyDescent="0.25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 x14ac:dyDescent="0.25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 x14ac:dyDescent="0.25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 x14ac:dyDescent="0.25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 x14ac:dyDescent="0.25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 x14ac:dyDescent="0.25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 x14ac:dyDescent="0.25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 x14ac:dyDescent="0.25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 x14ac:dyDescent="0.25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 x14ac:dyDescent="0.25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 x14ac:dyDescent="0.25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 x14ac:dyDescent="0.25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 x14ac:dyDescent="0.25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 x14ac:dyDescent="0.25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 x14ac:dyDescent="0.25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 x14ac:dyDescent="0.25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 x14ac:dyDescent="0.25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 x14ac:dyDescent="0.25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 x14ac:dyDescent="0.25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 x14ac:dyDescent="0.25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 x14ac:dyDescent="0.25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 x14ac:dyDescent="0.25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 x14ac:dyDescent="0.25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 x14ac:dyDescent="0.25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 x14ac:dyDescent="0.25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 x14ac:dyDescent="0.25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 x14ac:dyDescent="0.25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 x14ac:dyDescent="0.25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 x14ac:dyDescent="0.25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 x14ac:dyDescent="0.25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 x14ac:dyDescent="0.25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 x14ac:dyDescent="0.25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 x14ac:dyDescent="0.25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 x14ac:dyDescent="0.25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 x14ac:dyDescent="0.25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 x14ac:dyDescent="0.25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 x14ac:dyDescent="0.25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 x14ac:dyDescent="0.25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 x14ac:dyDescent="0.25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 x14ac:dyDescent="0.25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 x14ac:dyDescent="0.25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 x14ac:dyDescent="0.25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 x14ac:dyDescent="0.25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 x14ac:dyDescent="0.25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 x14ac:dyDescent="0.25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 x14ac:dyDescent="0.25">
      <c r="F5718" t="s">
        <v>24286</v>
      </c>
      <c r="G5718">
        <v>5715</v>
      </c>
      <c r="H5718" t="s">
        <v>24287</v>
      </c>
      <c r="I5718" t="s">
        <v>24545</v>
      </c>
      <c r="J5718" t="s">
        <v>24288</v>
      </c>
    </row>
    <row r="5719" spans="6:10" x14ac:dyDescent="0.25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 x14ac:dyDescent="0.25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 x14ac:dyDescent="0.25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 x14ac:dyDescent="0.25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 x14ac:dyDescent="0.25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 x14ac:dyDescent="0.25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 x14ac:dyDescent="0.25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 x14ac:dyDescent="0.25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 x14ac:dyDescent="0.25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 x14ac:dyDescent="0.25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 x14ac:dyDescent="0.25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 x14ac:dyDescent="0.25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 x14ac:dyDescent="0.25">
      <c r="F5731" t="s">
        <v>24564</v>
      </c>
      <c r="G5731">
        <v>5728</v>
      </c>
      <c r="H5731" t="s">
        <v>24565</v>
      </c>
      <c r="I5731" t="s">
        <v>24566</v>
      </c>
      <c r="J5731" t="s">
        <v>24567</v>
      </c>
    </row>
    <row r="5732" spans="6:10" x14ac:dyDescent="0.25">
      <c r="F5732" t="s">
        <v>24568</v>
      </c>
      <c r="G5732">
        <v>5729</v>
      </c>
      <c r="H5732" t="s">
        <v>24569</v>
      </c>
      <c r="I5732" t="s">
        <v>24570</v>
      </c>
      <c r="J5732" t="s">
        <v>24571</v>
      </c>
    </row>
    <row r="5733" spans="6:10" x14ac:dyDescent="0.25">
      <c r="F5733" t="s">
        <v>24572</v>
      </c>
      <c r="G5733">
        <v>5730</v>
      </c>
      <c r="H5733" t="s">
        <v>24573</v>
      </c>
      <c r="I5733" t="s">
        <v>24574</v>
      </c>
      <c r="J5733" t="s">
        <v>24575</v>
      </c>
    </row>
    <row r="5734" spans="6:10" x14ac:dyDescent="0.25">
      <c r="F5734" t="s">
        <v>24576</v>
      </c>
      <c r="G5734">
        <v>5731</v>
      </c>
      <c r="H5734" t="s">
        <v>24577</v>
      </c>
      <c r="I5734" t="s">
        <v>24578</v>
      </c>
      <c r="J5734" t="s">
        <v>24579</v>
      </c>
    </row>
    <row r="5735" spans="6:10" x14ac:dyDescent="0.25">
      <c r="F5735" t="s">
        <v>24580</v>
      </c>
      <c r="G5735">
        <v>5732</v>
      </c>
      <c r="H5735" t="s">
        <v>24581</v>
      </c>
      <c r="I5735" t="s">
        <v>24582</v>
      </c>
      <c r="J5735" t="s">
        <v>24583</v>
      </c>
    </row>
    <row r="5736" spans="6:10" x14ac:dyDescent="0.25">
      <c r="F5736" t="s">
        <v>24584</v>
      </c>
      <c r="G5736">
        <v>5733</v>
      </c>
      <c r="H5736" t="s">
        <v>24585</v>
      </c>
      <c r="I5736" t="s">
        <v>24585</v>
      </c>
      <c r="J5736" t="s">
        <v>24586</v>
      </c>
    </row>
    <row r="5737" spans="6:10" x14ac:dyDescent="0.25">
      <c r="F5737" t="s">
        <v>24587</v>
      </c>
      <c r="G5737">
        <v>5734</v>
      </c>
      <c r="H5737" t="s">
        <v>24588</v>
      </c>
      <c r="I5737" t="s">
        <v>24589</v>
      </c>
      <c r="J5737" t="s">
        <v>24590</v>
      </c>
    </row>
    <row r="5738" spans="6:10" x14ac:dyDescent="0.25">
      <c r="F5738" t="s">
        <v>24591</v>
      </c>
      <c r="G5738">
        <v>5735</v>
      </c>
      <c r="H5738" t="s">
        <v>24592</v>
      </c>
      <c r="I5738" t="s">
        <v>24593</v>
      </c>
      <c r="J5738" t="s">
        <v>24594</v>
      </c>
    </row>
    <row r="5739" spans="6:10" x14ac:dyDescent="0.25">
      <c r="F5739" t="s">
        <v>24595</v>
      </c>
      <c r="G5739">
        <v>5736</v>
      </c>
      <c r="H5739" t="s">
        <v>24596</v>
      </c>
      <c r="I5739" t="s">
        <v>24596</v>
      </c>
      <c r="J5739" t="s">
        <v>24597</v>
      </c>
    </row>
    <row r="5740" spans="6:10" x14ac:dyDescent="0.25">
      <c r="F5740" t="s">
        <v>24598</v>
      </c>
      <c r="G5740">
        <v>5737</v>
      </c>
      <c r="H5740" t="s">
        <v>24495</v>
      </c>
      <c r="I5740" t="s">
        <v>24495</v>
      </c>
      <c r="J5740" t="s">
        <v>24599</v>
      </c>
    </row>
    <row r="5741" spans="6:10" x14ac:dyDescent="0.25">
      <c r="F5741" t="s">
        <v>24600</v>
      </c>
      <c r="G5741">
        <v>5738</v>
      </c>
      <c r="H5741" t="s">
        <v>24601</v>
      </c>
      <c r="I5741" t="s">
        <v>24602</v>
      </c>
      <c r="J5741" t="s">
        <v>24603</v>
      </c>
    </row>
    <row r="5742" spans="6:10" x14ac:dyDescent="0.25">
      <c r="F5742" t="s">
        <v>24604</v>
      </c>
      <c r="G5742">
        <v>5739</v>
      </c>
      <c r="H5742" t="s">
        <v>24605</v>
      </c>
      <c r="I5742" t="s">
        <v>24606</v>
      </c>
      <c r="J5742" t="s">
        <v>24607</v>
      </c>
    </row>
    <row r="5743" spans="6:10" x14ac:dyDescent="0.25">
      <c r="F5743" t="s">
        <v>24608</v>
      </c>
      <c r="G5743">
        <v>5740</v>
      </c>
      <c r="H5743" t="s">
        <v>24609</v>
      </c>
      <c r="I5743" t="s">
        <v>24609</v>
      </c>
      <c r="J5743" t="s">
        <v>24610</v>
      </c>
    </row>
    <row r="5744" spans="6:10" x14ac:dyDescent="0.25">
      <c r="F5744" t="s">
        <v>24611</v>
      </c>
      <c r="G5744">
        <v>5741</v>
      </c>
      <c r="H5744" t="s">
        <v>24612</v>
      </c>
      <c r="I5744" t="s">
        <v>24613</v>
      </c>
      <c r="J5744" t="s">
        <v>24614</v>
      </c>
    </row>
    <row r="5745" spans="6:10" x14ac:dyDescent="0.25">
      <c r="F5745" t="s">
        <v>24615</v>
      </c>
      <c r="G5745">
        <v>5742</v>
      </c>
      <c r="H5745" t="s">
        <v>24616</v>
      </c>
      <c r="I5745" t="s">
        <v>24617</v>
      </c>
      <c r="J5745" t="s">
        <v>24618</v>
      </c>
    </row>
    <row r="5746" spans="6:10" x14ac:dyDescent="0.25">
      <c r="F5746" t="s">
        <v>24619</v>
      </c>
      <c r="G5746">
        <v>5743</v>
      </c>
      <c r="H5746" t="s">
        <v>13267</v>
      </c>
      <c r="I5746" t="s">
        <v>13267</v>
      </c>
      <c r="J5746" t="s">
        <v>24620</v>
      </c>
    </row>
    <row r="5747" spans="6:10" x14ac:dyDescent="0.25">
      <c r="F5747" t="s">
        <v>24621</v>
      </c>
      <c r="G5747">
        <v>5744</v>
      </c>
      <c r="H5747" t="s">
        <v>24622</v>
      </c>
      <c r="I5747" t="s">
        <v>24623</v>
      </c>
      <c r="J5747" t="s">
        <v>24624</v>
      </c>
    </row>
    <row r="5748" spans="6:10" x14ac:dyDescent="0.25">
      <c r="F5748" t="s">
        <v>24625</v>
      </c>
      <c r="G5748">
        <v>9848677674</v>
      </c>
      <c r="H5748" t="s">
        <v>24626</v>
      </c>
      <c r="I5748" t="s">
        <v>24626</v>
      </c>
      <c r="J5748" t="s">
        <v>24627</v>
      </c>
    </row>
    <row r="5749" spans="6:10" x14ac:dyDescent="0.25">
      <c r="F5749" t="s">
        <v>24628</v>
      </c>
      <c r="G5749">
        <v>68894244504</v>
      </c>
      <c r="H5749" t="s">
        <v>24629</v>
      </c>
      <c r="I5749" t="s">
        <v>24630</v>
      </c>
      <c r="J5749" t="s">
        <v>24631</v>
      </c>
    </row>
    <row r="5750" spans="6:10" x14ac:dyDescent="0.25">
      <c r="F5750" t="s">
        <v>24632</v>
      </c>
      <c r="G5750">
        <v>5747</v>
      </c>
      <c r="H5750" t="s">
        <v>24633</v>
      </c>
      <c r="I5750" t="s">
        <v>24633</v>
      </c>
      <c r="J5750" t="s">
        <v>24634</v>
      </c>
    </row>
    <row r="5751" spans="6:10" x14ac:dyDescent="0.25">
      <c r="F5751" t="s">
        <v>24635</v>
      </c>
      <c r="G5751">
        <v>5748</v>
      </c>
      <c r="H5751" t="s">
        <v>24636</v>
      </c>
      <c r="I5751" t="s">
        <v>24636</v>
      </c>
      <c r="J5751" t="s">
        <v>24637</v>
      </c>
    </row>
    <row r="5752" spans="6:10" x14ac:dyDescent="0.25">
      <c r="F5752" t="s">
        <v>24638</v>
      </c>
      <c r="G5752">
        <v>9122762825</v>
      </c>
      <c r="H5752" t="s">
        <v>24639</v>
      </c>
      <c r="I5752" t="s">
        <v>24640</v>
      </c>
      <c r="J5752" t="s">
        <v>24641</v>
      </c>
    </row>
    <row r="5753" spans="6:10" x14ac:dyDescent="0.25">
      <c r="F5753" t="s">
        <v>24642</v>
      </c>
      <c r="G5753">
        <v>5750</v>
      </c>
      <c r="H5753" t="s">
        <v>24643</v>
      </c>
      <c r="I5753" t="s">
        <v>24643</v>
      </c>
      <c r="J5753" t="s">
        <v>24644</v>
      </c>
    </row>
    <row r="5754" spans="6:10" x14ac:dyDescent="0.25">
      <c r="F5754" t="s">
        <v>24645</v>
      </c>
      <c r="G5754">
        <v>536800146</v>
      </c>
      <c r="H5754" t="s">
        <v>24646</v>
      </c>
      <c r="I5754" t="s">
        <v>24646</v>
      </c>
      <c r="J5754" t="s">
        <v>24647</v>
      </c>
    </row>
    <row r="5755" spans="6:10" x14ac:dyDescent="0.25">
      <c r="F5755" t="s">
        <v>24648</v>
      </c>
      <c r="G5755">
        <v>5766194773</v>
      </c>
      <c r="H5755" t="s">
        <v>24649</v>
      </c>
      <c r="I5755" t="s">
        <v>24649</v>
      </c>
      <c r="J5755" t="s">
        <v>24650</v>
      </c>
    </row>
    <row r="5756" spans="6:10" x14ac:dyDescent="0.25">
      <c r="F5756" t="s">
        <v>24651</v>
      </c>
      <c r="G5756">
        <v>2861200979</v>
      </c>
      <c r="H5756" t="s">
        <v>24652</v>
      </c>
      <c r="I5756" t="s">
        <v>24652</v>
      </c>
      <c r="J5756" t="s">
        <v>24653</v>
      </c>
    </row>
    <row r="5757" spans="6:10" x14ac:dyDescent="0.25">
      <c r="F5757" t="s">
        <v>24654</v>
      </c>
      <c r="G5757">
        <v>2182856633</v>
      </c>
      <c r="H5757" t="s">
        <v>24655</v>
      </c>
      <c r="I5757" t="s">
        <v>24655</v>
      </c>
      <c r="J5757" t="s">
        <v>24656</v>
      </c>
    </row>
    <row r="5758" spans="6:10" x14ac:dyDescent="0.25">
      <c r="F5758" t="s">
        <v>24657</v>
      </c>
      <c r="G5758">
        <v>5755</v>
      </c>
      <c r="H5758" t="s">
        <v>24658</v>
      </c>
      <c r="I5758" t="s">
        <v>24659</v>
      </c>
      <c r="J5758" t="s">
        <v>24660</v>
      </c>
    </row>
    <row r="5759" spans="6:10" x14ac:dyDescent="0.25">
      <c r="F5759" t="s">
        <v>24661</v>
      </c>
      <c r="G5759">
        <v>5756</v>
      </c>
      <c r="H5759" t="s">
        <v>24480</v>
      </c>
      <c r="I5759" t="s">
        <v>24479</v>
      </c>
      <c r="J5759" t="s">
        <v>24662</v>
      </c>
    </row>
    <row r="5760" spans="6:10" x14ac:dyDescent="0.25">
      <c r="F5760" t="s">
        <v>24663</v>
      </c>
      <c r="G5760">
        <v>5757</v>
      </c>
      <c r="H5760" t="s">
        <v>24664</v>
      </c>
      <c r="I5760" t="s">
        <v>24201</v>
      </c>
      <c r="J5760" t="s">
        <v>24665</v>
      </c>
    </row>
    <row r="5761" spans="6:10" x14ac:dyDescent="0.25">
      <c r="F5761" t="s">
        <v>24666</v>
      </c>
      <c r="G5761">
        <v>5758</v>
      </c>
      <c r="H5761" t="s">
        <v>24476</v>
      </c>
      <c r="I5761" t="s">
        <v>24475</v>
      </c>
      <c r="J5761" t="s">
        <v>24667</v>
      </c>
    </row>
    <row r="5762" spans="6:10" x14ac:dyDescent="0.25">
      <c r="F5762" t="s">
        <v>24668</v>
      </c>
      <c r="G5762">
        <v>5759</v>
      </c>
      <c r="H5762" t="s">
        <v>24669</v>
      </c>
      <c r="I5762" t="s">
        <v>24670</v>
      </c>
      <c r="J5762" t="s">
        <v>24671</v>
      </c>
    </row>
    <row r="5763" spans="6:10" x14ac:dyDescent="0.25">
      <c r="F5763" t="s">
        <v>24672</v>
      </c>
      <c r="G5763">
        <v>5760</v>
      </c>
      <c r="H5763" t="s">
        <v>24673</v>
      </c>
      <c r="I5763" t="s">
        <v>24673</v>
      </c>
      <c r="J5763" t="s">
        <v>24674</v>
      </c>
    </row>
    <row r="5764" spans="6:10" x14ac:dyDescent="0.25">
      <c r="F5764" t="s">
        <v>24675</v>
      </c>
      <c r="G5764">
        <v>5761</v>
      </c>
      <c r="H5764" t="s">
        <v>24676</v>
      </c>
      <c r="I5764" t="s">
        <v>24677</v>
      </c>
      <c r="J5764" t="s">
        <v>24678</v>
      </c>
    </row>
    <row r="5765" spans="6:10" x14ac:dyDescent="0.25">
      <c r="F5765" t="s">
        <v>24679</v>
      </c>
      <c r="G5765">
        <v>5762</v>
      </c>
      <c r="H5765" t="s">
        <v>24517</v>
      </c>
      <c r="I5765" t="s">
        <v>24516</v>
      </c>
      <c r="J5765" t="s">
        <v>24680</v>
      </c>
    </row>
    <row r="5766" spans="6:10" x14ac:dyDescent="0.25">
      <c r="F5766" t="s">
        <v>24681</v>
      </c>
      <c r="G5766">
        <v>5763</v>
      </c>
      <c r="H5766" t="s">
        <v>24682</v>
      </c>
      <c r="I5766" t="s">
        <v>24682</v>
      </c>
      <c r="J5766" t="s">
        <v>24683</v>
      </c>
    </row>
    <row r="5767" spans="6:10" x14ac:dyDescent="0.25">
      <c r="F5767" t="s">
        <v>24684</v>
      </c>
      <c r="G5767">
        <v>5764</v>
      </c>
      <c r="H5767" t="s">
        <v>24685</v>
      </c>
      <c r="I5767" t="s">
        <v>24686</v>
      </c>
      <c r="J5767" t="s">
        <v>24687</v>
      </c>
    </row>
    <row r="5768" spans="6:10" x14ac:dyDescent="0.25">
      <c r="F5768" t="s">
        <v>24688</v>
      </c>
      <c r="G5768">
        <v>5765</v>
      </c>
      <c r="H5768" t="s">
        <v>24689</v>
      </c>
      <c r="I5768" t="s">
        <v>24689</v>
      </c>
      <c r="J5768" t="s">
        <v>24690</v>
      </c>
    </row>
    <row r="5769" spans="6:10" x14ac:dyDescent="0.25">
      <c r="F5769" t="s">
        <v>24691</v>
      </c>
      <c r="G5769">
        <v>5766</v>
      </c>
      <c r="H5769" t="s">
        <v>24692</v>
      </c>
      <c r="I5769" t="s">
        <v>24692</v>
      </c>
      <c r="J5769" t="s">
        <v>24693</v>
      </c>
    </row>
    <row r="5770" spans="6:10" x14ac:dyDescent="0.25">
      <c r="F5770" t="s">
        <v>24694</v>
      </c>
      <c r="G5770">
        <v>5767</v>
      </c>
      <c r="H5770" t="s">
        <v>24695</v>
      </c>
      <c r="I5770" t="s">
        <v>24696</v>
      </c>
      <c r="J5770" t="s">
        <v>24697</v>
      </c>
    </row>
    <row r="5771" spans="6:10" x14ac:dyDescent="0.25">
      <c r="F5771" t="s">
        <v>24698</v>
      </c>
      <c r="G5771">
        <v>5768</v>
      </c>
      <c r="H5771" t="s">
        <v>24699</v>
      </c>
      <c r="I5771" t="s">
        <v>24700</v>
      </c>
      <c r="J5771" t="s">
        <v>24701</v>
      </c>
    </row>
    <row r="5772" spans="6:10" x14ac:dyDescent="0.25">
      <c r="F5772" t="s">
        <v>24702</v>
      </c>
      <c r="G5772">
        <v>5769</v>
      </c>
      <c r="H5772" t="s">
        <v>24703</v>
      </c>
      <c r="I5772" t="s">
        <v>24704</v>
      </c>
      <c r="J5772" t="s">
        <v>24705</v>
      </c>
    </row>
    <row r="5773" spans="6:10" x14ac:dyDescent="0.25">
      <c r="F5773" t="s">
        <v>24706</v>
      </c>
      <c r="G5773">
        <v>5770</v>
      </c>
      <c r="H5773" t="s">
        <v>24707</v>
      </c>
      <c r="I5773" t="s">
        <v>24708</v>
      </c>
      <c r="J5773" t="s">
        <v>24709</v>
      </c>
    </row>
    <row r="5774" spans="6:10" x14ac:dyDescent="0.25">
      <c r="F5774" t="s">
        <v>24710</v>
      </c>
      <c r="G5774">
        <v>5771</v>
      </c>
      <c r="H5774" t="s">
        <v>24711</v>
      </c>
      <c r="I5774" t="s">
        <v>24712</v>
      </c>
      <c r="J5774" t="s">
        <v>24713</v>
      </c>
    </row>
    <row r="5775" spans="6:10" x14ac:dyDescent="0.25">
      <c r="F5775" t="s">
        <v>24714</v>
      </c>
      <c r="G5775">
        <v>5772</v>
      </c>
      <c r="H5775" t="s">
        <v>16274</v>
      </c>
      <c r="I5775" t="s">
        <v>24715</v>
      </c>
      <c r="J5775" t="s">
        <v>24716</v>
      </c>
    </row>
    <row r="5776" spans="6:10" x14ac:dyDescent="0.25">
      <c r="F5776" t="s">
        <v>24717</v>
      </c>
      <c r="G5776">
        <v>5773</v>
      </c>
      <c r="H5776" t="s">
        <v>24718</v>
      </c>
      <c r="I5776" t="s">
        <v>24719</v>
      </c>
      <c r="J5776" t="s">
        <v>24720</v>
      </c>
    </row>
    <row r="5777" spans="6:10" x14ac:dyDescent="0.25">
      <c r="F5777" t="s">
        <v>24721</v>
      </c>
      <c r="G5777">
        <v>5774</v>
      </c>
      <c r="H5777" t="s">
        <v>24722</v>
      </c>
      <c r="I5777" t="s">
        <v>24722</v>
      </c>
      <c r="J5777" t="s">
        <v>24723</v>
      </c>
    </row>
    <row r="5778" spans="6:10" x14ac:dyDescent="0.25">
      <c r="F5778" t="s">
        <v>24724</v>
      </c>
      <c r="G5778">
        <v>5775</v>
      </c>
      <c r="H5778" t="s">
        <v>24725</v>
      </c>
      <c r="I5778" t="s">
        <v>24725</v>
      </c>
      <c r="J5778" t="s">
        <v>24726</v>
      </c>
    </row>
    <row r="5779" spans="6:10" x14ac:dyDescent="0.25">
      <c r="F5779" t="s">
        <v>24727</v>
      </c>
      <c r="G5779">
        <v>5776</v>
      </c>
      <c r="H5779" t="s">
        <v>24728</v>
      </c>
      <c r="I5779" t="s">
        <v>24729</v>
      </c>
      <c r="J5779" t="s">
        <v>24730</v>
      </c>
    </row>
    <row r="5780" spans="6:10" x14ac:dyDescent="0.25">
      <c r="F5780" t="s">
        <v>24731</v>
      </c>
      <c r="G5780">
        <v>21576934837</v>
      </c>
      <c r="H5780" t="s">
        <v>24732</v>
      </c>
      <c r="I5780" t="s">
        <v>24732</v>
      </c>
      <c r="J5780" t="s">
        <v>24733</v>
      </c>
    </row>
    <row r="5781" spans="6:10" x14ac:dyDescent="0.25">
      <c r="F5781" t="s">
        <v>24734</v>
      </c>
      <c r="G5781">
        <v>6245126738</v>
      </c>
      <c r="H5781" t="s">
        <v>24735</v>
      </c>
      <c r="I5781" t="s">
        <v>24735</v>
      </c>
      <c r="J5781" t="s">
        <v>24736</v>
      </c>
    </row>
    <row r="5782" spans="6:10" x14ac:dyDescent="0.25">
      <c r="F5782" t="s">
        <v>24737</v>
      </c>
      <c r="G5782">
        <v>5779</v>
      </c>
      <c r="H5782" t="s">
        <v>24738</v>
      </c>
      <c r="I5782" t="s">
        <v>24739</v>
      </c>
      <c r="J5782" t="s">
        <v>24740</v>
      </c>
    </row>
    <row r="5783" spans="6:10" x14ac:dyDescent="0.25">
      <c r="F5783" t="s">
        <v>24741</v>
      </c>
      <c r="G5783">
        <v>5780</v>
      </c>
      <c r="H5783" t="s">
        <v>24742</v>
      </c>
      <c r="I5783" t="s">
        <v>24742</v>
      </c>
      <c r="J5783" t="s">
        <v>24743</v>
      </c>
    </row>
    <row r="5784" spans="6:10" x14ac:dyDescent="0.25">
      <c r="F5784" t="s">
        <v>24744</v>
      </c>
      <c r="G5784">
        <v>5781</v>
      </c>
      <c r="H5784" t="s">
        <v>24745</v>
      </c>
      <c r="I5784" t="s">
        <v>24746</v>
      </c>
      <c r="J5784" t="s">
        <v>24747</v>
      </c>
    </row>
    <row r="5785" spans="6:10" x14ac:dyDescent="0.25">
      <c r="F5785" t="s">
        <v>24748</v>
      </c>
      <c r="G5785">
        <v>5782</v>
      </c>
      <c r="H5785" t="s">
        <v>24749</v>
      </c>
      <c r="I5785" t="s">
        <v>24750</v>
      </c>
      <c r="J5785" t="s">
        <v>24751</v>
      </c>
    </row>
    <row r="5786" spans="6:10" x14ac:dyDescent="0.25">
      <c r="F5786" t="s">
        <v>24752</v>
      </c>
      <c r="G5786">
        <v>5783</v>
      </c>
      <c r="H5786" t="s">
        <v>24753</v>
      </c>
      <c r="I5786" t="s">
        <v>24754</v>
      </c>
      <c r="J5786" t="s">
        <v>24755</v>
      </c>
    </row>
    <row r="5787" spans="6:10" x14ac:dyDescent="0.25">
      <c r="F5787" t="s">
        <v>24756</v>
      </c>
      <c r="G5787">
        <v>5784</v>
      </c>
      <c r="H5787" t="s">
        <v>24757</v>
      </c>
      <c r="I5787" t="s">
        <v>24757</v>
      </c>
      <c r="J5787" t="s">
        <v>24758</v>
      </c>
    </row>
    <row r="5788" spans="6:10" x14ac:dyDescent="0.25">
      <c r="F5788" t="s">
        <v>24759</v>
      </c>
      <c r="G5788">
        <v>5785</v>
      </c>
      <c r="H5788" t="s">
        <v>24760</v>
      </c>
      <c r="I5788" t="s">
        <v>24760</v>
      </c>
      <c r="J5788" t="s">
        <v>24761</v>
      </c>
    </row>
    <row r="5789" spans="6:10" x14ac:dyDescent="0.25">
      <c r="F5789" t="s">
        <v>24762</v>
      </c>
      <c r="G5789">
        <v>5786</v>
      </c>
      <c r="H5789" t="s">
        <v>24763</v>
      </c>
      <c r="I5789" t="s">
        <v>24764</v>
      </c>
      <c r="J5789" t="s">
        <v>24765</v>
      </c>
    </row>
    <row r="5790" spans="6:10" x14ac:dyDescent="0.25">
      <c r="F5790" t="s">
        <v>24766</v>
      </c>
      <c r="G5790">
        <v>5787</v>
      </c>
      <c r="H5790" t="s">
        <v>24767</v>
      </c>
      <c r="I5790" t="s">
        <v>24767</v>
      </c>
      <c r="J5790" t="s">
        <v>24768</v>
      </c>
    </row>
    <row r="5791" spans="6:10" x14ac:dyDescent="0.25">
      <c r="F5791" t="s">
        <v>24769</v>
      </c>
      <c r="G5791">
        <v>5788</v>
      </c>
      <c r="H5791" t="s">
        <v>24770</v>
      </c>
      <c r="I5791" t="s">
        <v>24771</v>
      </c>
      <c r="J5791" t="s">
        <v>24772</v>
      </c>
    </row>
    <row r="5792" spans="6:10" x14ac:dyDescent="0.25">
      <c r="F5792" t="s">
        <v>24773</v>
      </c>
      <c r="G5792">
        <v>5789</v>
      </c>
      <c r="H5792" t="s">
        <v>24774</v>
      </c>
      <c r="I5792" t="s">
        <v>24774</v>
      </c>
      <c r="J5792" t="s">
        <v>24775</v>
      </c>
    </row>
    <row r="5793" spans="6:10" x14ac:dyDescent="0.25">
      <c r="F5793" t="s">
        <v>24776</v>
      </c>
      <c r="G5793">
        <v>10786517794</v>
      </c>
      <c r="H5793" t="s">
        <v>24777</v>
      </c>
      <c r="I5793" t="s">
        <v>24777</v>
      </c>
      <c r="J5793" t="s">
        <v>24778</v>
      </c>
    </row>
    <row r="5794" spans="6:10" x14ac:dyDescent="0.25">
      <c r="F5794" t="s">
        <v>24779</v>
      </c>
      <c r="G5794">
        <v>5791</v>
      </c>
      <c r="H5794" t="s">
        <v>24780</v>
      </c>
      <c r="I5794" t="s">
        <v>24781</v>
      </c>
      <c r="J5794" t="s">
        <v>24782</v>
      </c>
    </row>
    <row r="5795" spans="6:10" x14ac:dyDescent="0.25">
      <c r="F5795" t="s">
        <v>24783</v>
      </c>
      <c r="G5795">
        <v>5792</v>
      </c>
      <c r="H5795" t="s">
        <v>24784</v>
      </c>
      <c r="I5795" t="s">
        <v>24785</v>
      </c>
      <c r="J5795" t="s">
        <v>24786</v>
      </c>
    </row>
    <row r="5796" spans="6:10" x14ac:dyDescent="0.25">
      <c r="F5796" t="s">
        <v>24787</v>
      </c>
      <c r="G5796">
        <v>5793</v>
      </c>
      <c r="H5796" t="s">
        <v>24788</v>
      </c>
      <c r="I5796" t="s">
        <v>24788</v>
      </c>
      <c r="J5796" t="s">
        <v>24789</v>
      </c>
    </row>
    <row r="5797" spans="6:10" x14ac:dyDescent="0.25">
      <c r="F5797" t="s">
        <v>24790</v>
      </c>
      <c r="G5797">
        <v>5794</v>
      </c>
      <c r="H5797" t="s">
        <v>24791</v>
      </c>
      <c r="I5797" t="s">
        <v>24792</v>
      </c>
      <c r="J5797" t="s">
        <v>24793</v>
      </c>
    </row>
    <row r="5798" spans="6:10" x14ac:dyDescent="0.25">
      <c r="F5798" t="s">
        <v>24794</v>
      </c>
      <c r="G5798">
        <v>5795</v>
      </c>
      <c r="H5798" t="s">
        <v>24795</v>
      </c>
      <c r="I5798" t="s">
        <v>24796</v>
      </c>
      <c r="J5798" t="s">
        <v>24797</v>
      </c>
    </row>
    <row r="5799" spans="6:10" x14ac:dyDescent="0.25">
      <c r="F5799" t="s">
        <v>24798</v>
      </c>
      <c r="G5799">
        <v>5796</v>
      </c>
      <c r="H5799" t="s">
        <v>24526</v>
      </c>
      <c r="I5799" t="s">
        <v>24526</v>
      </c>
      <c r="J5799" t="s">
        <v>24799</v>
      </c>
    </row>
    <row r="5800" spans="6:10" x14ac:dyDescent="0.25">
      <c r="F5800" t="s">
        <v>24800</v>
      </c>
      <c r="G5800">
        <v>44746641838</v>
      </c>
      <c r="H5800" t="s">
        <v>24801</v>
      </c>
      <c r="I5800" t="s">
        <v>24802</v>
      </c>
      <c r="J5800" t="s">
        <v>24803</v>
      </c>
    </row>
    <row r="5801" spans="6:10" x14ac:dyDescent="0.25">
      <c r="F5801" t="s">
        <v>24804</v>
      </c>
      <c r="G5801">
        <v>5798</v>
      </c>
      <c r="H5801" t="s">
        <v>24554</v>
      </c>
      <c r="I5801" t="s">
        <v>24553</v>
      </c>
      <c r="J5801" t="s">
        <v>24805</v>
      </c>
    </row>
    <row r="5802" spans="6:10" x14ac:dyDescent="0.25">
      <c r="F5802" t="s">
        <v>24806</v>
      </c>
      <c r="G5802">
        <v>5799</v>
      </c>
      <c r="H5802" t="s">
        <v>24807</v>
      </c>
      <c r="I5802" t="s">
        <v>24808</v>
      </c>
      <c r="J5802" t="s">
        <v>24809</v>
      </c>
    </row>
    <row r="5803" spans="6:10" x14ac:dyDescent="0.25">
      <c r="F5803" t="s">
        <v>24810</v>
      </c>
      <c r="G5803">
        <v>5800</v>
      </c>
      <c r="H5803" t="s">
        <v>24811</v>
      </c>
      <c r="I5803" t="s">
        <v>24811</v>
      </c>
      <c r="J5803" t="s">
        <v>24812</v>
      </c>
    </row>
    <row r="5804" spans="6:10" x14ac:dyDescent="0.25">
      <c r="F5804" t="s">
        <v>24813</v>
      </c>
      <c r="G5804">
        <v>5801</v>
      </c>
      <c r="H5804" t="s">
        <v>24814</v>
      </c>
      <c r="I5804" t="s">
        <v>24815</v>
      </c>
      <c r="J5804" t="s">
        <v>24816</v>
      </c>
    </row>
    <row r="5805" spans="6:10" x14ac:dyDescent="0.25">
      <c r="F5805" t="s">
        <v>24817</v>
      </c>
      <c r="G5805">
        <v>5802</v>
      </c>
      <c r="H5805" t="s">
        <v>24818</v>
      </c>
      <c r="I5805" t="s">
        <v>24818</v>
      </c>
      <c r="J5805" t="s">
        <v>24819</v>
      </c>
    </row>
    <row r="5806" spans="6:10" x14ac:dyDescent="0.25">
      <c r="F5806" t="s">
        <v>24820</v>
      </c>
      <c r="G5806">
        <v>5803</v>
      </c>
      <c r="H5806" t="s">
        <v>24821</v>
      </c>
      <c r="I5806" t="s">
        <v>24821</v>
      </c>
      <c r="J5806" t="s">
        <v>24822</v>
      </c>
    </row>
    <row r="5807" spans="6:10" x14ac:dyDescent="0.25">
      <c r="F5807" t="s">
        <v>24823</v>
      </c>
      <c r="G5807">
        <v>5804</v>
      </c>
      <c r="H5807" t="s">
        <v>24824</v>
      </c>
      <c r="I5807" t="s">
        <v>24825</v>
      </c>
      <c r="J5807" t="s">
        <v>24826</v>
      </c>
    </row>
    <row r="5808" spans="6:10" x14ac:dyDescent="0.25">
      <c r="F5808" t="s">
        <v>24827</v>
      </c>
      <c r="G5808">
        <v>5805</v>
      </c>
      <c r="H5808" t="s">
        <v>24828</v>
      </c>
      <c r="I5808" t="s">
        <v>24829</v>
      </c>
      <c r="J5808" t="s">
        <v>24830</v>
      </c>
    </row>
    <row r="5809" spans="6:10" x14ac:dyDescent="0.25">
      <c r="F5809" t="s">
        <v>24831</v>
      </c>
      <c r="G5809">
        <v>5806</v>
      </c>
      <c r="H5809" t="s">
        <v>24832</v>
      </c>
      <c r="I5809" t="s">
        <v>24833</v>
      </c>
      <c r="J5809" t="s">
        <v>24834</v>
      </c>
    </row>
    <row r="5810" spans="6:10" x14ac:dyDescent="0.25">
      <c r="F5810" t="s">
        <v>24835</v>
      </c>
      <c r="G5810">
        <v>5807</v>
      </c>
      <c r="H5810" t="s">
        <v>24836</v>
      </c>
      <c r="I5810" t="s">
        <v>24836</v>
      </c>
      <c r="J5810" t="s">
        <v>24837</v>
      </c>
    </row>
    <row r="5811" spans="6:10" x14ac:dyDescent="0.25">
      <c r="F5811" t="s">
        <v>24838</v>
      </c>
      <c r="G5811">
        <v>5808</v>
      </c>
      <c r="H5811" t="s">
        <v>24839</v>
      </c>
      <c r="I5811" t="s">
        <v>24840</v>
      </c>
      <c r="J5811" t="s">
        <v>24841</v>
      </c>
    </row>
    <row r="5812" spans="6:10" x14ac:dyDescent="0.25">
      <c r="F5812" t="s">
        <v>24842</v>
      </c>
      <c r="G5812">
        <v>5809</v>
      </c>
      <c r="H5812" t="s">
        <v>24843</v>
      </c>
      <c r="I5812" t="s">
        <v>24844</v>
      </c>
      <c r="J5812" t="s">
        <v>24845</v>
      </c>
    </row>
    <row r="5813" spans="6:10" x14ac:dyDescent="0.25">
      <c r="F5813" t="s">
        <v>24846</v>
      </c>
      <c r="G5813">
        <v>5810</v>
      </c>
      <c r="H5813" t="s">
        <v>24847</v>
      </c>
      <c r="I5813" t="s">
        <v>24847</v>
      </c>
      <c r="J5813" t="s">
        <v>24848</v>
      </c>
    </row>
    <row r="5814" spans="6:10" x14ac:dyDescent="0.25">
      <c r="F5814" t="s">
        <v>24849</v>
      </c>
      <c r="G5814">
        <v>5811</v>
      </c>
      <c r="H5814" t="s">
        <v>24850</v>
      </c>
      <c r="I5814" t="s">
        <v>24850</v>
      </c>
      <c r="J5814" t="s">
        <v>24851</v>
      </c>
    </row>
    <row r="5815" spans="6:10" x14ac:dyDescent="0.25">
      <c r="F5815" t="s">
        <v>24852</v>
      </c>
      <c r="G5815">
        <v>5812</v>
      </c>
      <c r="H5815" t="s">
        <v>24853</v>
      </c>
      <c r="I5815" t="s">
        <v>24853</v>
      </c>
      <c r="J5815" t="s">
        <v>24854</v>
      </c>
    </row>
    <row r="5816" spans="6:10" x14ac:dyDescent="0.25">
      <c r="F5816" t="s">
        <v>24855</v>
      </c>
      <c r="G5816">
        <v>5813</v>
      </c>
      <c r="H5816" t="s">
        <v>24856</v>
      </c>
      <c r="I5816" t="s">
        <v>24856</v>
      </c>
      <c r="J5816" t="s">
        <v>24857</v>
      </c>
    </row>
    <row r="5817" spans="6:10" x14ac:dyDescent="0.25">
      <c r="F5817" t="s">
        <v>24858</v>
      </c>
      <c r="G5817">
        <v>5814</v>
      </c>
      <c r="H5817" t="s">
        <v>24859</v>
      </c>
      <c r="I5817" t="s">
        <v>24860</v>
      </c>
      <c r="J5817" t="s">
        <v>24861</v>
      </c>
    </row>
    <row r="5818" spans="6:10" x14ac:dyDescent="0.25">
      <c r="F5818" t="s">
        <v>24862</v>
      </c>
      <c r="G5818">
        <v>5815</v>
      </c>
      <c r="H5818" t="s">
        <v>24863</v>
      </c>
      <c r="I5818" t="s">
        <v>24863</v>
      </c>
      <c r="J5818" t="s">
        <v>24864</v>
      </c>
    </row>
    <row r="5819" spans="6:10" x14ac:dyDescent="0.25">
      <c r="F5819" t="s">
        <v>24865</v>
      </c>
      <c r="G5819">
        <v>5816</v>
      </c>
      <c r="H5819" t="s">
        <v>24866</v>
      </c>
      <c r="I5819" t="s">
        <v>24866</v>
      </c>
      <c r="J5819" t="s">
        <v>24867</v>
      </c>
    </row>
    <row r="5820" spans="6:10" x14ac:dyDescent="0.25">
      <c r="F5820" t="s">
        <v>24868</v>
      </c>
      <c r="G5820">
        <v>5817</v>
      </c>
      <c r="H5820" t="s">
        <v>24869</v>
      </c>
      <c r="I5820" t="s">
        <v>24869</v>
      </c>
      <c r="J5820" t="s">
        <v>24870</v>
      </c>
    </row>
    <row r="5821" spans="6:10" x14ac:dyDescent="0.25">
      <c r="F5821" t="s">
        <v>24871</v>
      </c>
      <c r="G5821">
        <v>5818</v>
      </c>
      <c r="H5821" t="s">
        <v>24872</v>
      </c>
      <c r="I5821" t="s">
        <v>24872</v>
      </c>
      <c r="J5821" t="s">
        <v>24873</v>
      </c>
    </row>
    <row r="5822" spans="6:10" x14ac:dyDescent="0.25">
      <c r="F5822" t="s">
        <v>24874</v>
      </c>
      <c r="G5822">
        <v>5819</v>
      </c>
      <c r="H5822" t="s">
        <v>24875</v>
      </c>
      <c r="I5822" t="s">
        <v>24875</v>
      </c>
      <c r="J5822" t="s">
        <v>24876</v>
      </c>
    </row>
    <row r="5823" spans="6:10" x14ac:dyDescent="0.25">
      <c r="F5823" t="s">
        <v>24877</v>
      </c>
      <c r="G5823">
        <v>5820</v>
      </c>
      <c r="H5823" t="s">
        <v>24878</v>
      </c>
      <c r="I5823" t="s">
        <v>24879</v>
      </c>
      <c r="J5823" t="s">
        <v>24880</v>
      </c>
    </row>
    <row r="5824" spans="6:10" x14ac:dyDescent="0.25">
      <c r="F5824" t="s">
        <v>24881</v>
      </c>
      <c r="G5824">
        <v>5821</v>
      </c>
      <c r="H5824" t="s">
        <v>24882</v>
      </c>
      <c r="I5824" t="s">
        <v>24883</v>
      </c>
      <c r="J5824" t="s">
        <v>24884</v>
      </c>
    </row>
    <row r="5825" spans="6:10" x14ac:dyDescent="0.25">
      <c r="F5825" t="s">
        <v>24885</v>
      </c>
      <c r="G5825">
        <v>5822</v>
      </c>
      <c r="H5825" t="s">
        <v>24886</v>
      </c>
      <c r="I5825" t="s">
        <v>24886</v>
      </c>
      <c r="J5825" t="s">
        <v>24887</v>
      </c>
    </row>
    <row r="5826" spans="6:10" x14ac:dyDescent="0.25">
      <c r="F5826" t="s">
        <v>24888</v>
      </c>
      <c r="G5826">
        <v>5823</v>
      </c>
      <c r="H5826" t="s">
        <v>24889</v>
      </c>
      <c r="I5826" t="s">
        <v>24890</v>
      </c>
      <c r="J5826" t="s">
        <v>24891</v>
      </c>
    </row>
    <row r="5827" spans="6:10" x14ac:dyDescent="0.25">
      <c r="F5827" t="s">
        <v>24892</v>
      </c>
      <c r="G5827">
        <v>5824</v>
      </c>
      <c r="H5827" t="s">
        <v>24893</v>
      </c>
      <c r="I5827" t="s">
        <v>24894</v>
      </c>
      <c r="J5827" t="s">
        <v>24895</v>
      </c>
    </row>
    <row r="5828" spans="6:10" x14ac:dyDescent="0.25">
      <c r="F5828" t="s">
        <v>24896</v>
      </c>
      <c r="G5828">
        <v>5825</v>
      </c>
      <c r="H5828" t="s">
        <v>24557</v>
      </c>
      <c r="I5828" t="s">
        <v>24556</v>
      </c>
      <c r="J5828" t="s">
        <v>24897</v>
      </c>
    </row>
    <row r="5829" spans="6:10" x14ac:dyDescent="0.25">
      <c r="F5829" t="s">
        <v>24898</v>
      </c>
      <c r="G5829">
        <v>5826</v>
      </c>
      <c r="H5829" t="s">
        <v>24899</v>
      </c>
      <c r="I5829" t="s">
        <v>24900</v>
      </c>
      <c r="J5829" t="s">
        <v>24901</v>
      </c>
    </row>
    <row r="5830" spans="6:10" x14ac:dyDescent="0.25">
      <c r="F5830" t="s">
        <v>24902</v>
      </c>
      <c r="G5830">
        <v>5827</v>
      </c>
      <c r="H5830" t="s">
        <v>1936</v>
      </c>
      <c r="I5830" t="s">
        <v>24903</v>
      </c>
      <c r="J5830" t="s">
        <v>24904</v>
      </c>
    </row>
    <row r="5831" spans="6:10" x14ac:dyDescent="0.25">
      <c r="F5831" t="s">
        <v>24905</v>
      </c>
      <c r="G5831">
        <v>5828</v>
      </c>
      <c r="H5831" t="s">
        <v>24906</v>
      </c>
      <c r="I5831" t="s">
        <v>24907</v>
      </c>
      <c r="J5831" t="s">
        <v>24908</v>
      </c>
    </row>
    <row r="5832" spans="6:10" x14ac:dyDescent="0.25">
      <c r="F5832" t="s">
        <v>24909</v>
      </c>
      <c r="G5832">
        <v>5829</v>
      </c>
      <c r="H5832" t="s">
        <v>24910</v>
      </c>
      <c r="I5832" t="s">
        <v>24911</v>
      </c>
      <c r="J5832" t="s">
        <v>24912</v>
      </c>
    </row>
    <row r="5833" spans="6:10" x14ac:dyDescent="0.25">
      <c r="F5833" t="s">
        <v>24913</v>
      </c>
      <c r="G5833">
        <v>5830</v>
      </c>
      <c r="H5833" t="s">
        <v>24914</v>
      </c>
      <c r="I5833" t="s">
        <v>24914</v>
      </c>
      <c r="J5833" t="s">
        <v>24915</v>
      </c>
    </row>
    <row r="5834" spans="6:10" x14ac:dyDescent="0.25">
      <c r="F5834" t="s">
        <v>24916</v>
      </c>
      <c r="G5834">
        <v>5831</v>
      </c>
      <c r="H5834" t="s">
        <v>24917</v>
      </c>
      <c r="I5834" t="s">
        <v>24918</v>
      </c>
      <c r="J5834" t="s">
        <v>24919</v>
      </c>
    </row>
    <row r="5835" spans="6:10" x14ac:dyDescent="0.25">
      <c r="F5835" t="s">
        <v>24920</v>
      </c>
      <c r="G5835">
        <v>5832</v>
      </c>
      <c r="H5835" t="s">
        <v>24921</v>
      </c>
      <c r="I5835" t="s">
        <v>24922</v>
      </c>
      <c r="J5835" t="s">
        <v>24923</v>
      </c>
    </row>
    <row r="5836" spans="6:10" x14ac:dyDescent="0.25">
      <c r="F5836" t="s">
        <v>24924</v>
      </c>
      <c r="G5836">
        <v>5833</v>
      </c>
      <c r="H5836" t="s">
        <v>24925</v>
      </c>
      <c r="I5836" t="s">
        <v>24926</v>
      </c>
      <c r="J5836" t="s">
        <v>24927</v>
      </c>
    </row>
    <row r="5837" spans="6:10" x14ac:dyDescent="0.25">
      <c r="F5837" t="s">
        <v>24928</v>
      </c>
      <c r="G5837">
        <v>5834</v>
      </c>
      <c r="H5837" t="s">
        <v>24929</v>
      </c>
      <c r="I5837" t="s">
        <v>24930</v>
      </c>
      <c r="J5837" t="s">
        <v>24931</v>
      </c>
    </row>
    <row r="5838" spans="6:10" x14ac:dyDescent="0.25">
      <c r="F5838" t="s">
        <v>24932</v>
      </c>
      <c r="G5838">
        <v>5835</v>
      </c>
      <c r="H5838" t="s">
        <v>24933</v>
      </c>
      <c r="I5838" t="s">
        <v>24933</v>
      </c>
      <c r="J5838" t="s">
        <v>24934</v>
      </c>
    </row>
    <row r="5839" spans="6:10" x14ac:dyDescent="0.25">
      <c r="F5839" t="s">
        <v>24935</v>
      </c>
      <c r="G5839">
        <v>5836</v>
      </c>
      <c r="H5839" t="s">
        <v>24936</v>
      </c>
      <c r="I5839" t="s">
        <v>24937</v>
      </c>
      <c r="J5839" t="s">
        <v>24938</v>
      </c>
    </row>
    <row r="5840" spans="6:10" x14ac:dyDescent="0.25">
      <c r="F5840" t="s">
        <v>24939</v>
      </c>
      <c r="G5840">
        <v>5837</v>
      </c>
      <c r="H5840" t="s">
        <v>24940</v>
      </c>
      <c r="I5840" t="s">
        <v>24941</v>
      </c>
      <c r="J5840" t="s">
        <v>24942</v>
      </c>
    </row>
    <row r="5841" spans="6:10" x14ac:dyDescent="0.25">
      <c r="F5841" t="s">
        <v>24943</v>
      </c>
      <c r="G5841">
        <v>5838</v>
      </c>
      <c r="H5841" t="s">
        <v>24944</v>
      </c>
      <c r="I5841" t="s">
        <v>24944</v>
      </c>
      <c r="J5841" t="s">
        <v>24945</v>
      </c>
    </row>
    <row r="5842" spans="6:10" x14ac:dyDescent="0.25">
      <c r="F5842" t="s">
        <v>24946</v>
      </c>
      <c r="G5842">
        <v>5839</v>
      </c>
      <c r="H5842" t="s">
        <v>24947</v>
      </c>
      <c r="I5842" t="s">
        <v>24947</v>
      </c>
      <c r="J5842" t="s">
        <v>24948</v>
      </c>
    </row>
    <row r="5843" spans="6:10" x14ac:dyDescent="0.25">
      <c r="F5843" t="s">
        <v>24949</v>
      </c>
      <c r="G5843">
        <v>5840</v>
      </c>
      <c r="H5843" t="s">
        <v>24950</v>
      </c>
      <c r="I5843" t="s">
        <v>24951</v>
      </c>
      <c r="J5843" t="s">
        <v>24952</v>
      </c>
    </row>
    <row r="5844" spans="6:10" x14ac:dyDescent="0.25">
      <c r="F5844" t="s">
        <v>24953</v>
      </c>
      <c r="G5844">
        <v>5841</v>
      </c>
      <c r="H5844" t="s">
        <v>24954</v>
      </c>
      <c r="I5844" t="s">
        <v>24955</v>
      </c>
      <c r="J5844" t="s">
        <v>24956</v>
      </c>
    </row>
    <row r="5845" spans="6:10" x14ac:dyDescent="0.25">
      <c r="F5845" t="s">
        <v>24957</v>
      </c>
      <c r="G5845">
        <v>5842</v>
      </c>
      <c r="H5845" t="s">
        <v>24958</v>
      </c>
      <c r="I5845" t="s">
        <v>24959</v>
      </c>
      <c r="J5845" t="s">
        <v>24960</v>
      </c>
    </row>
    <row r="5846" spans="6:10" x14ac:dyDescent="0.25">
      <c r="F5846" t="s">
        <v>24961</v>
      </c>
      <c r="G5846">
        <v>5843</v>
      </c>
      <c r="H5846" t="s">
        <v>24958</v>
      </c>
      <c r="I5846" t="s">
        <v>24959</v>
      </c>
      <c r="J5846" t="s">
        <v>24962</v>
      </c>
    </row>
    <row r="5847" spans="6:10" x14ac:dyDescent="0.25">
      <c r="F5847" t="s">
        <v>24963</v>
      </c>
      <c r="G5847">
        <v>5844</v>
      </c>
      <c r="H5847" t="s">
        <v>24964</v>
      </c>
      <c r="I5847" t="s">
        <v>24964</v>
      </c>
      <c r="J5847" t="s">
        <v>24965</v>
      </c>
    </row>
    <row r="5848" spans="6:10" x14ac:dyDescent="0.25">
      <c r="F5848" t="s">
        <v>24966</v>
      </c>
      <c r="G5848">
        <v>5845</v>
      </c>
      <c r="H5848" t="s">
        <v>24967</v>
      </c>
      <c r="I5848" t="s">
        <v>24968</v>
      </c>
      <c r="J5848" t="s">
        <v>24969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98"/>
  <sheetViews>
    <sheetView workbookViewId="0">
      <selection sqref="A1:C1311"/>
    </sheetView>
  </sheetViews>
  <sheetFormatPr defaultRowHeight="15" x14ac:dyDescent="0.25"/>
  <cols>
    <col min="1" max="1" width="16.28515625" bestFit="1" customWidth="1"/>
    <col min="2" max="2" width="81.140625" bestFit="1" customWidth="1"/>
    <col min="3" max="3" width="17.42578125" bestFit="1" customWidth="1"/>
  </cols>
  <sheetData>
    <row r="1" spans="1:3" x14ac:dyDescent="0.25">
      <c r="A1" t="s">
        <v>21177</v>
      </c>
      <c r="B1" t="s">
        <v>20501</v>
      </c>
      <c r="C1" t="s">
        <v>21176</v>
      </c>
    </row>
    <row r="2" spans="1:3" x14ac:dyDescent="0.25">
      <c r="A2">
        <v>103012167</v>
      </c>
      <c r="B2" t="s">
        <v>21114</v>
      </c>
      <c r="C2" t="s">
        <v>21113</v>
      </c>
    </row>
    <row r="3" spans="1:3" x14ac:dyDescent="0.25">
      <c r="A3">
        <v>210112487</v>
      </c>
      <c r="B3" t="s">
        <v>24001</v>
      </c>
      <c r="C3" t="s">
        <v>24002</v>
      </c>
    </row>
    <row r="4" spans="1:3" x14ac:dyDescent="0.25">
      <c r="A4">
        <v>210518559</v>
      </c>
      <c r="B4" t="s">
        <v>20696</v>
      </c>
      <c r="C4" t="s">
        <v>20695</v>
      </c>
    </row>
    <row r="5" spans="1:3" x14ac:dyDescent="0.25">
      <c r="A5">
        <v>211078601</v>
      </c>
      <c r="B5" t="s">
        <v>21139</v>
      </c>
      <c r="C5" t="s">
        <v>21138</v>
      </c>
    </row>
    <row r="6" spans="1:3" x14ac:dyDescent="0.25">
      <c r="A6">
        <v>330171406</v>
      </c>
      <c r="B6" t="s">
        <v>24970</v>
      </c>
      <c r="C6" t="s">
        <v>24971</v>
      </c>
    </row>
    <row r="7" spans="1:3" x14ac:dyDescent="0.25">
      <c r="A7">
        <v>1101015336</v>
      </c>
      <c r="B7" t="s">
        <v>21199</v>
      </c>
      <c r="C7" t="s">
        <v>21200</v>
      </c>
    </row>
    <row r="8" spans="1:3" x14ac:dyDescent="0.25">
      <c r="A8">
        <v>1102685333</v>
      </c>
      <c r="B8" t="s">
        <v>21201</v>
      </c>
      <c r="C8" t="s">
        <v>21202</v>
      </c>
    </row>
    <row r="9" spans="1:3" x14ac:dyDescent="0.25">
      <c r="A9">
        <v>1102685334</v>
      </c>
      <c r="B9" t="s">
        <v>21203</v>
      </c>
      <c r="C9" t="s">
        <v>21204</v>
      </c>
    </row>
    <row r="10" spans="1:3" x14ac:dyDescent="0.25">
      <c r="A10">
        <v>1102689530</v>
      </c>
      <c r="B10" t="s">
        <v>20628</v>
      </c>
      <c r="C10" t="s">
        <v>20627</v>
      </c>
    </row>
    <row r="11" spans="1:3" x14ac:dyDescent="0.25">
      <c r="A11">
        <v>1114309657</v>
      </c>
      <c r="B11" t="s">
        <v>24972</v>
      </c>
      <c r="C11" t="s">
        <v>24973</v>
      </c>
    </row>
    <row r="12" spans="1:3" x14ac:dyDescent="0.25">
      <c r="A12">
        <v>2101011231</v>
      </c>
      <c r="B12" t="s">
        <v>23721</v>
      </c>
      <c r="C12" t="s">
        <v>23722</v>
      </c>
    </row>
    <row r="13" spans="1:3" x14ac:dyDescent="0.25">
      <c r="A13">
        <v>2101011527</v>
      </c>
      <c r="B13" t="s">
        <v>24552</v>
      </c>
      <c r="C13" t="s">
        <v>24974</v>
      </c>
    </row>
    <row r="14" spans="1:3" x14ac:dyDescent="0.25">
      <c r="A14">
        <v>2101012393</v>
      </c>
      <c r="B14" t="s">
        <v>21608</v>
      </c>
      <c r="C14" t="s">
        <v>21609</v>
      </c>
    </row>
    <row r="15" spans="1:3" x14ac:dyDescent="0.25">
      <c r="A15">
        <v>2101012401</v>
      </c>
      <c r="B15" t="s">
        <v>21610</v>
      </c>
      <c r="C15" t="s">
        <v>21611</v>
      </c>
    </row>
    <row r="16" spans="1:3" x14ac:dyDescent="0.25">
      <c r="A16">
        <v>2101012407</v>
      </c>
      <c r="B16" t="s">
        <v>21610</v>
      </c>
      <c r="C16" t="s">
        <v>21612</v>
      </c>
    </row>
    <row r="17" spans="1:3" x14ac:dyDescent="0.25">
      <c r="A17">
        <v>2101012433</v>
      </c>
      <c r="B17" t="s">
        <v>23723</v>
      </c>
      <c r="C17" t="s">
        <v>20656</v>
      </c>
    </row>
    <row r="18" spans="1:3" x14ac:dyDescent="0.25">
      <c r="A18">
        <v>2101012439</v>
      </c>
      <c r="B18" t="s">
        <v>23724</v>
      </c>
      <c r="C18" t="s">
        <v>20655</v>
      </c>
    </row>
    <row r="19" spans="1:3" x14ac:dyDescent="0.25">
      <c r="A19">
        <v>2101012447</v>
      </c>
      <c r="B19" t="s">
        <v>21610</v>
      </c>
      <c r="C19" t="s">
        <v>21613</v>
      </c>
    </row>
    <row r="20" spans="1:3" x14ac:dyDescent="0.25">
      <c r="A20">
        <v>2101012452</v>
      </c>
      <c r="B20" t="s">
        <v>21614</v>
      </c>
      <c r="C20" t="s">
        <v>21615</v>
      </c>
    </row>
    <row r="21" spans="1:3" x14ac:dyDescent="0.25">
      <c r="A21">
        <v>2101012454</v>
      </c>
      <c r="B21" t="s">
        <v>21614</v>
      </c>
      <c r="C21" t="s">
        <v>21616</v>
      </c>
    </row>
    <row r="22" spans="1:3" x14ac:dyDescent="0.25">
      <c r="A22">
        <v>2101012973</v>
      </c>
      <c r="B22" t="s">
        <v>23725</v>
      </c>
      <c r="C22" t="s">
        <v>20654</v>
      </c>
    </row>
    <row r="23" spans="1:3" x14ac:dyDescent="0.25">
      <c r="A23">
        <v>2101012979</v>
      </c>
      <c r="B23" t="s">
        <v>21610</v>
      </c>
      <c r="C23" t="s">
        <v>21617</v>
      </c>
    </row>
    <row r="24" spans="1:3" x14ac:dyDescent="0.25">
      <c r="A24">
        <v>2101014250</v>
      </c>
      <c r="B24" t="s">
        <v>21610</v>
      </c>
      <c r="C24" t="s">
        <v>21618</v>
      </c>
    </row>
    <row r="25" spans="1:3" x14ac:dyDescent="0.25">
      <c r="A25">
        <v>2101015260</v>
      </c>
      <c r="B25" t="s">
        <v>21398</v>
      </c>
      <c r="C25" t="s">
        <v>21399</v>
      </c>
    </row>
    <row r="26" spans="1:3" x14ac:dyDescent="0.25">
      <c r="A26">
        <v>2101015261</v>
      </c>
      <c r="B26" t="s">
        <v>21172</v>
      </c>
      <c r="C26" t="s">
        <v>21171</v>
      </c>
    </row>
    <row r="27" spans="1:3" x14ac:dyDescent="0.25">
      <c r="A27">
        <v>2101018624</v>
      </c>
      <c r="B27" t="s">
        <v>21075</v>
      </c>
      <c r="C27" t="s">
        <v>21074</v>
      </c>
    </row>
    <row r="28" spans="1:3" x14ac:dyDescent="0.25">
      <c r="A28">
        <v>2101019656</v>
      </c>
      <c r="B28" t="s">
        <v>21619</v>
      </c>
      <c r="C28" t="s">
        <v>21620</v>
      </c>
    </row>
    <row r="29" spans="1:3" x14ac:dyDescent="0.25">
      <c r="A29">
        <v>2101019658</v>
      </c>
      <c r="B29" t="s">
        <v>21621</v>
      </c>
      <c r="C29" t="s">
        <v>21622</v>
      </c>
    </row>
    <row r="30" spans="1:3" x14ac:dyDescent="0.25">
      <c r="A30">
        <v>2101019890</v>
      </c>
      <c r="B30" t="s">
        <v>22915</v>
      </c>
      <c r="C30" t="s">
        <v>22916</v>
      </c>
    </row>
    <row r="31" spans="1:3" x14ac:dyDescent="0.25">
      <c r="A31">
        <v>2101020059</v>
      </c>
      <c r="B31" t="s">
        <v>20702</v>
      </c>
      <c r="C31" t="s">
        <v>20701</v>
      </c>
    </row>
    <row r="32" spans="1:3" x14ac:dyDescent="0.25">
      <c r="A32">
        <v>2101021214</v>
      </c>
      <c r="B32" t="s">
        <v>23726</v>
      </c>
      <c r="C32" t="s">
        <v>23727</v>
      </c>
    </row>
    <row r="33" spans="1:3" x14ac:dyDescent="0.25">
      <c r="A33">
        <v>2101021234</v>
      </c>
      <c r="B33" t="s">
        <v>23728</v>
      </c>
      <c r="C33" t="s">
        <v>23729</v>
      </c>
    </row>
    <row r="34" spans="1:3" x14ac:dyDescent="0.25">
      <c r="A34">
        <v>2101022497</v>
      </c>
      <c r="B34" t="s">
        <v>23190</v>
      </c>
      <c r="C34" t="s">
        <v>21624</v>
      </c>
    </row>
    <row r="35" spans="1:3" x14ac:dyDescent="0.25">
      <c r="A35">
        <v>2101022498</v>
      </c>
      <c r="B35" t="s">
        <v>23191</v>
      </c>
      <c r="C35" t="s">
        <v>20660</v>
      </c>
    </row>
    <row r="36" spans="1:3" x14ac:dyDescent="0.25">
      <c r="A36">
        <v>2101022499</v>
      </c>
      <c r="B36" t="s">
        <v>21623</v>
      </c>
      <c r="C36" t="s">
        <v>21625</v>
      </c>
    </row>
    <row r="37" spans="1:3" x14ac:dyDescent="0.25">
      <c r="A37">
        <v>2101022500</v>
      </c>
      <c r="B37" t="s">
        <v>21623</v>
      </c>
      <c r="C37" t="s">
        <v>20659</v>
      </c>
    </row>
    <row r="38" spans="1:3" x14ac:dyDescent="0.25">
      <c r="A38">
        <v>2101022974</v>
      </c>
      <c r="B38" t="s">
        <v>21623</v>
      </c>
      <c r="C38" t="s">
        <v>20658</v>
      </c>
    </row>
    <row r="39" spans="1:3" x14ac:dyDescent="0.25">
      <c r="A39">
        <v>2101022975</v>
      </c>
      <c r="B39" t="s">
        <v>6260</v>
      </c>
      <c r="C39" t="s">
        <v>21626</v>
      </c>
    </row>
    <row r="40" spans="1:3" x14ac:dyDescent="0.25">
      <c r="A40">
        <v>2101024241</v>
      </c>
      <c r="B40" t="s">
        <v>20550</v>
      </c>
      <c r="C40" t="s">
        <v>20549</v>
      </c>
    </row>
    <row r="41" spans="1:3" x14ac:dyDescent="0.25">
      <c r="A41">
        <v>2101024288</v>
      </c>
      <c r="B41" t="s">
        <v>23192</v>
      </c>
      <c r="C41" t="s">
        <v>21627</v>
      </c>
    </row>
    <row r="42" spans="1:3" x14ac:dyDescent="0.25">
      <c r="A42">
        <v>2101025118</v>
      </c>
      <c r="B42" t="s">
        <v>21623</v>
      </c>
      <c r="C42" t="s">
        <v>20657</v>
      </c>
    </row>
    <row r="43" spans="1:3" x14ac:dyDescent="0.25">
      <c r="A43">
        <v>2101025248</v>
      </c>
      <c r="B43" t="s">
        <v>23730</v>
      </c>
      <c r="C43" t="s">
        <v>20653</v>
      </c>
    </row>
    <row r="44" spans="1:3" x14ac:dyDescent="0.25">
      <c r="A44">
        <v>2101028498</v>
      </c>
      <c r="B44" t="s">
        <v>21302</v>
      </c>
      <c r="C44" t="s">
        <v>21303</v>
      </c>
    </row>
    <row r="45" spans="1:3" x14ac:dyDescent="0.25">
      <c r="A45">
        <v>2101028849</v>
      </c>
      <c r="B45" t="s">
        <v>22917</v>
      </c>
      <c r="C45" t="s">
        <v>22918</v>
      </c>
    </row>
    <row r="46" spans="1:3" x14ac:dyDescent="0.25">
      <c r="A46">
        <v>2101029613</v>
      </c>
      <c r="B46" t="s">
        <v>21629</v>
      </c>
      <c r="C46" t="s">
        <v>21630</v>
      </c>
    </row>
    <row r="47" spans="1:3" x14ac:dyDescent="0.25">
      <c r="A47">
        <v>2101029863</v>
      </c>
      <c r="B47" t="s">
        <v>23193</v>
      </c>
      <c r="C47" t="s">
        <v>23194</v>
      </c>
    </row>
    <row r="48" spans="1:3" x14ac:dyDescent="0.25">
      <c r="A48">
        <v>2101029894</v>
      </c>
      <c r="B48" t="s">
        <v>22637</v>
      </c>
      <c r="C48" t="s">
        <v>22638</v>
      </c>
    </row>
    <row r="49" spans="1:3" x14ac:dyDescent="0.25">
      <c r="A49">
        <v>2101031585</v>
      </c>
      <c r="B49" t="s">
        <v>24975</v>
      </c>
      <c r="C49" t="s">
        <v>24976</v>
      </c>
    </row>
    <row r="50" spans="1:3" x14ac:dyDescent="0.25">
      <c r="A50">
        <v>2101032357</v>
      </c>
      <c r="B50" t="s">
        <v>21101</v>
      </c>
      <c r="C50" t="s">
        <v>21100</v>
      </c>
    </row>
    <row r="51" spans="1:3" x14ac:dyDescent="0.25">
      <c r="A51">
        <v>2101032489</v>
      </c>
      <c r="B51" t="s">
        <v>21157</v>
      </c>
      <c r="C51" t="s">
        <v>21156</v>
      </c>
    </row>
    <row r="52" spans="1:3" x14ac:dyDescent="0.25">
      <c r="A52">
        <v>2101033503</v>
      </c>
      <c r="B52" t="s">
        <v>23547</v>
      </c>
      <c r="C52" t="s">
        <v>23548</v>
      </c>
    </row>
    <row r="53" spans="1:3" x14ac:dyDescent="0.25">
      <c r="A53">
        <v>2101038623</v>
      </c>
      <c r="B53" t="s">
        <v>21077</v>
      </c>
      <c r="C53" t="s">
        <v>21076</v>
      </c>
    </row>
    <row r="54" spans="1:3" x14ac:dyDescent="0.25">
      <c r="A54">
        <v>2101039910</v>
      </c>
      <c r="B54" t="s">
        <v>22774</v>
      </c>
      <c r="C54" t="s">
        <v>22775</v>
      </c>
    </row>
    <row r="55" spans="1:3" x14ac:dyDescent="0.25">
      <c r="A55">
        <v>2101041148</v>
      </c>
      <c r="B55" t="s">
        <v>23195</v>
      </c>
      <c r="C55" t="s">
        <v>23196</v>
      </c>
    </row>
    <row r="56" spans="1:3" x14ac:dyDescent="0.25">
      <c r="A56">
        <v>2101042056</v>
      </c>
      <c r="B56" t="s">
        <v>21004</v>
      </c>
      <c r="C56" t="s">
        <v>21205</v>
      </c>
    </row>
    <row r="57" spans="1:3" x14ac:dyDescent="0.25">
      <c r="A57">
        <v>2101042368</v>
      </c>
      <c r="B57" t="s">
        <v>23197</v>
      </c>
      <c r="C57" t="s">
        <v>21632</v>
      </c>
    </row>
    <row r="58" spans="1:3" x14ac:dyDescent="0.25">
      <c r="A58">
        <v>2101042369</v>
      </c>
      <c r="B58" t="s">
        <v>21631</v>
      </c>
      <c r="C58" t="s">
        <v>21633</v>
      </c>
    </row>
    <row r="59" spans="1:3" x14ac:dyDescent="0.25">
      <c r="A59">
        <v>2101042483</v>
      </c>
      <c r="B59" t="s">
        <v>21036</v>
      </c>
      <c r="C59" t="s">
        <v>21035</v>
      </c>
    </row>
    <row r="60" spans="1:3" x14ac:dyDescent="0.25">
      <c r="A60">
        <v>2101042975</v>
      </c>
      <c r="B60" t="s">
        <v>23105</v>
      </c>
      <c r="C60" t="s">
        <v>21634</v>
      </c>
    </row>
    <row r="61" spans="1:3" x14ac:dyDescent="0.25">
      <c r="A61">
        <v>2101042976</v>
      </c>
      <c r="B61" t="s">
        <v>23088</v>
      </c>
      <c r="C61" t="s">
        <v>21635</v>
      </c>
    </row>
    <row r="62" spans="1:3" x14ac:dyDescent="0.25">
      <c r="A62">
        <v>2101043138</v>
      </c>
      <c r="B62" t="s">
        <v>24977</v>
      </c>
      <c r="C62" t="s">
        <v>24978</v>
      </c>
    </row>
    <row r="63" spans="1:3" x14ac:dyDescent="0.25">
      <c r="A63">
        <v>2101044086</v>
      </c>
      <c r="B63" t="s">
        <v>20749</v>
      </c>
      <c r="C63" t="s">
        <v>20748</v>
      </c>
    </row>
    <row r="64" spans="1:3" x14ac:dyDescent="0.25">
      <c r="A64">
        <v>2101046053</v>
      </c>
      <c r="B64" t="s">
        <v>23731</v>
      </c>
      <c r="C64" t="s">
        <v>23732</v>
      </c>
    </row>
    <row r="65" spans="1:3" x14ac:dyDescent="0.25">
      <c r="A65">
        <v>2101046858</v>
      </c>
      <c r="B65" t="s">
        <v>24979</v>
      </c>
      <c r="C65" t="s">
        <v>24980</v>
      </c>
    </row>
    <row r="66" spans="1:3" x14ac:dyDescent="0.25">
      <c r="A66">
        <v>2101048638</v>
      </c>
      <c r="B66" t="s">
        <v>21097</v>
      </c>
      <c r="C66" t="s">
        <v>21096</v>
      </c>
    </row>
    <row r="67" spans="1:3" x14ac:dyDescent="0.25">
      <c r="A67">
        <v>2101049617</v>
      </c>
      <c r="B67" t="s">
        <v>21636</v>
      </c>
      <c r="C67" t="s">
        <v>21637</v>
      </c>
    </row>
    <row r="68" spans="1:3" x14ac:dyDescent="0.25">
      <c r="A68">
        <v>2101049619</v>
      </c>
      <c r="B68" t="s">
        <v>21638</v>
      </c>
      <c r="C68" t="s">
        <v>21639</v>
      </c>
    </row>
    <row r="69" spans="1:3" x14ac:dyDescent="0.25">
      <c r="A69">
        <v>2101049753</v>
      </c>
      <c r="B69" t="s">
        <v>21640</v>
      </c>
      <c r="C69" t="s">
        <v>21641</v>
      </c>
    </row>
    <row r="70" spans="1:3" x14ac:dyDescent="0.25">
      <c r="A70">
        <v>2101049763</v>
      </c>
      <c r="B70" t="s">
        <v>22353</v>
      </c>
      <c r="C70" t="s">
        <v>22354</v>
      </c>
    </row>
    <row r="71" spans="1:3" x14ac:dyDescent="0.25">
      <c r="A71">
        <v>2101050221</v>
      </c>
      <c r="B71" t="s">
        <v>21116</v>
      </c>
      <c r="C71" t="s">
        <v>21115</v>
      </c>
    </row>
    <row r="72" spans="1:3" x14ac:dyDescent="0.25">
      <c r="A72">
        <v>2101051142</v>
      </c>
      <c r="B72" t="s">
        <v>23198</v>
      </c>
      <c r="C72" t="s">
        <v>23199</v>
      </c>
    </row>
    <row r="73" spans="1:3" x14ac:dyDescent="0.25">
      <c r="A73">
        <v>2101051172</v>
      </c>
      <c r="B73" t="s">
        <v>23549</v>
      </c>
      <c r="C73" t="s">
        <v>23550</v>
      </c>
    </row>
    <row r="74" spans="1:3" x14ac:dyDescent="0.25">
      <c r="A74">
        <v>2101051173</v>
      </c>
      <c r="B74" t="s">
        <v>23551</v>
      </c>
      <c r="C74" t="s">
        <v>23552</v>
      </c>
    </row>
    <row r="75" spans="1:3" x14ac:dyDescent="0.25">
      <c r="A75">
        <v>2101051176</v>
      </c>
      <c r="B75" t="s">
        <v>23553</v>
      </c>
      <c r="C75" t="s">
        <v>23554</v>
      </c>
    </row>
    <row r="76" spans="1:3" x14ac:dyDescent="0.25">
      <c r="A76">
        <v>2101051183</v>
      </c>
      <c r="B76" t="s">
        <v>23733</v>
      </c>
      <c r="C76" t="s">
        <v>23734</v>
      </c>
    </row>
    <row r="77" spans="1:3" x14ac:dyDescent="0.25">
      <c r="A77">
        <v>2101051870</v>
      </c>
      <c r="B77" t="s">
        <v>23735</v>
      </c>
      <c r="C77" t="s">
        <v>20752</v>
      </c>
    </row>
    <row r="78" spans="1:3" x14ac:dyDescent="0.25">
      <c r="A78">
        <v>2101051871</v>
      </c>
      <c r="B78" t="s">
        <v>22639</v>
      </c>
      <c r="C78" t="s">
        <v>22640</v>
      </c>
    </row>
    <row r="79" spans="1:3" x14ac:dyDescent="0.25">
      <c r="A79">
        <v>2101058044</v>
      </c>
      <c r="B79" t="s">
        <v>21087</v>
      </c>
      <c r="C79" t="s">
        <v>21086</v>
      </c>
    </row>
    <row r="80" spans="1:3" x14ac:dyDescent="0.25">
      <c r="A80">
        <v>2101058046</v>
      </c>
      <c r="B80" t="s">
        <v>20745</v>
      </c>
      <c r="C80" t="s">
        <v>20744</v>
      </c>
    </row>
    <row r="81" spans="1:3" x14ac:dyDescent="0.25">
      <c r="A81">
        <v>2101059620</v>
      </c>
      <c r="B81" t="s">
        <v>21642</v>
      </c>
      <c r="C81" t="s">
        <v>21643</v>
      </c>
    </row>
    <row r="82" spans="1:3" x14ac:dyDescent="0.25">
      <c r="A82">
        <v>2101061044</v>
      </c>
      <c r="B82" t="s">
        <v>24003</v>
      </c>
      <c r="C82" t="s">
        <v>24004</v>
      </c>
    </row>
    <row r="83" spans="1:3" x14ac:dyDescent="0.25">
      <c r="A83">
        <v>2101061045</v>
      </c>
      <c r="B83" t="s">
        <v>23736</v>
      </c>
      <c r="C83" t="s">
        <v>23737</v>
      </c>
    </row>
    <row r="84" spans="1:3" x14ac:dyDescent="0.25">
      <c r="A84">
        <v>2101061046</v>
      </c>
      <c r="B84" t="s">
        <v>24005</v>
      </c>
      <c r="C84" t="s">
        <v>24006</v>
      </c>
    </row>
    <row r="85" spans="1:3" x14ac:dyDescent="0.25">
      <c r="A85">
        <v>2101061047</v>
      </c>
      <c r="B85" t="s">
        <v>24007</v>
      </c>
      <c r="C85" t="s">
        <v>24008</v>
      </c>
    </row>
    <row r="86" spans="1:3" x14ac:dyDescent="0.25">
      <c r="A86">
        <v>2101061048</v>
      </c>
      <c r="B86" t="s">
        <v>23738</v>
      </c>
      <c r="C86" t="s">
        <v>23739</v>
      </c>
    </row>
    <row r="87" spans="1:3" x14ac:dyDescent="0.25">
      <c r="A87">
        <v>2101061049</v>
      </c>
      <c r="B87" t="s">
        <v>24009</v>
      </c>
      <c r="C87" t="s">
        <v>24010</v>
      </c>
    </row>
    <row r="88" spans="1:3" x14ac:dyDescent="0.25">
      <c r="A88">
        <v>2101061050</v>
      </c>
      <c r="B88" t="s">
        <v>24011</v>
      </c>
      <c r="C88" t="s">
        <v>24012</v>
      </c>
    </row>
    <row r="89" spans="1:3" x14ac:dyDescent="0.25">
      <c r="A89">
        <v>2101061051</v>
      </c>
      <c r="B89" t="s">
        <v>23740</v>
      </c>
      <c r="C89" t="s">
        <v>23741</v>
      </c>
    </row>
    <row r="90" spans="1:3" x14ac:dyDescent="0.25">
      <c r="A90">
        <v>2101061052</v>
      </c>
      <c r="B90" t="s">
        <v>24013</v>
      </c>
      <c r="C90" t="s">
        <v>24014</v>
      </c>
    </row>
    <row r="91" spans="1:3" x14ac:dyDescent="0.25">
      <c r="A91">
        <v>2101061082</v>
      </c>
      <c r="B91" t="s">
        <v>23200</v>
      </c>
      <c r="C91" t="s">
        <v>23201</v>
      </c>
    </row>
    <row r="92" spans="1:3" x14ac:dyDescent="0.25">
      <c r="A92">
        <v>2101061083</v>
      </c>
      <c r="B92" t="s">
        <v>23202</v>
      </c>
      <c r="C92" t="s">
        <v>23203</v>
      </c>
    </row>
    <row r="93" spans="1:3" x14ac:dyDescent="0.25">
      <c r="A93">
        <v>2101061229</v>
      </c>
      <c r="B93" t="s">
        <v>23742</v>
      </c>
      <c r="C93" t="s">
        <v>23743</v>
      </c>
    </row>
    <row r="94" spans="1:3" x14ac:dyDescent="0.25">
      <c r="A94">
        <v>2101061311</v>
      </c>
      <c r="B94" t="s">
        <v>24015</v>
      </c>
      <c r="C94" t="s">
        <v>24016</v>
      </c>
    </row>
    <row r="95" spans="1:3" x14ac:dyDescent="0.25">
      <c r="A95">
        <v>2101061341</v>
      </c>
      <c r="B95" t="s">
        <v>24334</v>
      </c>
      <c r="C95" t="s">
        <v>24335</v>
      </c>
    </row>
    <row r="96" spans="1:3" x14ac:dyDescent="0.25">
      <c r="A96">
        <v>2101061409</v>
      </c>
      <c r="B96" t="s">
        <v>24981</v>
      </c>
      <c r="C96" t="s">
        <v>24982</v>
      </c>
    </row>
    <row r="97" spans="1:3" x14ac:dyDescent="0.25">
      <c r="A97">
        <v>2101061455</v>
      </c>
      <c r="B97" t="s">
        <v>24983</v>
      </c>
      <c r="C97" t="s">
        <v>24984</v>
      </c>
    </row>
    <row r="98" spans="1:3" x14ac:dyDescent="0.25">
      <c r="A98">
        <v>2101063053</v>
      </c>
      <c r="B98" t="s">
        <v>20917</v>
      </c>
      <c r="C98" t="s">
        <v>20916</v>
      </c>
    </row>
    <row r="99" spans="1:3" x14ac:dyDescent="0.25">
      <c r="A99">
        <v>2101063146</v>
      </c>
      <c r="B99" t="s">
        <v>20735</v>
      </c>
      <c r="C99" t="s">
        <v>20734</v>
      </c>
    </row>
    <row r="100" spans="1:3" x14ac:dyDescent="0.25">
      <c r="A100">
        <v>2101063344</v>
      </c>
      <c r="B100" t="s">
        <v>20712</v>
      </c>
      <c r="C100" t="s">
        <v>20711</v>
      </c>
    </row>
    <row r="101" spans="1:3" x14ac:dyDescent="0.25">
      <c r="A101">
        <v>2101063504</v>
      </c>
      <c r="B101" t="s">
        <v>23555</v>
      </c>
      <c r="C101" t="s">
        <v>23556</v>
      </c>
    </row>
    <row r="102" spans="1:3" x14ac:dyDescent="0.25">
      <c r="A102">
        <v>2101064183</v>
      </c>
      <c r="B102" t="s">
        <v>24985</v>
      </c>
      <c r="C102" t="s">
        <v>24986</v>
      </c>
    </row>
    <row r="103" spans="1:3" x14ac:dyDescent="0.25">
      <c r="A103">
        <v>2101064252</v>
      </c>
      <c r="B103" t="s">
        <v>23089</v>
      </c>
      <c r="C103" t="s">
        <v>21645</v>
      </c>
    </row>
    <row r="104" spans="1:3" x14ac:dyDescent="0.25">
      <c r="A104">
        <v>2101064272</v>
      </c>
      <c r="B104" t="s">
        <v>21644</v>
      </c>
      <c r="C104" t="s">
        <v>21646</v>
      </c>
    </row>
    <row r="105" spans="1:3" x14ac:dyDescent="0.25">
      <c r="A105">
        <v>2101064285</v>
      </c>
      <c r="B105" t="s">
        <v>23090</v>
      </c>
      <c r="C105" t="s">
        <v>21647</v>
      </c>
    </row>
    <row r="106" spans="1:3" x14ac:dyDescent="0.25">
      <c r="A106">
        <v>2101064286</v>
      </c>
      <c r="B106" t="s">
        <v>6260</v>
      </c>
      <c r="C106" t="s">
        <v>21648</v>
      </c>
    </row>
    <row r="107" spans="1:3" x14ac:dyDescent="0.25">
      <c r="A107">
        <v>2101064296</v>
      </c>
      <c r="B107" t="s">
        <v>21644</v>
      </c>
      <c r="C107" t="s">
        <v>20637</v>
      </c>
    </row>
    <row r="108" spans="1:3" x14ac:dyDescent="0.25">
      <c r="A108">
        <v>2101064314</v>
      </c>
      <c r="B108" t="s">
        <v>21644</v>
      </c>
      <c r="C108" t="s">
        <v>21649</v>
      </c>
    </row>
    <row r="109" spans="1:3" x14ac:dyDescent="0.25">
      <c r="A109">
        <v>2101064417</v>
      </c>
      <c r="B109" t="s">
        <v>20983</v>
      </c>
      <c r="C109" t="s">
        <v>20982</v>
      </c>
    </row>
    <row r="110" spans="1:3" x14ac:dyDescent="0.25">
      <c r="A110">
        <v>2101065171</v>
      </c>
      <c r="B110" t="s">
        <v>23091</v>
      </c>
      <c r="C110" t="s">
        <v>21650</v>
      </c>
    </row>
    <row r="111" spans="1:3" x14ac:dyDescent="0.25">
      <c r="A111">
        <v>2101065196</v>
      </c>
      <c r="B111" t="s">
        <v>21644</v>
      </c>
      <c r="C111" t="s">
        <v>21651</v>
      </c>
    </row>
    <row r="112" spans="1:3" x14ac:dyDescent="0.25">
      <c r="A112">
        <v>2101065692</v>
      </c>
      <c r="B112" t="s">
        <v>24336</v>
      </c>
      <c r="C112" t="s">
        <v>21468</v>
      </c>
    </row>
    <row r="113" spans="1:3" x14ac:dyDescent="0.25">
      <c r="A113">
        <v>2101065884</v>
      </c>
      <c r="B113" t="s">
        <v>22540</v>
      </c>
      <c r="C113" t="s">
        <v>22541</v>
      </c>
    </row>
    <row r="114" spans="1:3" x14ac:dyDescent="0.25">
      <c r="A114">
        <v>2101065926</v>
      </c>
      <c r="B114" t="s">
        <v>23374</v>
      </c>
      <c r="C114" t="s">
        <v>23375</v>
      </c>
    </row>
    <row r="115" spans="1:3" x14ac:dyDescent="0.25">
      <c r="A115">
        <v>2101065927</v>
      </c>
      <c r="B115" t="s">
        <v>23376</v>
      </c>
      <c r="C115" t="s">
        <v>23377</v>
      </c>
    </row>
    <row r="116" spans="1:3" x14ac:dyDescent="0.25">
      <c r="A116">
        <v>2101065978</v>
      </c>
      <c r="B116" t="s">
        <v>24337</v>
      </c>
      <c r="C116" t="s">
        <v>24338</v>
      </c>
    </row>
    <row r="117" spans="1:3" x14ac:dyDescent="0.25">
      <c r="A117">
        <v>2101066054</v>
      </c>
      <c r="B117" t="s">
        <v>20913</v>
      </c>
      <c r="C117" t="s">
        <v>20912</v>
      </c>
    </row>
    <row r="118" spans="1:3" x14ac:dyDescent="0.25">
      <c r="A118">
        <v>2101066940</v>
      </c>
      <c r="B118" t="s">
        <v>24339</v>
      </c>
      <c r="C118" t="s">
        <v>24340</v>
      </c>
    </row>
    <row r="119" spans="1:3" x14ac:dyDescent="0.25">
      <c r="A119">
        <v>2101067799</v>
      </c>
      <c r="B119" t="s">
        <v>22641</v>
      </c>
      <c r="C119" t="s">
        <v>22642</v>
      </c>
    </row>
    <row r="120" spans="1:3" x14ac:dyDescent="0.25">
      <c r="A120">
        <v>2101067951</v>
      </c>
      <c r="B120" t="s">
        <v>23092</v>
      </c>
      <c r="C120" t="s">
        <v>23093</v>
      </c>
    </row>
    <row r="121" spans="1:3" x14ac:dyDescent="0.25">
      <c r="A121">
        <v>2101068416</v>
      </c>
      <c r="B121" t="s">
        <v>21652</v>
      </c>
      <c r="C121" t="s">
        <v>21653</v>
      </c>
    </row>
    <row r="122" spans="1:3" x14ac:dyDescent="0.25">
      <c r="A122">
        <v>2101068570</v>
      </c>
      <c r="B122" t="s">
        <v>20754</v>
      </c>
      <c r="C122" t="s">
        <v>20753</v>
      </c>
    </row>
    <row r="123" spans="1:3" x14ac:dyDescent="0.25">
      <c r="A123">
        <v>2101068585</v>
      </c>
      <c r="B123" t="s">
        <v>20915</v>
      </c>
      <c r="C123" t="s">
        <v>20914</v>
      </c>
    </row>
    <row r="124" spans="1:3" x14ac:dyDescent="0.25">
      <c r="A124">
        <v>2101068595</v>
      </c>
      <c r="B124" t="s">
        <v>20981</v>
      </c>
      <c r="C124" t="s">
        <v>20980</v>
      </c>
    </row>
    <row r="125" spans="1:3" x14ac:dyDescent="0.25">
      <c r="A125">
        <v>2101068614</v>
      </c>
      <c r="B125" t="s">
        <v>21104</v>
      </c>
      <c r="C125" t="s">
        <v>21103</v>
      </c>
    </row>
    <row r="126" spans="1:3" x14ac:dyDescent="0.25">
      <c r="A126">
        <v>2101068615</v>
      </c>
      <c r="B126" t="s">
        <v>21106</v>
      </c>
      <c r="C126" t="s">
        <v>21105</v>
      </c>
    </row>
    <row r="127" spans="1:3" x14ac:dyDescent="0.25">
      <c r="A127">
        <v>2101068805</v>
      </c>
      <c r="B127" t="s">
        <v>21469</v>
      </c>
      <c r="C127" t="s">
        <v>21470</v>
      </c>
    </row>
    <row r="128" spans="1:3" x14ac:dyDescent="0.25">
      <c r="A128">
        <v>2101069009</v>
      </c>
      <c r="B128" t="s">
        <v>24987</v>
      </c>
      <c r="C128" t="s">
        <v>24988</v>
      </c>
    </row>
    <row r="129" spans="1:3" x14ac:dyDescent="0.25">
      <c r="A129">
        <v>2101069076</v>
      </c>
      <c r="B129" t="s">
        <v>24989</v>
      </c>
      <c r="C129" t="s">
        <v>24990</v>
      </c>
    </row>
    <row r="130" spans="1:3" x14ac:dyDescent="0.25">
      <c r="A130">
        <v>2101069312</v>
      </c>
      <c r="B130" t="s">
        <v>21135</v>
      </c>
      <c r="C130" t="s">
        <v>21134</v>
      </c>
    </row>
    <row r="131" spans="1:3" x14ac:dyDescent="0.25">
      <c r="A131">
        <v>2101069327</v>
      </c>
      <c r="B131" t="s">
        <v>22643</v>
      </c>
      <c r="C131" t="s">
        <v>22644</v>
      </c>
    </row>
    <row r="132" spans="1:3" x14ac:dyDescent="0.25">
      <c r="A132">
        <v>2101069537</v>
      </c>
      <c r="B132" t="s">
        <v>21206</v>
      </c>
      <c r="C132" t="s">
        <v>21207</v>
      </c>
    </row>
    <row r="133" spans="1:3" x14ac:dyDescent="0.25">
      <c r="A133">
        <v>2101069635</v>
      </c>
      <c r="B133" t="s">
        <v>21654</v>
      </c>
      <c r="C133" t="s">
        <v>21655</v>
      </c>
    </row>
    <row r="134" spans="1:3" x14ac:dyDescent="0.25">
      <c r="A134">
        <v>2101069655</v>
      </c>
      <c r="B134" t="s">
        <v>21208</v>
      </c>
      <c r="C134" t="s">
        <v>21209</v>
      </c>
    </row>
    <row r="135" spans="1:3" x14ac:dyDescent="0.25">
      <c r="A135">
        <v>2101069656</v>
      </c>
      <c r="B135" t="s">
        <v>21210</v>
      </c>
      <c r="C135" t="s">
        <v>21211</v>
      </c>
    </row>
    <row r="136" spans="1:3" x14ac:dyDescent="0.25">
      <c r="A136">
        <v>2101069657</v>
      </c>
      <c r="B136" t="s">
        <v>21212</v>
      </c>
      <c r="C136" t="s">
        <v>21213</v>
      </c>
    </row>
    <row r="137" spans="1:3" x14ac:dyDescent="0.25">
      <c r="A137">
        <v>2101069661</v>
      </c>
      <c r="B137" t="s">
        <v>21214</v>
      </c>
      <c r="C137" t="s">
        <v>21215</v>
      </c>
    </row>
    <row r="138" spans="1:3" x14ac:dyDescent="0.25">
      <c r="A138">
        <v>2101069665</v>
      </c>
      <c r="B138" t="s">
        <v>24991</v>
      </c>
      <c r="C138" t="s">
        <v>20674</v>
      </c>
    </row>
    <row r="139" spans="1:3" x14ac:dyDescent="0.25">
      <c r="A139">
        <v>2101069667</v>
      </c>
      <c r="B139" t="s">
        <v>21216</v>
      </c>
      <c r="C139" t="s">
        <v>21217</v>
      </c>
    </row>
    <row r="140" spans="1:3" x14ac:dyDescent="0.25">
      <c r="A140">
        <v>2101069668</v>
      </c>
      <c r="B140" t="s">
        <v>20676</v>
      </c>
      <c r="C140" t="s">
        <v>20675</v>
      </c>
    </row>
    <row r="141" spans="1:3" x14ac:dyDescent="0.25">
      <c r="A141">
        <v>2101069671</v>
      </c>
      <c r="B141" t="s">
        <v>21218</v>
      </c>
      <c r="C141" t="s">
        <v>21219</v>
      </c>
    </row>
    <row r="142" spans="1:3" x14ac:dyDescent="0.25">
      <c r="A142">
        <v>2101069672</v>
      </c>
      <c r="B142" t="s">
        <v>21220</v>
      </c>
      <c r="C142" t="s">
        <v>21221</v>
      </c>
    </row>
    <row r="143" spans="1:3" x14ac:dyDescent="0.25">
      <c r="A143">
        <v>2101069674</v>
      </c>
      <c r="B143" t="s">
        <v>20678</v>
      </c>
      <c r="C143" t="s">
        <v>20677</v>
      </c>
    </row>
    <row r="144" spans="1:3" x14ac:dyDescent="0.25">
      <c r="A144">
        <v>2101069709</v>
      </c>
      <c r="B144" t="s">
        <v>21656</v>
      </c>
      <c r="C144" t="s">
        <v>21657</v>
      </c>
    </row>
    <row r="145" spans="1:3" x14ac:dyDescent="0.25">
      <c r="A145">
        <v>2101069710</v>
      </c>
      <c r="B145" t="s">
        <v>21658</v>
      </c>
      <c r="C145" t="s">
        <v>21659</v>
      </c>
    </row>
    <row r="146" spans="1:3" x14ac:dyDescent="0.25">
      <c r="A146">
        <v>2101069711</v>
      </c>
      <c r="B146" t="s">
        <v>21660</v>
      </c>
      <c r="C146" t="s">
        <v>21661</v>
      </c>
    </row>
    <row r="147" spans="1:3" x14ac:dyDescent="0.25">
      <c r="A147">
        <v>2101069712</v>
      </c>
      <c r="B147" t="s">
        <v>21662</v>
      </c>
      <c r="C147" t="s">
        <v>21663</v>
      </c>
    </row>
    <row r="148" spans="1:3" x14ac:dyDescent="0.25">
      <c r="A148">
        <v>2101069713</v>
      </c>
      <c r="B148" t="s">
        <v>21664</v>
      </c>
      <c r="C148" t="s">
        <v>21665</v>
      </c>
    </row>
    <row r="149" spans="1:3" x14ac:dyDescent="0.25">
      <c r="A149">
        <v>2101069714</v>
      </c>
      <c r="B149" t="s">
        <v>21666</v>
      </c>
      <c r="C149" t="s">
        <v>21667</v>
      </c>
    </row>
    <row r="150" spans="1:3" x14ac:dyDescent="0.25">
      <c r="A150">
        <v>2101069715</v>
      </c>
      <c r="B150" t="s">
        <v>21668</v>
      </c>
      <c r="C150" t="s">
        <v>21669</v>
      </c>
    </row>
    <row r="151" spans="1:3" x14ac:dyDescent="0.25">
      <c r="A151">
        <v>2101069716</v>
      </c>
      <c r="B151" t="s">
        <v>21670</v>
      </c>
      <c r="C151" t="s">
        <v>21671</v>
      </c>
    </row>
    <row r="152" spans="1:3" x14ac:dyDescent="0.25">
      <c r="A152">
        <v>2101069717</v>
      </c>
      <c r="B152" t="s">
        <v>21672</v>
      </c>
      <c r="C152" t="s">
        <v>21673</v>
      </c>
    </row>
    <row r="153" spans="1:3" x14ac:dyDescent="0.25">
      <c r="A153">
        <v>2101069718</v>
      </c>
      <c r="B153" t="s">
        <v>21674</v>
      </c>
      <c r="C153" t="s">
        <v>21675</v>
      </c>
    </row>
    <row r="154" spans="1:3" x14ac:dyDescent="0.25">
      <c r="A154">
        <v>2101069719</v>
      </c>
      <c r="B154" t="s">
        <v>21676</v>
      </c>
      <c r="C154" t="s">
        <v>21677</v>
      </c>
    </row>
    <row r="155" spans="1:3" x14ac:dyDescent="0.25">
      <c r="A155">
        <v>2101069720</v>
      </c>
      <c r="B155" t="s">
        <v>21678</v>
      </c>
      <c r="C155" t="s">
        <v>21679</v>
      </c>
    </row>
    <row r="156" spans="1:3" x14ac:dyDescent="0.25">
      <c r="A156">
        <v>2101069721</v>
      </c>
      <c r="B156" t="s">
        <v>21680</v>
      </c>
      <c r="C156" t="s">
        <v>21681</v>
      </c>
    </row>
    <row r="157" spans="1:3" x14ac:dyDescent="0.25">
      <c r="A157">
        <v>2101069726</v>
      </c>
      <c r="B157" t="s">
        <v>21400</v>
      </c>
      <c r="C157" t="s">
        <v>21401</v>
      </c>
    </row>
    <row r="158" spans="1:3" x14ac:dyDescent="0.25">
      <c r="A158">
        <v>2101069744</v>
      </c>
      <c r="B158" t="s">
        <v>21682</v>
      </c>
      <c r="C158" t="s">
        <v>21683</v>
      </c>
    </row>
    <row r="159" spans="1:3" x14ac:dyDescent="0.25">
      <c r="A159">
        <v>2101069843</v>
      </c>
      <c r="B159" t="s">
        <v>23744</v>
      </c>
      <c r="C159" t="s">
        <v>22542</v>
      </c>
    </row>
    <row r="160" spans="1:3" x14ac:dyDescent="0.25">
      <c r="A160">
        <v>2101069911</v>
      </c>
      <c r="B160" t="s">
        <v>22919</v>
      </c>
      <c r="C160" t="s">
        <v>22920</v>
      </c>
    </row>
    <row r="161" spans="1:3" x14ac:dyDescent="0.25">
      <c r="A161">
        <v>2101071271</v>
      </c>
      <c r="B161" t="s">
        <v>24017</v>
      </c>
      <c r="C161" t="s">
        <v>24018</v>
      </c>
    </row>
    <row r="162" spans="1:3" x14ac:dyDescent="0.25">
      <c r="A162">
        <v>2101071272</v>
      </c>
      <c r="B162" t="s">
        <v>24019</v>
      </c>
      <c r="C162" t="s">
        <v>24020</v>
      </c>
    </row>
    <row r="163" spans="1:3" x14ac:dyDescent="0.25">
      <c r="A163">
        <v>2101071273</v>
      </c>
      <c r="B163" t="s">
        <v>24021</v>
      </c>
      <c r="C163" t="s">
        <v>24022</v>
      </c>
    </row>
    <row r="164" spans="1:3" x14ac:dyDescent="0.25">
      <c r="A164">
        <v>2101071275</v>
      </c>
      <c r="B164" t="s">
        <v>24023</v>
      </c>
      <c r="C164" t="s">
        <v>24024</v>
      </c>
    </row>
    <row r="165" spans="1:3" x14ac:dyDescent="0.25">
      <c r="A165">
        <v>2101071276</v>
      </c>
      <c r="B165" t="s">
        <v>24025</v>
      </c>
      <c r="C165" t="s">
        <v>24026</v>
      </c>
    </row>
    <row r="166" spans="1:3" x14ac:dyDescent="0.25">
      <c r="A166">
        <v>2101071277</v>
      </c>
      <c r="B166" t="s">
        <v>24027</v>
      </c>
      <c r="C166" t="s">
        <v>24028</v>
      </c>
    </row>
    <row r="167" spans="1:3" x14ac:dyDescent="0.25">
      <c r="A167">
        <v>2101071278</v>
      </c>
      <c r="B167" t="s">
        <v>24029</v>
      </c>
      <c r="C167" t="s">
        <v>24030</v>
      </c>
    </row>
    <row r="168" spans="1:3" x14ac:dyDescent="0.25">
      <c r="A168">
        <v>2101071279</v>
      </c>
      <c r="B168" t="s">
        <v>24031</v>
      </c>
      <c r="C168" t="s">
        <v>24032</v>
      </c>
    </row>
    <row r="169" spans="1:3" x14ac:dyDescent="0.25">
      <c r="A169">
        <v>2101071280</v>
      </c>
      <c r="B169" t="s">
        <v>24033</v>
      </c>
      <c r="C169" t="s">
        <v>24034</v>
      </c>
    </row>
    <row r="170" spans="1:3" x14ac:dyDescent="0.25">
      <c r="A170">
        <v>2101071281</v>
      </c>
      <c r="B170" t="s">
        <v>24035</v>
      </c>
      <c r="C170" t="s">
        <v>24036</v>
      </c>
    </row>
    <row r="171" spans="1:3" x14ac:dyDescent="0.25">
      <c r="A171">
        <v>2101071282</v>
      </c>
      <c r="B171" t="s">
        <v>24037</v>
      </c>
      <c r="C171" t="s">
        <v>24038</v>
      </c>
    </row>
    <row r="172" spans="1:3" x14ac:dyDescent="0.25">
      <c r="A172">
        <v>2101071283</v>
      </c>
      <c r="B172" t="s">
        <v>24039</v>
      </c>
      <c r="C172" t="s">
        <v>24040</v>
      </c>
    </row>
    <row r="173" spans="1:3" x14ac:dyDescent="0.25">
      <c r="A173">
        <v>2101071284</v>
      </c>
      <c r="B173" t="s">
        <v>24041</v>
      </c>
      <c r="C173" t="s">
        <v>24042</v>
      </c>
    </row>
    <row r="174" spans="1:3" x14ac:dyDescent="0.25">
      <c r="A174">
        <v>2101071285</v>
      </c>
      <c r="B174" t="s">
        <v>24043</v>
      </c>
      <c r="C174" t="s">
        <v>24044</v>
      </c>
    </row>
    <row r="175" spans="1:3" x14ac:dyDescent="0.25">
      <c r="A175">
        <v>2101071286</v>
      </c>
      <c r="B175" t="s">
        <v>24045</v>
      </c>
      <c r="C175" t="s">
        <v>24046</v>
      </c>
    </row>
    <row r="176" spans="1:3" x14ac:dyDescent="0.25">
      <c r="A176">
        <v>2101071287</v>
      </c>
      <c r="B176" t="s">
        <v>24047</v>
      </c>
      <c r="C176" t="s">
        <v>24048</v>
      </c>
    </row>
    <row r="177" spans="1:3" x14ac:dyDescent="0.25">
      <c r="A177">
        <v>2101071288</v>
      </c>
      <c r="B177" t="s">
        <v>24049</v>
      </c>
      <c r="C177" t="s">
        <v>24050</v>
      </c>
    </row>
    <row r="178" spans="1:3" x14ac:dyDescent="0.25">
      <c r="A178">
        <v>2101076924</v>
      </c>
      <c r="B178" t="s">
        <v>21304</v>
      </c>
      <c r="C178" t="s">
        <v>21305</v>
      </c>
    </row>
    <row r="179" spans="1:3" x14ac:dyDescent="0.25">
      <c r="A179">
        <v>2101083077</v>
      </c>
      <c r="B179" t="s">
        <v>20921</v>
      </c>
      <c r="C179" t="s">
        <v>20920</v>
      </c>
    </row>
    <row r="180" spans="1:3" x14ac:dyDescent="0.25">
      <c r="A180">
        <v>2101101230</v>
      </c>
      <c r="B180" t="s">
        <v>23745</v>
      </c>
      <c r="C180" t="s">
        <v>23746</v>
      </c>
    </row>
    <row r="181" spans="1:3" x14ac:dyDescent="0.25">
      <c r="A181">
        <v>2101101237</v>
      </c>
      <c r="B181" t="s">
        <v>23747</v>
      </c>
      <c r="C181" t="s">
        <v>23748</v>
      </c>
    </row>
    <row r="182" spans="1:3" x14ac:dyDescent="0.25">
      <c r="A182">
        <v>2101101361</v>
      </c>
      <c r="B182" t="s">
        <v>24341</v>
      </c>
      <c r="C182" t="s">
        <v>24342</v>
      </c>
    </row>
    <row r="183" spans="1:3" x14ac:dyDescent="0.25">
      <c r="A183">
        <v>2101102487</v>
      </c>
      <c r="B183" t="s">
        <v>20777</v>
      </c>
      <c r="C183" t="s">
        <v>20776</v>
      </c>
    </row>
    <row r="184" spans="1:3" x14ac:dyDescent="0.25">
      <c r="A184">
        <v>2101102488</v>
      </c>
      <c r="B184" t="s">
        <v>24992</v>
      </c>
      <c r="C184" t="s">
        <v>20771</v>
      </c>
    </row>
    <row r="185" spans="1:3" x14ac:dyDescent="0.25">
      <c r="A185">
        <v>2101105263</v>
      </c>
      <c r="B185" t="s">
        <v>21684</v>
      </c>
      <c r="C185" t="s">
        <v>21167</v>
      </c>
    </row>
    <row r="186" spans="1:3" x14ac:dyDescent="0.25">
      <c r="A186">
        <v>2101105264</v>
      </c>
      <c r="B186" t="s">
        <v>21163</v>
      </c>
      <c r="C186" t="s">
        <v>21162</v>
      </c>
    </row>
    <row r="187" spans="1:3" x14ac:dyDescent="0.25">
      <c r="A187">
        <v>2101107032</v>
      </c>
      <c r="B187" t="s">
        <v>20779</v>
      </c>
      <c r="C187" t="s">
        <v>20778</v>
      </c>
    </row>
    <row r="188" spans="1:3" x14ac:dyDescent="0.25">
      <c r="A188">
        <v>2101107946</v>
      </c>
      <c r="B188" t="s">
        <v>21685</v>
      </c>
      <c r="C188" t="s">
        <v>21686</v>
      </c>
    </row>
    <row r="189" spans="1:3" x14ac:dyDescent="0.25">
      <c r="A189">
        <v>2101107948</v>
      </c>
      <c r="B189" t="s">
        <v>21372</v>
      </c>
      <c r="C189" t="s">
        <v>21403</v>
      </c>
    </row>
    <row r="190" spans="1:3" x14ac:dyDescent="0.25">
      <c r="A190">
        <v>2101107950</v>
      </c>
      <c r="B190" t="s">
        <v>20706</v>
      </c>
      <c r="C190" t="s">
        <v>20705</v>
      </c>
    </row>
    <row r="191" spans="1:3" x14ac:dyDescent="0.25">
      <c r="A191">
        <v>2101108562</v>
      </c>
      <c r="B191" t="s">
        <v>21161</v>
      </c>
      <c r="C191" t="s">
        <v>21160</v>
      </c>
    </row>
    <row r="192" spans="1:3" x14ac:dyDescent="0.25">
      <c r="A192">
        <v>2101109332</v>
      </c>
      <c r="B192" t="s">
        <v>21471</v>
      </c>
      <c r="C192" t="s">
        <v>21168</v>
      </c>
    </row>
    <row r="193" spans="1:3" x14ac:dyDescent="0.25">
      <c r="A193">
        <v>2101111078</v>
      </c>
      <c r="B193" t="s">
        <v>23204</v>
      </c>
      <c r="C193" t="s">
        <v>23205</v>
      </c>
    </row>
    <row r="194" spans="1:3" x14ac:dyDescent="0.25">
      <c r="A194">
        <v>2101111079</v>
      </c>
      <c r="B194" t="s">
        <v>23206</v>
      </c>
      <c r="C194" t="s">
        <v>23207</v>
      </c>
    </row>
    <row r="195" spans="1:3" x14ac:dyDescent="0.25">
      <c r="A195">
        <v>2101111169</v>
      </c>
      <c r="B195" t="s">
        <v>23557</v>
      </c>
      <c r="C195" t="s">
        <v>23558</v>
      </c>
    </row>
    <row r="196" spans="1:3" x14ac:dyDescent="0.25">
      <c r="A196">
        <v>2101111177</v>
      </c>
      <c r="B196" t="s">
        <v>23749</v>
      </c>
      <c r="C196" t="s">
        <v>23559</v>
      </c>
    </row>
    <row r="197" spans="1:3" x14ac:dyDescent="0.25">
      <c r="A197">
        <v>2101112653</v>
      </c>
      <c r="B197" t="s">
        <v>20793</v>
      </c>
      <c r="C197" t="s">
        <v>20792</v>
      </c>
    </row>
    <row r="198" spans="1:3" x14ac:dyDescent="0.25">
      <c r="A198">
        <v>2101112654</v>
      </c>
      <c r="B198" t="s">
        <v>20795</v>
      </c>
      <c r="C198" t="s">
        <v>20794</v>
      </c>
    </row>
    <row r="199" spans="1:3" x14ac:dyDescent="0.25">
      <c r="A199">
        <v>2101477188</v>
      </c>
      <c r="B199" t="s">
        <v>24343</v>
      </c>
      <c r="C199" t="s">
        <v>24344</v>
      </c>
    </row>
    <row r="200" spans="1:3" x14ac:dyDescent="0.25">
      <c r="A200">
        <v>2101851773</v>
      </c>
      <c r="B200" t="s">
        <v>23208</v>
      </c>
      <c r="C200" t="s">
        <v>22645</v>
      </c>
    </row>
    <row r="201" spans="1:3" x14ac:dyDescent="0.25">
      <c r="A201">
        <v>2101858692</v>
      </c>
      <c r="B201" t="s">
        <v>24547</v>
      </c>
      <c r="C201" t="s">
        <v>24993</v>
      </c>
    </row>
    <row r="202" spans="1:3" x14ac:dyDescent="0.25">
      <c r="A202">
        <v>2101862252</v>
      </c>
      <c r="B202" t="s">
        <v>22355</v>
      </c>
      <c r="C202" t="s">
        <v>22356</v>
      </c>
    </row>
    <row r="203" spans="1:3" x14ac:dyDescent="0.25">
      <c r="A203">
        <v>2102021171</v>
      </c>
      <c r="B203" t="s">
        <v>23560</v>
      </c>
      <c r="C203" t="s">
        <v>23561</v>
      </c>
    </row>
    <row r="204" spans="1:3" x14ac:dyDescent="0.25">
      <c r="A204">
        <v>2102021179</v>
      </c>
      <c r="B204" t="s">
        <v>23750</v>
      </c>
      <c r="C204" t="s">
        <v>23562</v>
      </c>
    </row>
    <row r="205" spans="1:3" x14ac:dyDescent="0.25">
      <c r="A205">
        <v>2102021348</v>
      </c>
      <c r="B205" t="s">
        <v>24345</v>
      </c>
      <c r="C205" t="s">
        <v>24346</v>
      </c>
    </row>
    <row r="206" spans="1:3" x14ac:dyDescent="0.25">
      <c r="A206">
        <v>2102021545</v>
      </c>
      <c r="B206" t="s">
        <v>24994</v>
      </c>
      <c r="C206" t="s">
        <v>24995</v>
      </c>
    </row>
    <row r="207" spans="1:3" x14ac:dyDescent="0.25">
      <c r="A207">
        <v>2102023333</v>
      </c>
      <c r="B207" t="s">
        <v>20714</v>
      </c>
      <c r="C207" t="s">
        <v>20713</v>
      </c>
    </row>
    <row r="208" spans="1:3" x14ac:dyDescent="0.25">
      <c r="A208">
        <v>2102024380</v>
      </c>
      <c r="B208" t="s">
        <v>24996</v>
      </c>
      <c r="C208" t="s">
        <v>24997</v>
      </c>
    </row>
    <row r="209" spans="1:3" x14ac:dyDescent="0.25">
      <c r="A209">
        <v>2102029317</v>
      </c>
      <c r="B209" t="s">
        <v>21118</v>
      </c>
      <c r="C209" t="s">
        <v>21117</v>
      </c>
    </row>
    <row r="210" spans="1:3" x14ac:dyDescent="0.25">
      <c r="A210">
        <v>2102029565</v>
      </c>
      <c r="B210" t="s">
        <v>21687</v>
      </c>
      <c r="C210" t="s">
        <v>21688</v>
      </c>
    </row>
    <row r="211" spans="1:3" x14ac:dyDescent="0.25">
      <c r="A211">
        <v>2102029652</v>
      </c>
      <c r="B211" t="s">
        <v>20937</v>
      </c>
      <c r="C211" t="s">
        <v>20936</v>
      </c>
    </row>
    <row r="212" spans="1:3" x14ac:dyDescent="0.25">
      <c r="A212">
        <v>2102029772</v>
      </c>
      <c r="B212" t="s">
        <v>21689</v>
      </c>
      <c r="C212" t="s">
        <v>21690</v>
      </c>
    </row>
    <row r="213" spans="1:3" x14ac:dyDescent="0.25">
      <c r="A213">
        <v>2102033211</v>
      </c>
      <c r="B213" t="s">
        <v>20733</v>
      </c>
      <c r="C213" t="s">
        <v>20732</v>
      </c>
    </row>
    <row r="214" spans="1:3" x14ac:dyDescent="0.25">
      <c r="A214">
        <v>2102039754</v>
      </c>
      <c r="B214" t="s">
        <v>21691</v>
      </c>
      <c r="C214" t="s">
        <v>21692</v>
      </c>
    </row>
    <row r="215" spans="1:3" x14ac:dyDescent="0.25">
      <c r="A215">
        <v>2102049892</v>
      </c>
      <c r="B215" t="s">
        <v>22646</v>
      </c>
      <c r="C215" t="s">
        <v>22647</v>
      </c>
    </row>
    <row r="216" spans="1:3" x14ac:dyDescent="0.25">
      <c r="A216">
        <v>2102049893</v>
      </c>
      <c r="B216" t="s">
        <v>22648</v>
      </c>
      <c r="C216" t="s">
        <v>22649</v>
      </c>
    </row>
    <row r="217" spans="1:3" x14ac:dyDescent="0.25">
      <c r="A217">
        <v>2102049924</v>
      </c>
      <c r="B217" t="s">
        <v>22650</v>
      </c>
      <c r="C217" t="s">
        <v>22651</v>
      </c>
    </row>
    <row r="218" spans="1:3" x14ac:dyDescent="0.25">
      <c r="A218">
        <v>2102057307</v>
      </c>
      <c r="B218" t="s">
        <v>24347</v>
      </c>
      <c r="C218" t="s">
        <v>21472</v>
      </c>
    </row>
    <row r="219" spans="1:3" x14ac:dyDescent="0.25">
      <c r="A219">
        <v>2102059758</v>
      </c>
      <c r="B219" t="s">
        <v>21693</v>
      </c>
      <c r="C219" t="s">
        <v>21694</v>
      </c>
    </row>
    <row r="220" spans="1:3" x14ac:dyDescent="0.25">
      <c r="A220">
        <v>2102061185</v>
      </c>
      <c r="B220" t="s">
        <v>23751</v>
      </c>
      <c r="C220" t="s">
        <v>23752</v>
      </c>
    </row>
    <row r="221" spans="1:3" x14ac:dyDescent="0.25">
      <c r="A221">
        <v>2102061186</v>
      </c>
      <c r="B221" t="s">
        <v>23753</v>
      </c>
      <c r="C221" t="s">
        <v>23754</v>
      </c>
    </row>
    <row r="222" spans="1:3" x14ac:dyDescent="0.25">
      <c r="A222">
        <v>2102061187</v>
      </c>
      <c r="B222" t="s">
        <v>23755</v>
      </c>
      <c r="C222" t="s">
        <v>23756</v>
      </c>
    </row>
    <row r="223" spans="1:3" x14ac:dyDescent="0.25">
      <c r="A223">
        <v>2102065599</v>
      </c>
      <c r="B223" t="s">
        <v>21473</v>
      </c>
      <c r="C223" t="s">
        <v>21474</v>
      </c>
    </row>
    <row r="224" spans="1:3" x14ac:dyDescent="0.25">
      <c r="A224">
        <v>2102068749</v>
      </c>
      <c r="B224" t="s">
        <v>24348</v>
      </c>
      <c r="C224" t="s">
        <v>24349</v>
      </c>
    </row>
    <row r="225" spans="1:3" x14ac:dyDescent="0.25">
      <c r="A225">
        <v>2102088627</v>
      </c>
      <c r="B225" t="s">
        <v>21081</v>
      </c>
      <c r="C225" t="s">
        <v>21080</v>
      </c>
    </row>
    <row r="226" spans="1:3" x14ac:dyDescent="0.25">
      <c r="A226">
        <v>2102102948</v>
      </c>
      <c r="B226" t="s">
        <v>24998</v>
      </c>
      <c r="C226" t="s">
        <v>21222</v>
      </c>
    </row>
    <row r="227" spans="1:3" x14ac:dyDescent="0.25">
      <c r="A227">
        <v>2102116436</v>
      </c>
      <c r="B227" t="s">
        <v>23757</v>
      </c>
      <c r="C227" t="s">
        <v>23758</v>
      </c>
    </row>
    <row r="228" spans="1:3" x14ac:dyDescent="0.25">
      <c r="A228">
        <v>2102118569</v>
      </c>
      <c r="B228" t="s">
        <v>20751</v>
      </c>
      <c r="C228" t="s">
        <v>20750</v>
      </c>
    </row>
    <row r="229" spans="1:3" x14ac:dyDescent="0.25">
      <c r="A229">
        <v>2102119970</v>
      </c>
      <c r="B229" t="s">
        <v>24350</v>
      </c>
      <c r="C229" t="s">
        <v>24351</v>
      </c>
    </row>
    <row r="230" spans="1:3" x14ac:dyDescent="0.25">
      <c r="A230">
        <v>2102161785</v>
      </c>
      <c r="B230" t="s">
        <v>20797</v>
      </c>
      <c r="C230" t="s">
        <v>20796</v>
      </c>
    </row>
    <row r="231" spans="1:3" x14ac:dyDescent="0.25">
      <c r="A231">
        <v>2102165979</v>
      </c>
      <c r="B231" t="s">
        <v>24352</v>
      </c>
      <c r="C231" t="s">
        <v>24353</v>
      </c>
    </row>
    <row r="232" spans="1:3" x14ac:dyDescent="0.25">
      <c r="A232">
        <v>2102221362</v>
      </c>
      <c r="B232" t="s">
        <v>24354</v>
      </c>
      <c r="C232" t="s">
        <v>24355</v>
      </c>
    </row>
    <row r="233" spans="1:3" x14ac:dyDescent="0.25">
      <c r="A233">
        <v>2102222749</v>
      </c>
      <c r="B233" t="s">
        <v>21475</v>
      </c>
      <c r="C233" t="s">
        <v>21476</v>
      </c>
    </row>
    <row r="234" spans="1:3" x14ac:dyDescent="0.25">
      <c r="A234">
        <v>2102223251</v>
      </c>
      <c r="B234" t="s">
        <v>21038</v>
      </c>
      <c r="C234" t="s">
        <v>21037</v>
      </c>
    </row>
    <row r="235" spans="1:3" x14ac:dyDescent="0.25">
      <c r="A235">
        <v>2102223812</v>
      </c>
      <c r="B235" t="s">
        <v>21120</v>
      </c>
      <c r="C235" t="s">
        <v>21119</v>
      </c>
    </row>
    <row r="236" spans="1:3" x14ac:dyDescent="0.25">
      <c r="A236">
        <v>2102229759</v>
      </c>
      <c r="B236" t="s">
        <v>22357</v>
      </c>
      <c r="C236" t="s">
        <v>22358</v>
      </c>
    </row>
    <row r="237" spans="1:3" x14ac:dyDescent="0.25">
      <c r="A237">
        <v>2102268625</v>
      </c>
      <c r="B237" t="s">
        <v>21083</v>
      </c>
      <c r="C237" t="s">
        <v>21082</v>
      </c>
    </row>
    <row r="238" spans="1:3" x14ac:dyDescent="0.25">
      <c r="A238">
        <v>2102301312</v>
      </c>
      <c r="B238" t="s">
        <v>24051</v>
      </c>
      <c r="C238" t="s">
        <v>24052</v>
      </c>
    </row>
    <row r="239" spans="1:3" x14ac:dyDescent="0.25">
      <c r="A239">
        <v>2102301586</v>
      </c>
      <c r="B239" t="s">
        <v>24999</v>
      </c>
      <c r="C239" t="s">
        <v>25000</v>
      </c>
    </row>
    <row r="240" spans="1:3" x14ac:dyDescent="0.25">
      <c r="A240">
        <v>2102309746</v>
      </c>
      <c r="B240" t="s">
        <v>21695</v>
      </c>
      <c r="C240" t="s">
        <v>21696</v>
      </c>
    </row>
    <row r="241" spans="1:3" x14ac:dyDescent="0.25">
      <c r="A241">
        <v>2102348255</v>
      </c>
      <c r="B241" t="s">
        <v>20991</v>
      </c>
      <c r="C241" t="s">
        <v>20990</v>
      </c>
    </row>
    <row r="242" spans="1:3" x14ac:dyDescent="0.25">
      <c r="A242">
        <v>2102388568</v>
      </c>
      <c r="B242" t="s">
        <v>20989</v>
      </c>
      <c r="C242" t="s">
        <v>20988</v>
      </c>
    </row>
    <row r="243" spans="1:3" x14ac:dyDescent="0.25">
      <c r="A243">
        <v>2102408544</v>
      </c>
      <c r="B243" t="s">
        <v>20719</v>
      </c>
      <c r="C243" t="s">
        <v>20718</v>
      </c>
    </row>
    <row r="244" spans="1:3" x14ac:dyDescent="0.25">
      <c r="A244">
        <v>2102408617</v>
      </c>
      <c r="B244" t="s">
        <v>21224</v>
      </c>
      <c r="C244" t="s">
        <v>21225</v>
      </c>
    </row>
    <row r="245" spans="1:3" x14ac:dyDescent="0.25">
      <c r="A245">
        <v>2102461270</v>
      </c>
      <c r="B245" t="s">
        <v>24053</v>
      </c>
      <c r="C245" t="s">
        <v>24054</v>
      </c>
    </row>
    <row r="246" spans="1:3" x14ac:dyDescent="0.25">
      <c r="A246">
        <v>2102502655</v>
      </c>
      <c r="B246" t="s">
        <v>20799</v>
      </c>
      <c r="C246" t="s">
        <v>20798</v>
      </c>
    </row>
    <row r="247" spans="1:3" x14ac:dyDescent="0.25">
      <c r="A247">
        <v>2102508626</v>
      </c>
      <c r="B247" t="s">
        <v>21079</v>
      </c>
      <c r="C247" t="s">
        <v>21078</v>
      </c>
    </row>
    <row r="248" spans="1:3" x14ac:dyDescent="0.25">
      <c r="A248">
        <v>2102856822</v>
      </c>
      <c r="B248" t="s">
        <v>20737</v>
      </c>
      <c r="C248" t="s">
        <v>20736</v>
      </c>
    </row>
    <row r="249" spans="1:3" x14ac:dyDescent="0.25">
      <c r="A249">
        <v>2102861349</v>
      </c>
      <c r="B249" t="s">
        <v>24356</v>
      </c>
      <c r="C249" t="s">
        <v>24357</v>
      </c>
    </row>
    <row r="250" spans="1:3" x14ac:dyDescent="0.25">
      <c r="A250">
        <v>2102861412</v>
      </c>
      <c r="B250" t="s">
        <v>25001</v>
      </c>
      <c r="C250" t="s">
        <v>25002</v>
      </c>
    </row>
    <row r="251" spans="1:3" x14ac:dyDescent="0.25">
      <c r="A251">
        <v>2102861413</v>
      </c>
      <c r="B251" t="s">
        <v>25003</v>
      </c>
      <c r="C251" t="s">
        <v>25004</v>
      </c>
    </row>
    <row r="252" spans="1:3" x14ac:dyDescent="0.25">
      <c r="A252">
        <v>2102867644</v>
      </c>
      <c r="B252" t="s">
        <v>20708</v>
      </c>
      <c r="C252" t="s">
        <v>20707</v>
      </c>
    </row>
    <row r="253" spans="1:3" x14ac:dyDescent="0.25">
      <c r="A253">
        <v>2102868639</v>
      </c>
      <c r="B253" t="s">
        <v>21099</v>
      </c>
      <c r="C253" t="s">
        <v>21098</v>
      </c>
    </row>
    <row r="254" spans="1:3" x14ac:dyDescent="0.25">
      <c r="A254">
        <v>2103012167</v>
      </c>
      <c r="B254" t="s">
        <v>21114</v>
      </c>
      <c r="C254" t="s">
        <v>21128</v>
      </c>
    </row>
    <row r="255" spans="1:3" x14ac:dyDescent="0.25">
      <c r="A255">
        <v>2103031149</v>
      </c>
      <c r="B255" t="s">
        <v>23209</v>
      </c>
      <c r="C255" t="s">
        <v>23210</v>
      </c>
    </row>
    <row r="256" spans="1:3" x14ac:dyDescent="0.25">
      <c r="A256">
        <v>2103061229</v>
      </c>
      <c r="B256" t="s">
        <v>23759</v>
      </c>
      <c r="C256" t="s">
        <v>23760</v>
      </c>
    </row>
    <row r="257" spans="1:3" x14ac:dyDescent="0.25">
      <c r="A257">
        <v>2103061238</v>
      </c>
      <c r="B257" t="s">
        <v>23761</v>
      </c>
      <c r="C257" t="s">
        <v>23762</v>
      </c>
    </row>
    <row r="258" spans="1:3" x14ac:dyDescent="0.25">
      <c r="A258">
        <v>2103062485</v>
      </c>
      <c r="B258" t="s">
        <v>20770</v>
      </c>
      <c r="C258" t="s">
        <v>20769</v>
      </c>
    </row>
    <row r="259" spans="1:3" x14ac:dyDescent="0.25">
      <c r="A259">
        <v>2103062494</v>
      </c>
      <c r="B259" t="s">
        <v>21170</v>
      </c>
      <c r="C259" t="s">
        <v>21169</v>
      </c>
    </row>
    <row r="260" spans="1:3" x14ac:dyDescent="0.25">
      <c r="A260">
        <v>2103065342</v>
      </c>
      <c r="B260" t="s">
        <v>20698</v>
      </c>
      <c r="C260" t="s">
        <v>20697</v>
      </c>
    </row>
    <row r="261" spans="1:3" x14ac:dyDescent="0.25">
      <c r="A261">
        <v>2103067072</v>
      </c>
      <c r="B261" t="s">
        <v>21477</v>
      </c>
      <c r="C261" t="s">
        <v>21478</v>
      </c>
    </row>
    <row r="262" spans="1:3" x14ac:dyDescent="0.25">
      <c r="A262">
        <v>2103067944</v>
      </c>
      <c r="B262" t="s">
        <v>21174</v>
      </c>
      <c r="C262" t="s">
        <v>21173</v>
      </c>
    </row>
    <row r="263" spans="1:3" x14ac:dyDescent="0.25">
      <c r="A263">
        <v>2103177961</v>
      </c>
      <c r="B263" t="s">
        <v>20825</v>
      </c>
      <c r="C263" t="s">
        <v>20824</v>
      </c>
    </row>
    <row r="264" spans="1:3" x14ac:dyDescent="0.25">
      <c r="A264">
        <v>2103850147</v>
      </c>
      <c r="B264" t="s">
        <v>20801</v>
      </c>
      <c r="C264" t="s">
        <v>20800</v>
      </c>
    </row>
    <row r="265" spans="1:3" x14ac:dyDescent="0.25">
      <c r="A265">
        <v>2104020250</v>
      </c>
      <c r="B265" t="s">
        <v>21697</v>
      </c>
      <c r="C265" t="s">
        <v>21698</v>
      </c>
    </row>
    <row r="266" spans="1:3" x14ac:dyDescent="0.25">
      <c r="A266">
        <v>2104030438</v>
      </c>
      <c r="B266" t="s">
        <v>23763</v>
      </c>
      <c r="C266" t="s">
        <v>20715</v>
      </c>
    </row>
    <row r="267" spans="1:3" x14ac:dyDescent="0.25">
      <c r="A267">
        <v>2104034419</v>
      </c>
      <c r="B267" t="s">
        <v>25005</v>
      </c>
      <c r="C267" t="s">
        <v>21226</v>
      </c>
    </row>
    <row r="268" spans="1:3" x14ac:dyDescent="0.25">
      <c r="A268">
        <v>2104035086</v>
      </c>
      <c r="B268" t="s">
        <v>20741</v>
      </c>
      <c r="C268" t="s">
        <v>20740</v>
      </c>
    </row>
    <row r="269" spans="1:3" x14ac:dyDescent="0.25">
      <c r="A269">
        <v>2104035087</v>
      </c>
      <c r="B269" t="s">
        <v>20739</v>
      </c>
      <c r="C269" t="s">
        <v>20738</v>
      </c>
    </row>
    <row r="270" spans="1:3" x14ac:dyDescent="0.25">
      <c r="A270">
        <v>2104041216</v>
      </c>
      <c r="B270" t="s">
        <v>23764</v>
      </c>
      <c r="C270" t="s">
        <v>23765</v>
      </c>
    </row>
    <row r="271" spans="1:3" x14ac:dyDescent="0.25">
      <c r="A271">
        <v>2104041217</v>
      </c>
      <c r="B271" t="s">
        <v>23766</v>
      </c>
      <c r="C271" t="s">
        <v>23767</v>
      </c>
    </row>
    <row r="272" spans="1:3" x14ac:dyDescent="0.25">
      <c r="A272">
        <v>2104041219</v>
      </c>
      <c r="B272" t="s">
        <v>23768</v>
      </c>
      <c r="C272" t="s">
        <v>23769</v>
      </c>
    </row>
    <row r="273" spans="1:3" x14ac:dyDescent="0.25">
      <c r="A273">
        <v>2104050678</v>
      </c>
      <c r="B273" t="s">
        <v>23770</v>
      </c>
      <c r="C273" t="s">
        <v>21699</v>
      </c>
    </row>
    <row r="274" spans="1:3" x14ac:dyDescent="0.25">
      <c r="A274">
        <v>2104060733</v>
      </c>
      <c r="B274" t="s">
        <v>24055</v>
      </c>
      <c r="C274" t="s">
        <v>24056</v>
      </c>
    </row>
    <row r="275" spans="1:3" x14ac:dyDescent="0.25">
      <c r="A275">
        <v>2104107588</v>
      </c>
      <c r="B275" t="s">
        <v>20710</v>
      </c>
      <c r="C275" t="s">
        <v>20709</v>
      </c>
    </row>
    <row r="276" spans="1:3" x14ac:dyDescent="0.25">
      <c r="A276">
        <v>2104108041</v>
      </c>
      <c r="B276" t="s">
        <v>25006</v>
      </c>
      <c r="C276" t="s">
        <v>25007</v>
      </c>
    </row>
    <row r="277" spans="1:3" x14ac:dyDescent="0.25">
      <c r="A277">
        <v>2104122318</v>
      </c>
      <c r="B277" t="s">
        <v>6260</v>
      </c>
      <c r="C277" t="s">
        <v>21700</v>
      </c>
    </row>
    <row r="278" spans="1:3" x14ac:dyDescent="0.25">
      <c r="A278">
        <v>2104122399</v>
      </c>
      <c r="B278" t="s">
        <v>23094</v>
      </c>
      <c r="C278" t="s">
        <v>21701</v>
      </c>
    </row>
    <row r="279" spans="1:3" x14ac:dyDescent="0.25">
      <c r="A279">
        <v>2104124247</v>
      </c>
      <c r="B279" t="s">
        <v>21702</v>
      </c>
      <c r="C279" t="s">
        <v>21703</v>
      </c>
    </row>
    <row r="280" spans="1:3" x14ac:dyDescent="0.25">
      <c r="A280">
        <v>2104124251</v>
      </c>
      <c r="B280" t="s">
        <v>21702</v>
      </c>
      <c r="C280" t="s">
        <v>21704</v>
      </c>
    </row>
    <row r="281" spans="1:3" x14ac:dyDescent="0.25">
      <c r="A281">
        <v>2104124263</v>
      </c>
      <c r="B281" t="s">
        <v>21702</v>
      </c>
      <c r="C281" t="s">
        <v>21705</v>
      </c>
    </row>
    <row r="282" spans="1:3" x14ac:dyDescent="0.25">
      <c r="A282">
        <v>2104124280</v>
      </c>
      <c r="B282" t="s">
        <v>21702</v>
      </c>
      <c r="C282" t="s">
        <v>21706</v>
      </c>
    </row>
    <row r="283" spans="1:3" x14ac:dyDescent="0.25">
      <c r="A283">
        <v>2104124292</v>
      </c>
      <c r="B283" t="s">
        <v>21702</v>
      </c>
      <c r="C283" t="s">
        <v>20634</v>
      </c>
    </row>
    <row r="284" spans="1:3" x14ac:dyDescent="0.25">
      <c r="A284">
        <v>2104124304</v>
      </c>
      <c r="B284" t="s">
        <v>21702</v>
      </c>
      <c r="C284" t="s">
        <v>21707</v>
      </c>
    </row>
    <row r="285" spans="1:3" x14ac:dyDescent="0.25">
      <c r="A285">
        <v>2104124322</v>
      </c>
      <c r="B285" t="s">
        <v>21702</v>
      </c>
      <c r="C285" t="s">
        <v>21708</v>
      </c>
    </row>
    <row r="286" spans="1:3" x14ac:dyDescent="0.25">
      <c r="A286">
        <v>2104125261</v>
      </c>
      <c r="B286" t="s">
        <v>6273</v>
      </c>
      <c r="C286" t="s">
        <v>21709</v>
      </c>
    </row>
    <row r="287" spans="1:3" x14ac:dyDescent="0.25">
      <c r="A287">
        <v>2104129990</v>
      </c>
      <c r="B287" t="s">
        <v>23095</v>
      </c>
      <c r="C287" t="s">
        <v>22921</v>
      </c>
    </row>
    <row r="288" spans="1:3" x14ac:dyDescent="0.25">
      <c r="A288">
        <v>2104142469</v>
      </c>
      <c r="B288" t="s">
        <v>21479</v>
      </c>
      <c r="C288" t="s">
        <v>21480</v>
      </c>
    </row>
    <row r="289" spans="1:3" x14ac:dyDescent="0.25">
      <c r="A289">
        <v>2104213252</v>
      </c>
      <c r="B289" t="s">
        <v>21040</v>
      </c>
      <c r="C289" t="s">
        <v>21039</v>
      </c>
    </row>
    <row r="290" spans="1:3" x14ac:dyDescent="0.25">
      <c r="A290">
        <v>2104221105</v>
      </c>
      <c r="B290" t="s">
        <v>23621</v>
      </c>
      <c r="C290" t="s">
        <v>23622</v>
      </c>
    </row>
    <row r="291" spans="1:3" x14ac:dyDescent="0.25">
      <c r="A291">
        <v>2104261184</v>
      </c>
      <c r="B291" t="s">
        <v>23771</v>
      </c>
      <c r="C291" t="s">
        <v>23772</v>
      </c>
    </row>
    <row r="292" spans="1:3" x14ac:dyDescent="0.25">
      <c r="A292">
        <v>2104476208</v>
      </c>
      <c r="B292" t="s">
        <v>21710</v>
      </c>
      <c r="C292" t="s">
        <v>21711</v>
      </c>
    </row>
    <row r="293" spans="1:3" x14ac:dyDescent="0.25">
      <c r="A293">
        <v>2104850183</v>
      </c>
      <c r="B293" t="s">
        <v>25008</v>
      </c>
      <c r="C293" t="s">
        <v>21227</v>
      </c>
    </row>
    <row r="294" spans="1:3" x14ac:dyDescent="0.25">
      <c r="A294">
        <v>2104869760</v>
      </c>
      <c r="B294" t="s">
        <v>22359</v>
      </c>
      <c r="C294" t="s">
        <v>22360</v>
      </c>
    </row>
    <row r="295" spans="1:3" x14ac:dyDescent="0.25">
      <c r="A295">
        <v>2105028791</v>
      </c>
      <c r="B295" t="s">
        <v>24358</v>
      </c>
      <c r="C295" t="s">
        <v>21481</v>
      </c>
    </row>
    <row r="296" spans="1:3" x14ac:dyDescent="0.25">
      <c r="A296">
        <v>2105029912</v>
      </c>
      <c r="B296" t="s">
        <v>22922</v>
      </c>
      <c r="C296" t="s">
        <v>22923</v>
      </c>
    </row>
    <row r="297" spans="1:3" x14ac:dyDescent="0.25">
      <c r="A297">
        <v>2105030439</v>
      </c>
      <c r="B297" t="s">
        <v>21564</v>
      </c>
      <c r="C297" t="s">
        <v>21049</v>
      </c>
    </row>
    <row r="298" spans="1:3" x14ac:dyDescent="0.25">
      <c r="A298">
        <v>2105050679</v>
      </c>
      <c r="B298" t="s">
        <v>23773</v>
      </c>
      <c r="C298" t="s">
        <v>23774</v>
      </c>
    </row>
    <row r="299" spans="1:3" x14ac:dyDescent="0.25">
      <c r="A299">
        <v>2105058630</v>
      </c>
      <c r="B299" t="s">
        <v>21085</v>
      </c>
      <c r="C299" t="s">
        <v>21084</v>
      </c>
    </row>
    <row r="300" spans="1:3" x14ac:dyDescent="0.25">
      <c r="A300">
        <v>2105060734</v>
      </c>
      <c r="B300" t="s">
        <v>20985</v>
      </c>
      <c r="C300" t="s">
        <v>20984</v>
      </c>
    </row>
    <row r="301" spans="1:3" x14ac:dyDescent="0.25">
      <c r="A301">
        <v>2105101079</v>
      </c>
      <c r="B301" t="s">
        <v>21124</v>
      </c>
      <c r="C301" t="s">
        <v>21123</v>
      </c>
    </row>
    <row r="302" spans="1:3" x14ac:dyDescent="0.25">
      <c r="A302">
        <v>2105146436</v>
      </c>
      <c r="B302" t="s">
        <v>21712</v>
      </c>
      <c r="C302" t="s">
        <v>21713</v>
      </c>
    </row>
    <row r="303" spans="1:3" x14ac:dyDescent="0.25">
      <c r="A303">
        <v>2105161084</v>
      </c>
      <c r="B303" t="s">
        <v>23211</v>
      </c>
      <c r="C303" t="s">
        <v>23212</v>
      </c>
    </row>
    <row r="304" spans="1:3" x14ac:dyDescent="0.25">
      <c r="A304">
        <v>2105161085</v>
      </c>
      <c r="B304" t="s">
        <v>23213</v>
      </c>
      <c r="C304" t="s">
        <v>23214</v>
      </c>
    </row>
    <row r="305" spans="1:3" x14ac:dyDescent="0.25">
      <c r="A305">
        <v>2105161417</v>
      </c>
      <c r="B305" t="s">
        <v>25009</v>
      </c>
      <c r="C305" t="s">
        <v>25010</v>
      </c>
    </row>
    <row r="306" spans="1:3" x14ac:dyDescent="0.25">
      <c r="A306">
        <v>2105168546</v>
      </c>
      <c r="B306" t="s">
        <v>20721</v>
      </c>
      <c r="C306" t="s">
        <v>20720</v>
      </c>
    </row>
    <row r="307" spans="1:3" x14ac:dyDescent="0.25">
      <c r="A307">
        <v>2105178628</v>
      </c>
      <c r="B307" t="s">
        <v>21089</v>
      </c>
      <c r="C307" t="s">
        <v>21088</v>
      </c>
    </row>
    <row r="308" spans="1:3" x14ac:dyDescent="0.25">
      <c r="A308">
        <v>2105231249</v>
      </c>
      <c r="B308" t="s">
        <v>24057</v>
      </c>
      <c r="C308" t="s">
        <v>24058</v>
      </c>
    </row>
    <row r="309" spans="1:3" x14ac:dyDescent="0.25">
      <c r="A309">
        <v>2105231547</v>
      </c>
      <c r="B309" t="s">
        <v>25011</v>
      </c>
      <c r="C309" t="s">
        <v>25012</v>
      </c>
    </row>
    <row r="310" spans="1:3" x14ac:dyDescent="0.25">
      <c r="A310">
        <v>2105231548</v>
      </c>
      <c r="B310" t="s">
        <v>25013</v>
      </c>
      <c r="C310" t="s">
        <v>25014</v>
      </c>
    </row>
    <row r="311" spans="1:3" x14ac:dyDescent="0.25">
      <c r="A311">
        <v>2105341133</v>
      </c>
      <c r="B311" t="s">
        <v>20993</v>
      </c>
      <c r="C311" t="s">
        <v>20992</v>
      </c>
    </row>
    <row r="312" spans="1:3" x14ac:dyDescent="0.25">
      <c r="A312">
        <v>2105768965</v>
      </c>
      <c r="B312" t="s">
        <v>20943</v>
      </c>
      <c r="C312" t="s">
        <v>20942</v>
      </c>
    </row>
    <row r="313" spans="1:3" x14ac:dyDescent="0.25">
      <c r="A313">
        <v>2105871380</v>
      </c>
      <c r="B313" t="s">
        <v>24359</v>
      </c>
      <c r="C313" t="s">
        <v>24360</v>
      </c>
    </row>
    <row r="314" spans="1:3" x14ac:dyDescent="0.25">
      <c r="A314">
        <v>2105871396</v>
      </c>
      <c r="B314" t="s">
        <v>24361</v>
      </c>
      <c r="C314" t="s">
        <v>24362</v>
      </c>
    </row>
    <row r="315" spans="1:3" x14ac:dyDescent="0.25">
      <c r="A315">
        <v>2106221546</v>
      </c>
      <c r="B315" t="s">
        <v>25015</v>
      </c>
      <c r="C315" t="s">
        <v>25016</v>
      </c>
    </row>
    <row r="316" spans="1:3" x14ac:dyDescent="0.25">
      <c r="A316">
        <v>2106229468</v>
      </c>
      <c r="B316" t="s">
        <v>21482</v>
      </c>
      <c r="C316" t="s">
        <v>21483</v>
      </c>
    </row>
    <row r="317" spans="1:3" x14ac:dyDescent="0.25">
      <c r="A317">
        <v>2106229722</v>
      </c>
      <c r="B317" t="s">
        <v>21306</v>
      </c>
      <c r="C317" t="s">
        <v>21307</v>
      </c>
    </row>
    <row r="318" spans="1:3" x14ac:dyDescent="0.25">
      <c r="A318">
        <v>2106859829</v>
      </c>
      <c r="B318" t="s">
        <v>22446</v>
      </c>
      <c r="C318" t="s">
        <v>22447</v>
      </c>
    </row>
    <row r="319" spans="1:3" x14ac:dyDescent="0.25">
      <c r="A319">
        <v>2109065191</v>
      </c>
      <c r="B319" t="s">
        <v>24363</v>
      </c>
      <c r="C319" t="s">
        <v>24364</v>
      </c>
    </row>
    <row r="320" spans="1:3" x14ac:dyDescent="0.25">
      <c r="A320">
        <v>2109300896</v>
      </c>
      <c r="B320" t="s">
        <v>21228</v>
      </c>
      <c r="C320" t="s">
        <v>21229</v>
      </c>
    </row>
    <row r="321" spans="1:3" x14ac:dyDescent="0.25">
      <c r="A321">
        <v>2109341083</v>
      </c>
      <c r="B321" t="s">
        <v>21122</v>
      </c>
      <c r="C321" t="s">
        <v>21121</v>
      </c>
    </row>
    <row r="322" spans="1:3" x14ac:dyDescent="0.25">
      <c r="A322">
        <v>2110018059</v>
      </c>
      <c r="B322" t="s">
        <v>20725</v>
      </c>
      <c r="C322" t="s">
        <v>20724</v>
      </c>
    </row>
    <row r="323" spans="1:3" x14ac:dyDescent="0.25">
      <c r="A323">
        <v>2110266433</v>
      </c>
      <c r="B323" t="s">
        <v>21714</v>
      </c>
      <c r="C323" t="s">
        <v>21715</v>
      </c>
    </row>
    <row r="324" spans="1:3" x14ac:dyDescent="0.25">
      <c r="A324">
        <v>2110300739</v>
      </c>
      <c r="B324" t="s">
        <v>23775</v>
      </c>
      <c r="C324" t="s">
        <v>23776</v>
      </c>
    </row>
    <row r="325" spans="1:3" x14ac:dyDescent="0.25">
      <c r="A325">
        <v>2110301161</v>
      </c>
      <c r="B325" t="s">
        <v>23378</v>
      </c>
      <c r="C325" t="s">
        <v>23379</v>
      </c>
    </row>
    <row r="326" spans="1:3" x14ac:dyDescent="0.25">
      <c r="A326">
        <v>2110341071</v>
      </c>
      <c r="B326" t="s">
        <v>24059</v>
      </c>
      <c r="C326" t="s">
        <v>24060</v>
      </c>
    </row>
    <row r="327" spans="1:3" x14ac:dyDescent="0.25">
      <c r="A327">
        <v>2110341072</v>
      </c>
      <c r="B327" t="s">
        <v>24061</v>
      </c>
      <c r="C327" t="s">
        <v>24062</v>
      </c>
    </row>
    <row r="328" spans="1:3" x14ac:dyDescent="0.25">
      <c r="A328">
        <v>2110341073</v>
      </c>
      <c r="B328" t="s">
        <v>24063</v>
      </c>
      <c r="C328" t="s">
        <v>24064</v>
      </c>
    </row>
    <row r="329" spans="1:3" x14ac:dyDescent="0.25">
      <c r="A329">
        <v>2111010118</v>
      </c>
      <c r="B329" t="s">
        <v>25017</v>
      </c>
      <c r="C329" t="s">
        <v>25018</v>
      </c>
    </row>
    <row r="330" spans="1:3" x14ac:dyDescent="0.25">
      <c r="A330">
        <v>2111018059</v>
      </c>
      <c r="B330" t="s">
        <v>20700</v>
      </c>
      <c r="C330" t="s">
        <v>20699</v>
      </c>
    </row>
    <row r="331" spans="1:3" x14ac:dyDescent="0.25">
      <c r="A331">
        <v>2111019884</v>
      </c>
      <c r="B331" t="s">
        <v>22924</v>
      </c>
      <c r="C331" t="s">
        <v>22925</v>
      </c>
    </row>
    <row r="332" spans="1:3" x14ac:dyDescent="0.25">
      <c r="A332">
        <v>2111019885</v>
      </c>
      <c r="B332" t="s">
        <v>22926</v>
      </c>
      <c r="C332" t="s">
        <v>22927</v>
      </c>
    </row>
    <row r="333" spans="1:3" x14ac:dyDescent="0.25">
      <c r="A333">
        <v>2111019886</v>
      </c>
      <c r="B333" t="s">
        <v>22928</v>
      </c>
      <c r="C333" t="s">
        <v>22929</v>
      </c>
    </row>
    <row r="334" spans="1:3" x14ac:dyDescent="0.25">
      <c r="A334">
        <v>2111019887</v>
      </c>
      <c r="B334" t="s">
        <v>22930</v>
      </c>
      <c r="C334" t="s">
        <v>22931</v>
      </c>
    </row>
    <row r="335" spans="1:3" x14ac:dyDescent="0.25">
      <c r="A335">
        <v>2111021228</v>
      </c>
      <c r="B335" t="s">
        <v>24514</v>
      </c>
      <c r="C335" t="s">
        <v>25019</v>
      </c>
    </row>
    <row r="336" spans="1:3" x14ac:dyDescent="0.25">
      <c r="A336">
        <v>2111031220</v>
      </c>
      <c r="B336" t="s">
        <v>23777</v>
      </c>
      <c r="C336" t="s">
        <v>23778</v>
      </c>
    </row>
    <row r="337" spans="1:3" x14ac:dyDescent="0.25">
      <c r="A337">
        <v>2111031420</v>
      </c>
      <c r="B337" t="s">
        <v>25020</v>
      </c>
      <c r="C337" t="s">
        <v>25021</v>
      </c>
    </row>
    <row r="338" spans="1:3" x14ac:dyDescent="0.25">
      <c r="A338">
        <v>2111061241</v>
      </c>
      <c r="B338" t="s">
        <v>23779</v>
      </c>
      <c r="C338" t="s">
        <v>23780</v>
      </c>
    </row>
    <row r="339" spans="1:3" x14ac:dyDescent="0.25">
      <c r="A339">
        <v>2111068602</v>
      </c>
      <c r="B339" t="s">
        <v>21141</v>
      </c>
      <c r="C339" t="s">
        <v>21140</v>
      </c>
    </row>
    <row r="340" spans="1:3" x14ac:dyDescent="0.25">
      <c r="A340">
        <v>2111231441</v>
      </c>
      <c r="B340" t="s">
        <v>24491</v>
      </c>
      <c r="C340" t="s">
        <v>25022</v>
      </c>
    </row>
    <row r="341" spans="1:3" x14ac:dyDescent="0.25">
      <c r="A341">
        <v>2111238623</v>
      </c>
      <c r="B341" t="s">
        <v>25023</v>
      </c>
      <c r="C341" t="s">
        <v>25024</v>
      </c>
    </row>
    <row r="342" spans="1:3" x14ac:dyDescent="0.25">
      <c r="A342">
        <v>2111238793</v>
      </c>
      <c r="B342" t="s">
        <v>22448</v>
      </c>
      <c r="C342" t="s">
        <v>22449</v>
      </c>
    </row>
    <row r="343" spans="1:3" x14ac:dyDescent="0.25">
      <c r="A343">
        <v>2111239536</v>
      </c>
      <c r="B343" t="s">
        <v>21137</v>
      </c>
      <c r="C343" t="s">
        <v>21136</v>
      </c>
    </row>
    <row r="344" spans="1:3" x14ac:dyDescent="0.25">
      <c r="A344">
        <v>2111239744</v>
      </c>
      <c r="B344" t="s">
        <v>21404</v>
      </c>
      <c r="C344" t="s">
        <v>21405</v>
      </c>
    </row>
    <row r="345" spans="1:3" x14ac:dyDescent="0.25">
      <c r="A345">
        <v>2111239913</v>
      </c>
      <c r="B345" t="s">
        <v>22932</v>
      </c>
      <c r="C345" t="s">
        <v>22933</v>
      </c>
    </row>
    <row r="346" spans="1:3" x14ac:dyDescent="0.25">
      <c r="A346">
        <v>2111261202</v>
      </c>
      <c r="B346" t="s">
        <v>23781</v>
      </c>
      <c r="C346" t="s">
        <v>23782</v>
      </c>
    </row>
    <row r="347" spans="1:3" x14ac:dyDescent="0.25">
      <c r="A347">
        <v>2111268695</v>
      </c>
      <c r="B347" t="s">
        <v>20821</v>
      </c>
      <c r="C347" t="s">
        <v>20820</v>
      </c>
    </row>
    <row r="348" spans="1:3" x14ac:dyDescent="0.25">
      <c r="A348">
        <v>2111269708</v>
      </c>
      <c r="B348" t="s">
        <v>20821</v>
      </c>
      <c r="C348" t="s">
        <v>22361</v>
      </c>
    </row>
    <row r="349" spans="1:3" x14ac:dyDescent="0.25">
      <c r="A349">
        <v>2111269756</v>
      </c>
      <c r="B349" t="s">
        <v>22362</v>
      </c>
      <c r="C349" t="s">
        <v>22363</v>
      </c>
    </row>
    <row r="350" spans="1:3" x14ac:dyDescent="0.25">
      <c r="A350">
        <v>2111309939</v>
      </c>
      <c r="B350" t="s">
        <v>22934</v>
      </c>
      <c r="C350" t="s">
        <v>22935</v>
      </c>
    </row>
    <row r="351" spans="1:3" x14ac:dyDescent="0.25">
      <c r="A351">
        <v>2111781153</v>
      </c>
      <c r="B351" t="s">
        <v>23380</v>
      </c>
      <c r="C351" t="s">
        <v>23381</v>
      </c>
    </row>
    <row r="352" spans="1:3" x14ac:dyDescent="0.25">
      <c r="A352">
        <v>2111781154</v>
      </c>
      <c r="B352" t="s">
        <v>23382</v>
      </c>
      <c r="C352" t="s">
        <v>23383</v>
      </c>
    </row>
    <row r="353" spans="1:3" x14ac:dyDescent="0.25">
      <c r="A353">
        <v>2111851481</v>
      </c>
      <c r="B353" t="s">
        <v>25025</v>
      </c>
      <c r="C353" t="s">
        <v>25026</v>
      </c>
    </row>
    <row r="354" spans="1:3" x14ac:dyDescent="0.25">
      <c r="A354">
        <v>2111858585</v>
      </c>
      <c r="B354" t="s">
        <v>20731</v>
      </c>
      <c r="C354" t="s">
        <v>20730</v>
      </c>
    </row>
    <row r="355" spans="1:3" x14ac:dyDescent="0.25">
      <c r="A355">
        <v>2112018078</v>
      </c>
      <c r="B355" t="s">
        <v>25027</v>
      </c>
      <c r="C355" t="s">
        <v>25028</v>
      </c>
    </row>
    <row r="356" spans="1:3" x14ac:dyDescent="0.25">
      <c r="A356">
        <v>2112061143</v>
      </c>
      <c r="B356" t="s">
        <v>23215</v>
      </c>
      <c r="C356" t="s">
        <v>23216</v>
      </c>
    </row>
    <row r="357" spans="1:3" x14ac:dyDescent="0.25">
      <c r="A357">
        <v>2112061306</v>
      </c>
      <c r="B357" t="s">
        <v>23783</v>
      </c>
      <c r="C357" t="s">
        <v>23784</v>
      </c>
    </row>
    <row r="358" spans="1:3" x14ac:dyDescent="0.25">
      <c r="A358">
        <v>2112585219</v>
      </c>
      <c r="B358" t="s">
        <v>20845</v>
      </c>
      <c r="C358" t="s">
        <v>20844</v>
      </c>
    </row>
    <row r="359" spans="1:3" x14ac:dyDescent="0.25">
      <c r="A359">
        <v>2112589932</v>
      </c>
      <c r="B359" t="s">
        <v>22936</v>
      </c>
      <c r="C359" t="s">
        <v>22937</v>
      </c>
    </row>
    <row r="360" spans="1:3" x14ac:dyDescent="0.25">
      <c r="A360">
        <v>2112868354</v>
      </c>
      <c r="B360" t="s">
        <v>20694</v>
      </c>
      <c r="C360" t="s">
        <v>20693</v>
      </c>
    </row>
    <row r="361" spans="1:3" x14ac:dyDescent="0.25">
      <c r="A361">
        <v>2113017994</v>
      </c>
      <c r="B361" t="s">
        <v>21484</v>
      </c>
      <c r="C361" t="s">
        <v>21485</v>
      </c>
    </row>
    <row r="362" spans="1:3" x14ac:dyDescent="0.25">
      <c r="A362">
        <v>2114070122</v>
      </c>
      <c r="B362" t="s">
        <v>20775</v>
      </c>
      <c r="C362" t="s">
        <v>20774</v>
      </c>
    </row>
    <row r="363" spans="1:3" x14ac:dyDescent="0.25">
      <c r="A363">
        <v>2114070124</v>
      </c>
      <c r="B363" t="s">
        <v>25029</v>
      </c>
      <c r="C363" t="s">
        <v>25030</v>
      </c>
    </row>
    <row r="364" spans="1:3" x14ac:dyDescent="0.25">
      <c r="A364">
        <v>2114071219</v>
      </c>
      <c r="B364" t="s">
        <v>23785</v>
      </c>
      <c r="C364" t="s">
        <v>23786</v>
      </c>
    </row>
    <row r="365" spans="1:3" x14ac:dyDescent="0.25">
      <c r="A365">
        <v>2114071446</v>
      </c>
      <c r="B365" t="s">
        <v>25031</v>
      </c>
      <c r="C365" t="s">
        <v>25032</v>
      </c>
    </row>
    <row r="366" spans="1:3" x14ac:dyDescent="0.25">
      <c r="A366">
        <v>2114072480</v>
      </c>
      <c r="B366" t="s">
        <v>25033</v>
      </c>
      <c r="C366" t="s">
        <v>20665</v>
      </c>
    </row>
    <row r="367" spans="1:3" x14ac:dyDescent="0.25">
      <c r="A367">
        <v>2114072775</v>
      </c>
      <c r="B367" t="s">
        <v>21406</v>
      </c>
      <c r="C367" t="s">
        <v>21407</v>
      </c>
    </row>
    <row r="368" spans="1:3" x14ac:dyDescent="0.25">
      <c r="A368">
        <v>2114074210</v>
      </c>
      <c r="B368" t="s">
        <v>23787</v>
      </c>
      <c r="C368" t="s">
        <v>23788</v>
      </c>
    </row>
    <row r="369" spans="1:3" x14ac:dyDescent="0.25">
      <c r="A369">
        <v>2114074224</v>
      </c>
      <c r="B369" t="s">
        <v>23384</v>
      </c>
      <c r="C369" t="s">
        <v>23385</v>
      </c>
    </row>
    <row r="370" spans="1:3" x14ac:dyDescent="0.25">
      <c r="A370">
        <v>2114075058</v>
      </c>
      <c r="B370" t="s">
        <v>23217</v>
      </c>
      <c r="C370" t="s">
        <v>23218</v>
      </c>
    </row>
    <row r="371" spans="1:3" x14ac:dyDescent="0.25">
      <c r="A371">
        <v>2114077345</v>
      </c>
      <c r="B371" t="s">
        <v>20704</v>
      </c>
      <c r="C371" t="s">
        <v>20703</v>
      </c>
    </row>
    <row r="372" spans="1:3" x14ac:dyDescent="0.25">
      <c r="A372">
        <v>2114078439</v>
      </c>
      <c r="B372" t="s">
        <v>23386</v>
      </c>
      <c r="C372" t="s">
        <v>23387</v>
      </c>
    </row>
    <row r="373" spans="1:3" x14ac:dyDescent="0.25">
      <c r="A373">
        <v>2114078440</v>
      </c>
      <c r="B373" t="s">
        <v>23563</v>
      </c>
      <c r="C373" t="s">
        <v>23564</v>
      </c>
    </row>
    <row r="374" spans="1:3" x14ac:dyDescent="0.25">
      <c r="A374">
        <v>2114078575</v>
      </c>
      <c r="B374" t="s">
        <v>20756</v>
      </c>
      <c r="C374" t="s">
        <v>20755</v>
      </c>
    </row>
    <row r="375" spans="1:3" x14ac:dyDescent="0.25">
      <c r="A375">
        <v>2114078601</v>
      </c>
      <c r="B375" t="s">
        <v>21143</v>
      </c>
      <c r="C375" t="s">
        <v>21142</v>
      </c>
    </row>
    <row r="376" spans="1:3" x14ac:dyDescent="0.25">
      <c r="A376">
        <v>2114079037</v>
      </c>
      <c r="B376" t="s">
        <v>20885</v>
      </c>
      <c r="C376" t="s">
        <v>20884</v>
      </c>
    </row>
    <row r="377" spans="1:3" x14ac:dyDescent="0.25">
      <c r="A377">
        <v>2114079648</v>
      </c>
      <c r="B377" t="s">
        <v>21716</v>
      </c>
      <c r="C377" t="s">
        <v>21717</v>
      </c>
    </row>
    <row r="378" spans="1:3" x14ac:dyDescent="0.25">
      <c r="A378">
        <v>2114079899</v>
      </c>
      <c r="B378" t="s">
        <v>22652</v>
      </c>
      <c r="C378" t="s">
        <v>22653</v>
      </c>
    </row>
    <row r="379" spans="1:3" x14ac:dyDescent="0.25">
      <c r="A379">
        <v>2114085220</v>
      </c>
      <c r="B379" t="s">
        <v>22938</v>
      </c>
      <c r="C379" t="s">
        <v>22939</v>
      </c>
    </row>
    <row r="380" spans="1:3" x14ac:dyDescent="0.25">
      <c r="A380">
        <v>2114085950</v>
      </c>
      <c r="B380" t="s">
        <v>23789</v>
      </c>
      <c r="C380" t="s">
        <v>23790</v>
      </c>
    </row>
    <row r="381" spans="1:3" x14ac:dyDescent="0.25">
      <c r="A381">
        <v>2115011053</v>
      </c>
      <c r="B381" t="s">
        <v>23791</v>
      </c>
      <c r="C381" t="s">
        <v>23792</v>
      </c>
    </row>
    <row r="382" spans="1:3" x14ac:dyDescent="0.25">
      <c r="A382">
        <v>2115011054</v>
      </c>
      <c r="B382" t="s">
        <v>24066</v>
      </c>
      <c r="C382" t="s">
        <v>24067</v>
      </c>
    </row>
    <row r="383" spans="1:3" x14ac:dyDescent="0.25">
      <c r="A383">
        <v>2115011055</v>
      </c>
      <c r="B383" t="s">
        <v>24068</v>
      </c>
      <c r="C383" t="s">
        <v>24069</v>
      </c>
    </row>
    <row r="384" spans="1:3" x14ac:dyDescent="0.25">
      <c r="A384">
        <v>2115011089</v>
      </c>
      <c r="B384" t="s">
        <v>24070</v>
      </c>
      <c r="C384" t="s">
        <v>24071</v>
      </c>
    </row>
    <row r="385" spans="1:3" x14ac:dyDescent="0.25">
      <c r="A385">
        <v>2115011090</v>
      </c>
      <c r="B385" t="s">
        <v>24072</v>
      </c>
      <c r="C385" t="s">
        <v>24073</v>
      </c>
    </row>
    <row r="386" spans="1:3" x14ac:dyDescent="0.25">
      <c r="A386">
        <v>2115011091</v>
      </c>
      <c r="B386" t="s">
        <v>24074</v>
      </c>
      <c r="C386" t="s">
        <v>24075</v>
      </c>
    </row>
    <row r="387" spans="1:3" x14ac:dyDescent="0.25">
      <c r="A387">
        <v>2115011218</v>
      </c>
      <c r="B387" t="s">
        <v>23793</v>
      </c>
      <c r="C387" t="s">
        <v>23794</v>
      </c>
    </row>
    <row r="388" spans="1:3" x14ac:dyDescent="0.25">
      <c r="A388">
        <v>2115012309</v>
      </c>
      <c r="B388" t="s">
        <v>21644</v>
      </c>
      <c r="C388" t="s">
        <v>21718</v>
      </c>
    </row>
    <row r="389" spans="1:3" x14ac:dyDescent="0.25">
      <c r="A389">
        <v>2115012372</v>
      </c>
      <c r="B389" t="s">
        <v>21644</v>
      </c>
      <c r="C389" t="s">
        <v>21719</v>
      </c>
    </row>
    <row r="390" spans="1:3" x14ac:dyDescent="0.25">
      <c r="A390">
        <v>2115012833</v>
      </c>
      <c r="B390" t="s">
        <v>23096</v>
      </c>
      <c r="C390" t="s">
        <v>21721</v>
      </c>
    </row>
    <row r="391" spans="1:3" x14ac:dyDescent="0.25">
      <c r="A391">
        <v>2115012980</v>
      </c>
      <c r="B391" t="s">
        <v>23097</v>
      </c>
      <c r="C391" t="s">
        <v>21722</v>
      </c>
    </row>
    <row r="392" spans="1:3" x14ac:dyDescent="0.25">
      <c r="A392">
        <v>2115015214</v>
      </c>
      <c r="B392" t="s">
        <v>21723</v>
      </c>
      <c r="C392" t="s">
        <v>21724</v>
      </c>
    </row>
    <row r="393" spans="1:3" x14ac:dyDescent="0.25">
      <c r="A393">
        <v>2115015224</v>
      </c>
      <c r="B393" t="s">
        <v>21644</v>
      </c>
      <c r="C393" t="s">
        <v>21725</v>
      </c>
    </row>
    <row r="394" spans="1:3" x14ac:dyDescent="0.25">
      <c r="A394">
        <v>2115015228</v>
      </c>
      <c r="B394" t="s">
        <v>21723</v>
      </c>
      <c r="C394" t="s">
        <v>21726</v>
      </c>
    </row>
    <row r="395" spans="1:3" x14ac:dyDescent="0.25">
      <c r="A395">
        <v>2115015235</v>
      </c>
      <c r="B395" t="s">
        <v>21644</v>
      </c>
      <c r="C395" t="s">
        <v>21727</v>
      </c>
    </row>
    <row r="396" spans="1:3" x14ac:dyDescent="0.25">
      <c r="A396">
        <v>2115015238</v>
      </c>
      <c r="B396" t="s">
        <v>21723</v>
      </c>
      <c r="C396" t="s">
        <v>21728</v>
      </c>
    </row>
    <row r="397" spans="1:3" x14ac:dyDescent="0.25">
      <c r="A397">
        <v>2115015253</v>
      </c>
      <c r="B397" t="s">
        <v>21644</v>
      </c>
      <c r="C397" t="s">
        <v>21729</v>
      </c>
    </row>
    <row r="398" spans="1:3" x14ac:dyDescent="0.25">
      <c r="A398">
        <v>2115015948</v>
      </c>
      <c r="B398" t="s">
        <v>21723</v>
      </c>
      <c r="C398" t="s">
        <v>21730</v>
      </c>
    </row>
    <row r="399" spans="1:3" x14ac:dyDescent="0.25">
      <c r="A399">
        <v>2115019600</v>
      </c>
      <c r="B399" t="s">
        <v>20747</v>
      </c>
      <c r="C399" t="s">
        <v>20746</v>
      </c>
    </row>
    <row r="400" spans="1:3" x14ac:dyDescent="0.25">
      <c r="A400">
        <v>2115019657</v>
      </c>
      <c r="B400" t="s">
        <v>21731</v>
      </c>
      <c r="C400" t="s">
        <v>21732</v>
      </c>
    </row>
    <row r="401" spans="1:3" x14ac:dyDescent="0.25">
      <c r="A401">
        <v>2115021170</v>
      </c>
      <c r="B401" t="s">
        <v>23565</v>
      </c>
      <c r="C401" t="s">
        <v>23566</v>
      </c>
    </row>
    <row r="402" spans="1:3" x14ac:dyDescent="0.25">
      <c r="A402">
        <v>2115021339</v>
      </c>
      <c r="B402" t="s">
        <v>24365</v>
      </c>
      <c r="C402" t="s">
        <v>24366</v>
      </c>
    </row>
    <row r="403" spans="1:3" x14ac:dyDescent="0.25">
      <c r="A403">
        <v>2115021340</v>
      </c>
      <c r="B403" t="s">
        <v>24367</v>
      </c>
      <c r="C403" t="s">
        <v>24368</v>
      </c>
    </row>
    <row r="404" spans="1:3" x14ac:dyDescent="0.25">
      <c r="A404">
        <v>2115023678</v>
      </c>
      <c r="B404" t="s">
        <v>23795</v>
      </c>
      <c r="C404" t="s">
        <v>23796</v>
      </c>
    </row>
    <row r="405" spans="1:3" x14ac:dyDescent="0.25">
      <c r="A405">
        <v>2115026551</v>
      </c>
      <c r="B405" t="s">
        <v>21733</v>
      </c>
      <c r="C405" t="s">
        <v>21734</v>
      </c>
    </row>
    <row r="406" spans="1:3" x14ac:dyDescent="0.25">
      <c r="A406">
        <v>2115026552</v>
      </c>
      <c r="B406" t="s">
        <v>21230</v>
      </c>
      <c r="C406" t="s">
        <v>21231</v>
      </c>
    </row>
    <row r="407" spans="1:3" x14ac:dyDescent="0.25">
      <c r="A407">
        <v>2115028616</v>
      </c>
      <c r="B407" t="s">
        <v>21232</v>
      </c>
      <c r="C407" t="s">
        <v>21233</v>
      </c>
    </row>
    <row r="408" spans="1:3" x14ac:dyDescent="0.25">
      <c r="A408">
        <v>2115029891</v>
      </c>
      <c r="B408" t="s">
        <v>22940</v>
      </c>
      <c r="C408" t="s">
        <v>22941</v>
      </c>
    </row>
    <row r="409" spans="1:3" x14ac:dyDescent="0.25">
      <c r="A409">
        <v>2115029916</v>
      </c>
      <c r="B409" t="s">
        <v>22942</v>
      </c>
      <c r="C409" t="s">
        <v>22943</v>
      </c>
    </row>
    <row r="410" spans="1:3" x14ac:dyDescent="0.25">
      <c r="A410">
        <v>2115030452</v>
      </c>
      <c r="B410" t="s">
        <v>24369</v>
      </c>
      <c r="C410" t="s">
        <v>24370</v>
      </c>
    </row>
    <row r="411" spans="1:3" x14ac:dyDescent="0.25">
      <c r="A411">
        <v>2115031221</v>
      </c>
      <c r="B411" t="s">
        <v>23797</v>
      </c>
      <c r="C411" t="s">
        <v>23798</v>
      </c>
    </row>
    <row r="412" spans="1:3" x14ac:dyDescent="0.25">
      <c r="A412">
        <v>2115031222</v>
      </c>
      <c r="B412" t="s">
        <v>23799</v>
      </c>
      <c r="C412" t="s">
        <v>23800</v>
      </c>
    </row>
    <row r="413" spans="1:3" x14ac:dyDescent="0.25">
      <c r="A413">
        <v>2115031223</v>
      </c>
      <c r="B413" t="s">
        <v>23801</v>
      </c>
      <c r="C413" t="s">
        <v>23802</v>
      </c>
    </row>
    <row r="414" spans="1:3" x14ac:dyDescent="0.25">
      <c r="A414">
        <v>2115031224</v>
      </c>
      <c r="B414" t="s">
        <v>23803</v>
      </c>
      <c r="C414" t="s">
        <v>23804</v>
      </c>
    </row>
    <row r="415" spans="1:3" x14ac:dyDescent="0.25">
      <c r="A415">
        <v>2115031225</v>
      </c>
      <c r="B415" t="s">
        <v>23805</v>
      </c>
      <c r="C415" t="s">
        <v>23806</v>
      </c>
    </row>
    <row r="416" spans="1:3" x14ac:dyDescent="0.25">
      <c r="A416">
        <v>2115031226</v>
      </c>
      <c r="B416" t="s">
        <v>23807</v>
      </c>
      <c r="C416" t="s">
        <v>23808</v>
      </c>
    </row>
    <row r="417" spans="1:3" x14ac:dyDescent="0.25">
      <c r="A417">
        <v>2115031227</v>
      </c>
      <c r="B417" t="s">
        <v>23809</v>
      </c>
      <c r="C417" t="s">
        <v>23810</v>
      </c>
    </row>
    <row r="418" spans="1:3" x14ac:dyDescent="0.25">
      <c r="A418">
        <v>2115031259</v>
      </c>
      <c r="B418" t="s">
        <v>24076</v>
      </c>
      <c r="C418" t="s">
        <v>24077</v>
      </c>
    </row>
    <row r="419" spans="1:3" x14ac:dyDescent="0.25">
      <c r="A419">
        <v>2115032464</v>
      </c>
      <c r="B419" t="s">
        <v>24371</v>
      </c>
      <c r="C419" t="s">
        <v>20979</v>
      </c>
    </row>
    <row r="420" spans="1:3" x14ac:dyDescent="0.25">
      <c r="A420">
        <v>2115035266</v>
      </c>
      <c r="B420" t="s">
        <v>23811</v>
      </c>
      <c r="C420" t="s">
        <v>23812</v>
      </c>
    </row>
    <row r="421" spans="1:3" x14ac:dyDescent="0.25">
      <c r="A421">
        <v>2115036414</v>
      </c>
      <c r="B421" t="s">
        <v>20727</v>
      </c>
      <c r="C421" t="s">
        <v>20726</v>
      </c>
    </row>
    <row r="422" spans="1:3" x14ac:dyDescent="0.25">
      <c r="A422">
        <v>2115036415</v>
      </c>
      <c r="B422" t="s">
        <v>20729</v>
      </c>
      <c r="C422" t="s">
        <v>20728</v>
      </c>
    </row>
    <row r="423" spans="1:3" x14ac:dyDescent="0.25">
      <c r="A423">
        <v>2115038580</v>
      </c>
      <c r="B423" t="s">
        <v>20669</v>
      </c>
      <c r="C423" t="s">
        <v>20668</v>
      </c>
    </row>
    <row r="424" spans="1:3" x14ac:dyDescent="0.25">
      <c r="A424">
        <v>2115041361</v>
      </c>
      <c r="B424" t="s">
        <v>24372</v>
      </c>
      <c r="C424" t="s">
        <v>24373</v>
      </c>
    </row>
    <row r="425" spans="1:3" x14ac:dyDescent="0.25">
      <c r="A425">
        <v>2115052438</v>
      </c>
      <c r="B425" t="s">
        <v>23098</v>
      </c>
      <c r="C425" t="s">
        <v>21735</v>
      </c>
    </row>
    <row r="426" spans="1:3" x14ac:dyDescent="0.25">
      <c r="A426">
        <v>2115059618</v>
      </c>
      <c r="B426" t="s">
        <v>21736</v>
      </c>
      <c r="C426" t="s">
        <v>21737</v>
      </c>
    </row>
    <row r="427" spans="1:3" x14ac:dyDescent="0.25">
      <c r="A427">
        <v>2115061015</v>
      </c>
      <c r="B427" t="s">
        <v>22944</v>
      </c>
      <c r="C427" t="s">
        <v>22945</v>
      </c>
    </row>
    <row r="428" spans="1:3" x14ac:dyDescent="0.25">
      <c r="A428">
        <v>2115066258</v>
      </c>
      <c r="B428" t="s">
        <v>21408</v>
      </c>
      <c r="C428" t="s">
        <v>21133</v>
      </c>
    </row>
    <row r="429" spans="1:3" x14ac:dyDescent="0.25">
      <c r="A429">
        <v>2115066424</v>
      </c>
      <c r="B429" t="s">
        <v>22364</v>
      </c>
      <c r="C429" t="s">
        <v>22365</v>
      </c>
    </row>
    <row r="430" spans="1:3" x14ac:dyDescent="0.25">
      <c r="A430">
        <v>2115067026</v>
      </c>
      <c r="B430" t="s">
        <v>24374</v>
      </c>
      <c r="C430" t="s">
        <v>24375</v>
      </c>
    </row>
    <row r="431" spans="1:3" x14ac:dyDescent="0.25">
      <c r="A431">
        <v>2115068545</v>
      </c>
      <c r="B431" t="s">
        <v>20717</v>
      </c>
      <c r="C431" t="s">
        <v>20716</v>
      </c>
    </row>
    <row r="432" spans="1:3" x14ac:dyDescent="0.25">
      <c r="A432">
        <v>2115068550</v>
      </c>
      <c r="B432" t="s">
        <v>20909</v>
      </c>
      <c r="C432" t="s">
        <v>20908</v>
      </c>
    </row>
    <row r="433" spans="1:3" x14ac:dyDescent="0.25">
      <c r="A433">
        <v>2115068551</v>
      </c>
      <c r="B433" t="s">
        <v>20911</v>
      </c>
      <c r="C433" t="s">
        <v>20910</v>
      </c>
    </row>
    <row r="434" spans="1:3" x14ac:dyDescent="0.25">
      <c r="A434">
        <v>2115068619</v>
      </c>
      <c r="B434" t="s">
        <v>21112</v>
      </c>
      <c r="C434" t="s">
        <v>21111</v>
      </c>
    </row>
    <row r="435" spans="1:3" x14ac:dyDescent="0.25">
      <c r="A435">
        <v>2115068629</v>
      </c>
      <c r="B435" t="s">
        <v>21073</v>
      </c>
      <c r="C435" t="s">
        <v>21072</v>
      </c>
    </row>
    <row r="436" spans="1:3" x14ac:dyDescent="0.25">
      <c r="A436">
        <v>2115069326</v>
      </c>
      <c r="B436" t="s">
        <v>22654</v>
      </c>
      <c r="C436" t="s">
        <v>22655</v>
      </c>
    </row>
    <row r="437" spans="1:3" x14ac:dyDescent="0.25">
      <c r="A437">
        <v>2115108588</v>
      </c>
      <c r="B437" t="s">
        <v>25034</v>
      </c>
      <c r="C437" t="s">
        <v>21051</v>
      </c>
    </row>
    <row r="438" spans="1:3" x14ac:dyDescent="0.25">
      <c r="A438">
        <v>2115155826</v>
      </c>
      <c r="B438" t="s">
        <v>23813</v>
      </c>
      <c r="C438" t="s">
        <v>23814</v>
      </c>
    </row>
    <row r="439" spans="1:3" x14ac:dyDescent="0.25">
      <c r="A439">
        <v>2115188810</v>
      </c>
      <c r="B439" t="s">
        <v>21486</v>
      </c>
      <c r="C439" t="s">
        <v>21487</v>
      </c>
    </row>
    <row r="440" spans="1:3" x14ac:dyDescent="0.25">
      <c r="A440">
        <v>2115289283</v>
      </c>
      <c r="B440" t="s">
        <v>21130</v>
      </c>
      <c r="C440" t="s">
        <v>21129</v>
      </c>
    </row>
    <row r="441" spans="1:3" x14ac:dyDescent="0.25">
      <c r="A441">
        <v>2115471144</v>
      </c>
      <c r="B441" t="s">
        <v>23219</v>
      </c>
      <c r="C441" t="s">
        <v>23220</v>
      </c>
    </row>
    <row r="442" spans="1:3" x14ac:dyDescent="0.25">
      <c r="A442">
        <v>2115471542</v>
      </c>
      <c r="B442" t="s">
        <v>25035</v>
      </c>
      <c r="C442" t="s">
        <v>25036</v>
      </c>
    </row>
    <row r="443" spans="1:3" x14ac:dyDescent="0.25">
      <c r="A443">
        <v>2115479723</v>
      </c>
      <c r="B443" t="s">
        <v>21308</v>
      </c>
      <c r="C443" t="s">
        <v>21309</v>
      </c>
    </row>
    <row r="444" spans="1:3" x14ac:dyDescent="0.25">
      <c r="A444">
        <v>2115501207</v>
      </c>
      <c r="B444" t="s">
        <v>23815</v>
      </c>
      <c r="C444" t="s">
        <v>23816</v>
      </c>
    </row>
    <row r="445" spans="1:3" x14ac:dyDescent="0.25">
      <c r="A445">
        <v>2115709705</v>
      </c>
      <c r="B445" t="s">
        <v>21488</v>
      </c>
      <c r="C445" t="s">
        <v>21489</v>
      </c>
    </row>
    <row r="446" spans="1:3" x14ac:dyDescent="0.25">
      <c r="A446">
        <v>2115709755</v>
      </c>
      <c r="B446" t="s">
        <v>21738</v>
      </c>
      <c r="C446" t="s">
        <v>21739</v>
      </c>
    </row>
    <row r="447" spans="1:3" x14ac:dyDescent="0.25">
      <c r="A447">
        <v>2115762167</v>
      </c>
      <c r="B447" t="s">
        <v>21740</v>
      </c>
      <c r="C447" t="s">
        <v>21741</v>
      </c>
    </row>
    <row r="448" spans="1:3" x14ac:dyDescent="0.25">
      <c r="A448">
        <v>2115851351</v>
      </c>
      <c r="B448" t="s">
        <v>24376</v>
      </c>
      <c r="C448" t="s">
        <v>24377</v>
      </c>
    </row>
    <row r="449" spans="1:3" x14ac:dyDescent="0.25">
      <c r="A449">
        <v>2115851414</v>
      </c>
      <c r="B449" t="s">
        <v>25037</v>
      </c>
      <c r="C449" t="s">
        <v>25038</v>
      </c>
    </row>
    <row r="450" spans="1:3" x14ac:dyDescent="0.25">
      <c r="A450">
        <v>2115851415</v>
      </c>
      <c r="B450" t="s">
        <v>25039</v>
      </c>
      <c r="C450" t="s">
        <v>25040</v>
      </c>
    </row>
    <row r="451" spans="1:3" x14ac:dyDescent="0.25">
      <c r="A451">
        <v>2115851416</v>
      </c>
      <c r="B451" t="s">
        <v>25041</v>
      </c>
      <c r="C451" t="s">
        <v>25042</v>
      </c>
    </row>
    <row r="452" spans="1:3" x14ac:dyDescent="0.25">
      <c r="A452">
        <v>2115861524</v>
      </c>
      <c r="B452" t="s">
        <v>24546</v>
      </c>
      <c r="C452" t="s">
        <v>25043</v>
      </c>
    </row>
    <row r="453" spans="1:3" x14ac:dyDescent="0.25">
      <c r="A453">
        <v>2115861525</v>
      </c>
      <c r="B453" t="s">
        <v>25044</v>
      </c>
      <c r="C453" t="s">
        <v>25045</v>
      </c>
    </row>
    <row r="454" spans="1:3" x14ac:dyDescent="0.25">
      <c r="A454">
        <v>2115868597</v>
      </c>
      <c r="B454" t="s">
        <v>21155</v>
      </c>
      <c r="C454" t="s">
        <v>21154</v>
      </c>
    </row>
    <row r="455" spans="1:3" x14ac:dyDescent="0.25">
      <c r="A455">
        <v>2115868640</v>
      </c>
      <c r="B455" t="s">
        <v>21095</v>
      </c>
      <c r="C455" t="s">
        <v>21094</v>
      </c>
    </row>
    <row r="456" spans="1:3" x14ac:dyDescent="0.25">
      <c r="A456">
        <v>2115868645</v>
      </c>
      <c r="B456" t="s">
        <v>21153</v>
      </c>
      <c r="C456" t="s">
        <v>21152</v>
      </c>
    </row>
    <row r="457" spans="1:3" x14ac:dyDescent="0.25">
      <c r="A457">
        <v>2117011350</v>
      </c>
      <c r="B457" t="s">
        <v>25046</v>
      </c>
      <c r="C457" t="s">
        <v>25047</v>
      </c>
    </row>
    <row r="458" spans="1:3" x14ac:dyDescent="0.25">
      <c r="A458">
        <v>2117022312</v>
      </c>
      <c r="B458" t="s">
        <v>21742</v>
      </c>
      <c r="C458" t="s">
        <v>21743</v>
      </c>
    </row>
    <row r="459" spans="1:3" x14ac:dyDescent="0.25">
      <c r="A459">
        <v>2118041920</v>
      </c>
      <c r="B459" t="s">
        <v>21234</v>
      </c>
      <c r="C459" t="s">
        <v>21235</v>
      </c>
    </row>
    <row r="460" spans="1:3" x14ac:dyDescent="0.25">
      <c r="A460">
        <v>2120011419</v>
      </c>
      <c r="B460" t="s">
        <v>25048</v>
      </c>
      <c r="C460" t="s">
        <v>25049</v>
      </c>
    </row>
    <row r="461" spans="1:3" x14ac:dyDescent="0.25">
      <c r="A461">
        <v>2120029634</v>
      </c>
      <c r="B461" t="s">
        <v>21744</v>
      </c>
      <c r="C461" t="s">
        <v>21745</v>
      </c>
    </row>
    <row r="462" spans="1:3" x14ac:dyDescent="0.25">
      <c r="A462">
        <v>2120029889</v>
      </c>
      <c r="B462" t="s">
        <v>22946</v>
      </c>
      <c r="C462" t="s">
        <v>22947</v>
      </c>
    </row>
    <row r="463" spans="1:3" x14ac:dyDescent="0.25">
      <c r="A463">
        <v>2120038552</v>
      </c>
      <c r="B463" t="s">
        <v>20905</v>
      </c>
      <c r="C463" t="s">
        <v>20904</v>
      </c>
    </row>
    <row r="464" spans="1:3" x14ac:dyDescent="0.25">
      <c r="A464">
        <v>2120038553</v>
      </c>
      <c r="B464" t="s">
        <v>20903</v>
      </c>
      <c r="C464" t="s">
        <v>20902</v>
      </c>
    </row>
    <row r="465" spans="1:3" x14ac:dyDescent="0.25">
      <c r="A465">
        <v>2120038554</v>
      </c>
      <c r="B465" t="s">
        <v>20901</v>
      </c>
      <c r="C465" t="s">
        <v>20900</v>
      </c>
    </row>
    <row r="466" spans="1:3" x14ac:dyDescent="0.25">
      <c r="A466">
        <v>2120051190</v>
      </c>
      <c r="B466" t="s">
        <v>23817</v>
      </c>
      <c r="C466" t="s">
        <v>23818</v>
      </c>
    </row>
    <row r="467" spans="1:3" x14ac:dyDescent="0.25">
      <c r="A467">
        <v>2120051370</v>
      </c>
      <c r="B467" t="s">
        <v>25050</v>
      </c>
      <c r="C467" t="s">
        <v>25051</v>
      </c>
    </row>
    <row r="468" spans="1:3" x14ac:dyDescent="0.25">
      <c r="A468">
        <v>2120052812</v>
      </c>
      <c r="B468" t="s">
        <v>25052</v>
      </c>
      <c r="C468" t="s">
        <v>21009</v>
      </c>
    </row>
    <row r="469" spans="1:3" x14ac:dyDescent="0.25">
      <c r="A469">
        <v>2120059696</v>
      </c>
      <c r="B469" t="s">
        <v>20791</v>
      </c>
      <c r="C469" t="s">
        <v>20790</v>
      </c>
    </row>
    <row r="470" spans="1:3" x14ac:dyDescent="0.25">
      <c r="A470">
        <v>2120059936</v>
      </c>
      <c r="B470" t="s">
        <v>22948</v>
      </c>
      <c r="C470" t="s">
        <v>22949</v>
      </c>
    </row>
    <row r="471" spans="1:3" x14ac:dyDescent="0.25">
      <c r="A471">
        <v>2120121467</v>
      </c>
      <c r="B471" t="s">
        <v>25053</v>
      </c>
      <c r="C471" t="s">
        <v>25054</v>
      </c>
    </row>
    <row r="472" spans="1:3" x14ac:dyDescent="0.25">
      <c r="A472">
        <v>2121011182</v>
      </c>
      <c r="B472" t="s">
        <v>23819</v>
      </c>
      <c r="C472" t="s">
        <v>23820</v>
      </c>
    </row>
    <row r="473" spans="1:3" x14ac:dyDescent="0.25">
      <c r="A473">
        <v>2121011491</v>
      </c>
      <c r="B473" t="s">
        <v>25055</v>
      </c>
      <c r="C473" t="s">
        <v>25056</v>
      </c>
    </row>
    <row r="474" spans="1:3" x14ac:dyDescent="0.25">
      <c r="A474">
        <v>2121011492</v>
      </c>
      <c r="B474" t="s">
        <v>25057</v>
      </c>
      <c r="C474" t="s">
        <v>25058</v>
      </c>
    </row>
    <row r="475" spans="1:3" x14ac:dyDescent="0.25">
      <c r="A475">
        <v>2121011493</v>
      </c>
      <c r="B475" t="s">
        <v>25059</v>
      </c>
      <c r="C475" t="s">
        <v>25060</v>
      </c>
    </row>
    <row r="476" spans="1:3" x14ac:dyDescent="0.25">
      <c r="A476">
        <v>2121011692</v>
      </c>
      <c r="B476" t="s">
        <v>22950</v>
      </c>
      <c r="C476" t="s">
        <v>22951</v>
      </c>
    </row>
    <row r="477" spans="1:3" x14ac:dyDescent="0.25">
      <c r="A477">
        <v>2121011778</v>
      </c>
      <c r="B477" t="s">
        <v>20688</v>
      </c>
      <c r="C477" t="s">
        <v>20687</v>
      </c>
    </row>
    <row r="478" spans="1:3" x14ac:dyDescent="0.25">
      <c r="A478">
        <v>2121017007</v>
      </c>
      <c r="B478" t="s">
        <v>20773</v>
      </c>
      <c r="C478" t="s">
        <v>20772</v>
      </c>
    </row>
    <row r="479" spans="1:3" x14ac:dyDescent="0.25">
      <c r="A479">
        <v>2121019725</v>
      </c>
      <c r="B479" t="s">
        <v>21409</v>
      </c>
      <c r="C479" t="s">
        <v>21410</v>
      </c>
    </row>
    <row r="480" spans="1:3" x14ac:dyDescent="0.25">
      <c r="A480">
        <v>2121019749</v>
      </c>
      <c r="B480" t="s">
        <v>22952</v>
      </c>
      <c r="C480" t="s">
        <v>22953</v>
      </c>
    </row>
    <row r="481" spans="1:3" x14ac:dyDescent="0.25">
      <c r="A481">
        <v>2121021188</v>
      </c>
      <c r="B481" t="s">
        <v>23821</v>
      </c>
      <c r="C481" t="s">
        <v>23822</v>
      </c>
    </row>
    <row r="482" spans="1:3" x14ac:dyDescent="0.25">
      <c r="A482">
        <v>2121021189</v>
      </c>
      <c r="B482" t="s">
        <v>23823</v>
      </c>
      <c r="C482" t="s">
        <v>23824</v>
      </c>
    </row>
    <row r="483" spans="1:3" x14ac:dyDescent="0.25">
      <c r="A483">
        <v>2121021589</v>
      </c>
      <c r="B483" t="s">
        <v>25061</v>
      </c>
      <c r="C483" t="s">
        <v>25062</v>
      </c>
    </row>
    <row r="484" spans="1:3" x14ac:dyDescent="0.25">
      <c r="A484">
        <v>2121028632</v>
      </c>
      <c r="B484" t="s">
        <v>20690</v>
      </c>
      <c r="C484" t="s">
        <v>20689</v>
      </c>
    </row>
    <row r="485" spans="1:3" x14ac:dyDescent="0.25">
      <c r="A485">
        <v>2121029889</v>
      </c>
      <c r="B485" t="s">
        <v>22954</v>
      </c>
      <c r="C485" t="s">
        <v>22955</v>
      </c>
    </row>
    <row r="486" spans="1:3" x14ac:dyDescent="0.25">
      <c r="A486">
        <v>2121048632</v>
      </c>
      <c r="B486" t="s">
        <v>21093</v>
      </c>
      <c r="C486" t="s">
        <v>21092</v>
      </c>
    </row>
    <row r="487" spans="1:3" x14ac:dyDescent="0.25">
      <c r="A487">
        <v>2121048633</v>
      </c>
      <c r="B487" t="s">
        <v>21091</v>
      </c>
      <c r="C487" t="s">
        <v>21090</v>
      </c>
    </row>
    <row r="488" spans="1:3" x14ac:dyDescent="0.25">
      <c r="A488">
        <v>2121049654</v>
      </c>
      <c r="B488" t="s">
        <v>21108</v>
      </c>
      <c r="C488" t="s">
        <v>21107</v>
      </c>
    </row>
    <row r="489" spans="1:3" x14ac:dyDescent="0.25">
      <c r="A489">
        <v>2121049747</v>
      </c>
      <c r="B489" t="s">
        <v>21746</v>
      </c>
      <c r="C489" t="s">
        <v>21747</v>
      </c>
    </row>
    <row r="490" spans="1:3" x14ac:dyDescent="0.25">
      <c r="A490">
        <v>2121049750</v>
      </c>
      <c r="B490" t="s">
        <v>21748</v>
      </c>
      <c r="C490" t="s">
        <v>21749</v>
      </c>
    </row>
    <row r="491" spans="1:3" x14ac:dyDescent="0.25">
      <c r="A491">
        <v>2121061437</v>
      </c>
      <c r="B491" t="s">
        <v>25063</v>
      </c>
      <c r="C491" t="s">
        <v>25064</v>
      </c>
    </row>
    <row r="492" spans="1:3" x14ac:dyDescent="0.25">
      <c r="A492">
        <v>2121061439</v>
      </c>
      <c r="B492" t="s">
        <v>25065</v>
      </c>
      <c r="C492" t="s">
        <v>25066</v>
      </c>
    </row>
    <row r="493" spans="1:3" x14ac:dyDescent="0.25">
      <c r="A493">
        <v>2121061522</v>
      </c>
      <c r="B493" t="s">
        <v>25067</v>
      </c>
      <c r="C493" t="s">
        <v>25068</v>
      </c>
    </row>
    <row r="494" spans="1:3" x14ac:dyDescent="0.25">
      <c r="A494">
        <v>2121061523</v>
      </c>
      <c r="B494" t="s">
        <v>25069</v>
      </c>
      <c r="C494" t="s">
        <v>25070</v>
      </c>
    </row>
    <row r="495" spans="1:3" x14ac:dyDescent="0.25">
      <c r="A495">
        <v>2122048702</v>
      </c>
      <c r="B495" t="s">
        <v>23567</v>
      </c>
      <c r="C495" t="s">
        <v>23568</v>
      </c>
    </row>
    <row r="496" spans="1:3" x14ac:dyDescent="0.25">
      <c r="A496">
        <v>2122101438</v>
      </c>
      <c r="B496" t="s">
        <v>25071</v>
      </c>
      <c r="C496" t="s">
        <v>25072</v>
      </c>
    </row>
    <row r="497" spans="1:3" x14ac:dyDescent="0.25">
      <c r="A497">
        <v>2122101440</v>
      </c>
      <c r="B497" t="s">
        <v>25073</v>
      </c>
      <c r="C497" t="s">
        <v>25074</v>
      </c>
    </row>
    <row r="498" spans="1:3" x14ac:dyDescent="0.25">
      <c r="A498">
        <v>2161221352</v>
      </c>
      <c r="B498" t="s">
        <v>24520</v>
      </c>
      <c r="C498" t="s">
        <v>24078</v>
      </c>
    </row>
    <row r="499" spans="1:3" x14ac:dyDescent="0.25">
      <c r="A499">
        <v>2161221453</v>
      </c>
      <c r="B499" t="s">
        <v>24518</v>
      </c>
      <c r="C499" t="s">
        <v>25075</v>
      </c>
    </row>
    <row r="500" spans="1:3" x14ac:dyDescent="0.25">
      <c r="A500">
        <v>2161221456</v>
      </c>
      <c r="B500" t="s">
        <v>25076</v>
      </c>
      <c r="C500" t="s">
        <v>25077</v>
      </c>
    </row>
    <row r="501" spans="1:3" x14ac:dyDescent="0.25">
      <c r="A501">
        <v>2161221457</v>
      </c>
      <c r="B501" t="s">
        <v>25078</v>
      </c>
      <c r="C501" t="s">
        <v>25079</v>
      </c>
    </row>
    <row r="502" spans="1:3" x14ac:dyDescent="0.25">
      <c r="A502">
        <v>2161221506</v>
      </c>
      <c r="B502" t="s">
        <v>24518</v>
      </c>
      <c r="C502" t="s">
        <v>25080</v>
      </c>
    </row>
    <row r="503" spans="1:3" x14ac:dyDescent="0.25">
      <c r="A503">
        <v>2161221507</v>
      </c>
      <c r="B503" t="s">
        <v>24527</v>
      </c>
      <c r="C503" t="s">
        <v>25081</v>
      </c>
    </row>
    <row r="504" spans="1:3" x14ac:dyDescent="0.25">
      <c r="A504">
        <v>2161225327</v>
      </c>
      <c r="B504" t="s">
        <v>23825</v>
      </c>
      <c r="C504" t="s">
        <v>20566</v>
      </c>
    </row>
    <row r="505" spans="1:3" x14ac:dyDescent="0.25">
      <c r="A505">
        <v>2161225328</v>
      </c>
      <c r="B505" t="s">
        <v>20565</v>
      </c>
      <c r="C505" t="s">
        <v>20564</v>
      </c>
    </row>
    <row r="506" spans="1:3" x14ac:dyDescent="0.25">
      <c r="A506">
        <v>2161225329</v>
      </c>
      <c r="B506" t="s">
        <v>23825</v>
      </c>
      <c r="C506" t="s">
        <v>20563</v>
      </c>
    </row>
    <row r="507" spans="1:3" x14ac:dyDescent="0.25">
      <c r="A507">
        <v>2161225897</v>
      </c>
      <c r="B507" t="s">
        <v>20562</v>
      </c>
      <c r="C507" t="s">
        <v>20561</v>
      </c>
    </row>
    <row r="508" spans="1:3" x14ac:dyDescent="0.25">
      <c r="A508">
        <v>2161225898</v>
      </c>
      <c r="B508" t="s">
        <v>20560</v>
      </c>
      <c r="C508" t="s">
        <v>20559</v>
      </c>
    </row>
    <row r="509" spans="1:3" x14ac:dyDescent="0.25">
      <c r="A509">
        <v>2161225899</v>
      </c>
      <c r="B509" t="s">
        <v>20558</v>
      </c>
      <c r="C509" t="s">
        <v>20557</v>
      </c>
    </row>
    <row r="510" spans="1:3" x14ac:dyDescent="0.25">
      <c r="A510">
        <v>2161225900</v>
      </c>
      <c r="B510" t="s">
        <v>23826</v>
      </c>
      <c r="C510" t="s">
        <v>20556</v>
      </c>
    </row>
    <row r="511" spans="1:3" x14ac:dyDescent="0.25">
      <c r="A511">
        <v>2161225901</v>
      </c>
      <c r="B511" t="s">
        <v>23826</v>
      </c>
      <c r="C511" t="s">
        <v>20555</v>
      </c>
    </row>
    <row r="512" spans="1:3" x14ac:dyDescent="0.25">
      <c r="A512">
        <v>2161225902</v>
      </c>
      <c r="B512" t="s">
        <v>20554</v>
      </c>
      <c r="C512" t="s">
        <v>20553</v>
      </c>
    </row>
    <row r="513" spans="1:3" x14ac:dyDescent="0.25">
      <c r="A513">
        <v>2161229639</v>
      </c>
      <c r="B513" t="s">
        <v>21750</v>
      </c>
      <c r="C513" t="s">
        <v>21751</v>
      </c>
    </row>
    <row r="514" spans="1:3" x14ac:dyDescent="0.25">
      <c r="A514">
        <v>2201021020</v>
      </c>
      <c r="B514" t="s">
        <v>22956</v>
      </c>
      <c r="C514" t="s">
        <v>22957</v>
      </c>
    </row>
    <row r="515" spans="1:3" x14ac:dyDescent="0.25">
      <c r="A515">
        <v>2201021164</v>
      </c>
      <c r="B515" t="s">
        <v>23388</v>
      </c>
      <c r="C515" t="s">
        <v>23389</v>
      </c>
    </row>
    <row r="516" spans="1:3" x14ac:dyDescent="0.25">
      <c r="A516">
        <v>2201021216</v>
      </c>
      <c r="B516" t="s">
        <v>23827</v>
      </c>
      <c r="C516" t="s">
        <v>23828</v>
      </c>
    </row>
    <row r="517" spans="1:3" x14ac:dyDescent="0.25">
      <c r="A517">
        <v>2201021221</v>
      </c>
      <c r="B517" t="s">
        <v>23829</v>
      </c>
      <c r="C517" t="s">
        <v>23830</v>
      </c>
    </row>
    <row r="518" spans="1:3" x14ac:dyDescent="0.25">
      <c r="A518">
        <v>2201021364</v>
      </c>
      <c r="B518" t="s">
        <v>24503</v>
      </c>
      <c r="C518" t="s">
        <v>25082</v>
      </c>
    </row>
    <row r="519" spans="1:3" x14ac:dyDescent="0.25">
      <c r="A519">
        <v>2201021365</v>
      </c>
      <c r="B519" t="s">
        <v>24504</v>
      </c>
      <c r="C519" t="s">
        <v>25083</v>
      </c>
    </row>
    <row r="520" spans="1:3" x14ac:dyDescent="0.25">
      <c r="A520">
        <v>2201021366</v>
      </c>
      <c r="B520" t="s">
        <v>24505</v>
      </c>
      <c r="C520" t="s">
        <v>24378</v>
      </c>
    </row>
    <row r="521" spans="1:3" x14ac:dyDescent="0.25">
      <c r="A521">
        <v>2201021367</v>
      </c>
      <c r="B521" t="s">
        <v>24506</v>
      </c>
      <c r="C521" t="s">
        <v>24379</v>
      </c>
    </row>
    <row r="522" spans="1:3" x14ac:dyDescent="0.25">
      <c r="A522">
        <v>2201021368</v>
      </c>
      <c r="B522" t="s">
        <v>24380</v>
      </c>
      <c r="C522" t="s">
        <v>24381</v>
      </c>
    </row>
    <row r="523" spans="1:3" x14ac:dyDescent="0.25">
      <c r="A523">
        <v>2201021432</v>
      </c>
      <c r="B523" t="s">
        <v>25084</v>
      </c>
      <c r="C523" t="s">
        <v>25085</v>
      </c>
    </row>
    <row r="524" spans="1:3" x14ac:dyDescent="0.25">
      <c r="A524">
        <v>2201021433</v>
      </c>
      <c r="B524" t="s">
        <v>25086</v>
      </c>
      <c r="C524" t="s">
        <v>25087</v>
      </c>
    </row>
    <row r="525" spans="1:3" x14ac:dyDescent="0.25">
      <c r="A525">
        <v>2201021434</v>
      </c>
      <c r="B525" t="s">
        <v>25088</v>
      </c>
      <c r="C525" t="s">
        <v>25089</v>
      </c>
    </row>
    <row r="526" spans="1:3" x14ac:dyDescent="0.25">
      <c r="A526">
        <v>2201021570</v>
      </c>
      <c r="B526" t="s">
        <v>25090</v>
      </c>
      <c r="C526" t="s">
        <v>25091</v>
      </c>
    </row>
    <row r="527" spans="1:3" x14ac:dyDescent="0.25">
      <c r="A527">
        <v>2201028503</v>
      </c>
      <c r="B527" t="s">
        <v>20935</v>
      </c>
      <c r="C527" t="s">
        <v>20934</v>
      </c>
    </row>
    <row r="528" spans="1:3" x14ac:dyDescent="0.25">
      <c r="A528">
        <v>2201028599</v>
      </c>
      <c r="B528" t="s">
        <v>21159</v>
      </c>
      <c r="C528" t="s">
        <v>21158</v>
      </c>
    </row>
    <row r="529" spans="1:3" x14ac:dyDescent="0.25">
      <c r="A529">
        <v>2201028649</v>
      </c>
      <c r="B529" t="s">
        <v>23569</v>
      </c>
      <c r="C529" t="s">
        <v>21041</v>
      </c>
    </row>
    <row r="530" spans="1:3" x14ac:dyDescent="0.25">
      <c r="A530">
        <v>2201029037</v>
      </c>
      <c r="B530" t="s">
        <v>21752</v>
      </c>
      <c r="C530" t="s">
        <v>21490</v>
      </c>
    </row>
    <row r="531" spans="1:3" x14ac:dyDescent="0.25">
      <c r="A531">
        <v>2201029038</v>
      </c>
      <c r="B531" t="s">
        <v>21491</v>
      </c>
      <c r="C531" t="s">
        <v>21492</v>
      </c>
    </row>
    <row r="532" spans="1:3" x14ac:dyDescent="0.25">
      <c r="A532">
        <v>2201029560</v>
      </c>
      <c r="B532" t="s">
        <v>21411</v>
      </c>
      <c r="C532" t="s">
        <v>21412</v>
      </c>
    </row>
    <row r="533" spans="1:3" x14ac:dyDescent="0.25">
      <c r="A533">
        <v>2201029561</v>
      </c>
      <c r="B533" t="s">
        <v>21753</v>
      </c>
      <c r="C533" t="s">
        <v>21413</v>
      </c>
    </row>
    <row r="534" spans="1:3" x14ac:dyDescent="0.25">
      <c r="A534">
        <v>2202011165</v>
      </c>
      <c r="B534" t="s">
        <v>23390</v>
      </c>
      <c r="C534" t="s">
        <v>23391</v>
      </c>
    </row>
    <row r="535" spans="1:3" x14ac:dyDescent="0.25">
      <c r="A535">
        <v>2202011579</v>
      </c>
      <c r="B535" t="s">
        <v>25092</v>
      </c>
      <c r="C535" t="s">
        <v>25093</v>
      </c>
    </row>
    <row r="536" spans="1:3" x14ac:dyDescent="0.25">
      <c r="A536">
        <v>2202011580</v>
      </c>
      <c r="B536" t="s">
        <v>25094</v>
      </c>
      <c r="C536" t="s">
        <v>25095</v>
      </c>
    </row>
    <row r="537" spans="1:3" x14ac:dyDescent="0.25">
      <c r="A537">
        <v>2202017958</v>
      </c>
      <c r="B537" t="s">
        <v>20766</v>
      </c>
      <c r="C537" t="s">
        <v>20765</v>
      </c>
    </row>
    <row r="538" spans="1:3" x14ac:dyDescent="0.25">
      <c r="A538">
        <v>2202017959</v>
      </c>
      <c r="B538" t="s">
        <v>20768</v>
      </c>
      <c r="C538" t="s">
        <v>20767</v>
      </c>
    </row>
    <row r="539" spans="1:3" x14ac:dyDescent="0.25">
      <c r="A539">
        <v>2202018309</v>
      </c>
      <c r="B539" t="s">
        <v>20760</v>
      </c>
      <c r="C539" t="s">
        <v>20759</v>
      </c>
    </row>
    <row r="540" spans="1:3" x14ac:dyDescent="0.25">
      <c r="A540">
        <v>2202018310</v>
      </c>
      <c r="B540" t="s">
        <v>20762</v>
      </c>
      <c r="C540" t="s">
        <v>20761</v>
      </c>
    </row>
    <row r="541" spans="1:3" x14ac:dyDescent="0.25">
      <c r="A541">
        <v>2202018311</v>
      </c>
      <c r="B541" t="s">
        <v>20764</v>
      </c>
      <c r="C541" t="s">
        <v>20763</v>
      </c>
    </row>
    <row r="542" spans="1:3" x14ac:dyDescent="0.25">
      <c r="A542">
        <v>2202021521</v>
      </c>
      <c r="B542" t="s">
        <v>25096</v>
      </c>
      <c r="C542" t="s">
        <v>25097</v>
      </c>
    </row>
    <row r="543" spans="1:3" x14ac:dyDescent="0.25">
      <c r="A543">
        <v>2202029519</v>
      </c>
      <c r="B543" t="s">
        <v>23570</v>
      </c>
      <c r="C543" t="s">
        <v>23571</v>
      </c>
    </row>
    <row r="544" spans="1:3" x14ac:dyDescent="0.25">
      <c r="A544">
        <v>2202029651</v>
      </c>
      <c r="B544" t="s">
        <v>23572</v>
      </c>
      <c r="C544" t="s">
        <v>23573</v>
      </c>
    </row>
    <row r="545" spans="1:3" x14ac:dyDescent="0.25">
      <c r="A545">
        <v>2202029680</v>
      </c>
      <c r="B545" t="s">
        <v>23574</v>
      </c>
      <c r="C545" t="s">
        <v>23575</v>
      </c>
    </row>
    <row r="546" spans="1:3" x14ac:dyDescent="0.25">
      <c r="A546">
        <v>2203015182</v>
      </c>
      <c r="B546" t="s">
        <v>23576</v>
      </c>
      <c r="C546" t="s">
        <v>21042</v>
      </c>
    </row>
    <row r="547" spans="1:3" x14ac:dyDescent="0.25">
      <c r="A547">
        <v>2203015183</v>
      </c>
      <c r="B547" t="s">
        <v>23577</v>
      </c>
      <c r="C547" t="s">
        <v>23578</v>
      </c>
    </row>
    <row r="548" spans="1:3" x14ac:dyDescent="0.25">
      <c r="A548">
        <v>2203028919</v>
      </c>
      <c r="B548" t="s">
        <v>20743</v>
      </c>
      <c r="C548" t="s">
        <v>20742</v>
      </c>
    </row>
    <row r="549" spans="1:3" x14ac:dyDescent="0.25">
      <c r="A549">
        <v>2302522574</v>
      </c>
      <c r="B549" t="s">
        <v>23831</v>
      </c>
      <c r="C549" t="s">
        <v>21754</v>
      </c>
    </row>
    <row r="550" spans="1:3" x14ac:dyDescent="0.25">
      <c r="A550">
        <v>2302529866</v>
      </c>
      <c r="B550" t="s">
        <v>22656</v>
      </c>
      <c r="C550" t="s">
        <v>22657</v>
      </c>
    </row>
    <row r="551" spans="1:3" x14ac:dyDescent="0.25">
      <c r="A551">
        <v>2302529867</v>
      </c>
      <c r="B551" t="s">
        <v>22658</v>
      </c>
      <c r="C551" t="s">
        <v>22659</v>
      </c>
    </row>
    <row r="552" spans="1:3" x14ac:dyDescent="0.25">
      <c r="A552">
        <v>2401017254</v>
      </c>
      <c r="B552" t="s">
        <v>23832</v>
      </c>
      <c r="C552" t="s">
        <v>23833</v>
      </c>
    </row>
    <row r="553" spans="1:3" x14ac:dyDescent="0.25">
      <c r="A553">
        <v>2630011489</v>
      </c>
      <c r="B553" t="s">
        <v>25098</v>
      </c>
      <c r="C553" t="s">
        <v>25099</v>
      </c>
    </row>
    <row r="554" spans="1:3" x14ac:dyDescent="0.25">
      <c r="A554">
        <v>3101011203</v>
      </c>
      <c r="B554" t="s">
        <v>23834</v>
      </c>
      <c r="C554" t="s">
        <v>23835</v>
      </c>
    </row>
    <row r="555" spans="1:3" x14ac:dyDescent="0.25">
      <c r="A555">
        <v>3101011204</v>
      </c>
      <c r="B555" t="s">
        <v>23836</v>
      </c>
      <c r="C555" t="s">
        <v>23837</v>
      </c>
    </row>
    <row r="556" spans="1:3" x14ac:dyDescent="0.25">
      <c r="A556">
        <v>3101018694</v>
      </c>
      <c r="B556" t="s">
        <v>20817</v>
      </c>
      <c r="C556" t="s">
        <v>20816</v>
      </c>
    </row>
    <row r="557" spans="1:3" x14ac:dyDescent="0.25">
      <c r="A557">
        <v>3101019302</v>
      </c>
      <c r="B557" t="s">
        <v>20819</v>
      </c>
      <c r="C557" t="s">
        <v>20818</v>
      </c>
    </row>
    <row r="558" spans="1:3" x14ac:dyDescent="0.25">
      <c r="A558">
        <v>3101019828</v>
      </c>
      <c r="B558" t="s">
        <v>22366</v>
      </c>
      <c r="C558" t="s">
        <v>22367</v>
      </c>
    </row>
    <row r="559" spans="1:3" x14ac:dyDescent="0.25">
      <c r="A559">
        <v>3101052439</v>
      </c>
      <c r="B559" t="s">
        <v>21755</v>
      </c>
      <c r="C559" t="s">
        <v>21756</v>
      </c>
    </row>
    <row r="560" spans="1:3" x14ac:dyDescent="0.25">
      <c r="A560">
        <v>3101052440</v>
      </c>
      <c r="B560" t="s">
        <v>21757</v>
      </c>
      <c r="C560" t="s">
        <v>21758</v>
      </c>
    </row>
    <row r="561" spans="1:3" x14ac:dyDescent="0.25">
      <c r="A561">
        <v>3101052441</v>
      </c>
      <c r="B561" t="s">
        <v>21759</v>
      </c>
      <c r="C561" t="s">
        <v>21760</v>
      </c>
    </row>
    <row r="562" spans="1:3" x14ac:dyDescent="0.25">
      <c r="A562">
        <v>3101052442</v>
      </c>
      <c r="B562" t="s">
        <v>21761</v>
      </c>
      <c r="C562" t="s">
        <v>21762</v>
      </c>
    </row>
    <row r="563" spans="1:3" x14ac:dyDescent="0.25">
      <c r="A563">
        <v>3101052449</v>
      </c>
      <c r="B563" t="s">
        <v>21763</v>
      </c>
      <c r="C563" t="s">
        <v>21764</v>
      </c>
    </row>
    <row r="564" spans="1:3" x14ac:dyDescent="0.25">
      <c r="A564">
        <v>3101052983</v>
      </c>
      <c r="B564" t="s">
        <v>21765</v>
      </c>
      <c r="C564" t="s">
        <v>21766</v>
      </c>
    </row>
    <row r="565" spans="1:3" x14ac:dyDescent="0.25">
      <c r="A565">
        <v>3101090120</v>
      </c>
      <c r="B565" t="s">
        <v>22958</v>
      </c>
      <c r="C565" t="s">
        <v>22959</v>
      </c>
    </row>
    <row r="566" spans="1:3" x14ac:dyDescent="0.25">
      <c r="A566">
        <v>3101090121</v>
      </c>
      <c r="B566" t="s">
        <v>22958</v>
      </c>
      <c r="C566" t="s">
        <v>22960</v>
      </c>
    </row>
    <row r="567" spans="1:3" x14ac:dyDescent="0.25">
      <c r="A567">
        <v>3101090122</v>
      </c>
      <c r="B567" t="s">
        <v>22958</v>
      </c>
      <c r="C567" t="s">
        <v>22961</v>
      </c>
    </row>
    <row r="568" spans="1:3" x14ac:dyDescent="0.25">
      <c r="A568">
        <v>3101090123</v>
      </c>
      <c r="B568" t="s">
        <v>22958</v>
      </c>
      <c r="C568" t="s">
        <v>22962</v>
      </c>
    </row>
    <row r="569" spans="1:3" x14ac:dyDescent="0.25">
      <c r="A569">
        <v>3103071080</v>
      </c>
      <c r="B569" t="s">
        <v>23221</v>
      </c>
      <c r="C569" t="s">
        <v>23222</v>
      </c>
    </row>
    <row r="570" spans="1:3" x14ac:dyDescent="0.25">
      <c r="A570">
        <v>3103071081</v>
      </c>
      <c r="B570" t="s">
        <v>23223</v>
      </c>
      <c r="C570" t="s">
        <v>23224</v>
      </c>
    </row>
    <row r="571" spans="1:3" x14ac:dyDescent="0.25">
      <c r="A571">
        <v>3103071215</v>
      </c>
      <c r="B571" t="s">
        <v>23838</v>
      </c>
      <c r="C571" t="s">
        <v>23839</v>
      </c>
    </row>
    <row r="572" spans="1:3" x14ac:dyDescent="0.25">
      <c r="A572">
        <v>3103071629</v>
      </c>
      <c r="B572" t="s">
        <v>22660</v>
      </c>
      <c r="C572" t="s">
        <v>22661</v>
      </c>
    </row>
    <row r="573" spans="1:3" x14ac:dyDescent="0.25">
      <c r="A573">
        <v>3105011581</v>
      </c>
      <c r="B573" t="s">
        <v>25100</v>
      </c>
      <c r="C573" t="s">
        <v>25101</v>
      </c>
    </row>
    <row r="574" spans="1:3" x14ac:dyDescent="0.25">
      <c r="A574">
        <v>3105011992</v>
      </c>
      <c r="B574" t="s">
        <v>23840</v>
      </c>
      <c r="C574" t="s">
        <v>23841</v>
      </c>
    </row>
    <row r="575" spans="1:3" x14ac:dyDescent="0.25">
      <c r="A575">
        <v>3105012362</v>
      </c>
      <c r="B575" t="s">
        <v>23842</v>
      </c>
      <c r="C575" t="s">
        <v>21768</v>
      </c>
    </row>
    <row r="576" spans="1:3" x14ac:dyDescent="0.25">
      <c r="A576">
        <v>3105012363</v>
      </c>
      <c r="B576" t="s">
        <v>21767</v>
      </c>
      <c r="C576" t="s">
        <v>21769</v>
      </c>
    </row>
    <row r="577" spans="1:3" x14ac:dyDescent="0.25">
      <c r="A577">
        <v>3105012364</v>
      </c>
      <c r="B577" t="s">
        <v>23225</v>
      </c>
      <c r="C577" t="s">
        <v>21770</v>
      </c>
    </row>
    <row r="578" spans="1:3" x14ac:dyDescent="0.25">
      <c r="A578">
        <v>3105012366</v>
      </c>
      <c r="B578" t="s">
        <v>20604</v>
      </c>
      <c r="C578" t="s">
        <v>20603</v>
      </c>
    </row>
    <row r="579" spans="1:3" x14ac:dyDescent="0.25">
      <c r="A579">
        <v>3105012380</v>
      </c>
      <c r="B579" t="s">
        <v>21771</v>
      </c>
      <c r="C579" t="s">
        <v>20640</v>
      </c>
    </row>
    <row r="580" spans="1:3" x14ac:dyDescent="0.25">
      <c r="A580">
        <v>3105012381</v>
      </c>
      <c r="B580" t="s">
        <v>21772</v>
      </c>
      <c r="C580" t="s">
        <v>21773</v>
      </c>
    </row>
    <row r="581" spans="1:3" x14ac:dyDescent="0.25">
      <c r="A581">
        <v>3105012385</v>
      </c>
      <c r="B581" t="s">
        <v>21774</v>
      </c>
      <c r="C581" t="s">
        <v>21775</v>
      </c>
    </row>
    <row r="582" spans="1:3" x14ac:dyDescent="0.25">
      <c r="A582">
        <v>3105012391</v>
      </c>
      <c r="B582" t="s">
        <v>23226</v>
      </c>
      <c r="C582" t="s">
        <v>23227</v>
      </c>
    </row>
    <row r="583" spans="1:3" x14ac:dyDescent="0.25">
      <c r="A583">
        <v>3105012392</v>
      </c>
      <c r="B583" t="s">
        <v>23228</v>
      </c>
      <c r="C583" t="s">
        <v>23229</v>
      </c>
    </row>
    <row r="584" spans="1:3" x14ac:dyDescent="0.25">
      <c r="A584">
        <v>3105012393</v>
      </c>
      <c r="B584" t="s">
        <v>23230</v>
      </c>
      <c r="C584" t="s">
        <v>23231</v>
      </c>
    </row>
    <row r="585" spans="1:3" x14ac:dyDescent="0.25">
      <c r="A585">
        <v>3105012394</v>
      </c>
      <c r="B585" t="s">
        <v>23232</v>
      </c>
      <c r="C585" t="s">
        <v>23233</v>
      </c>
    </row>
    <row r="586" spans="1:3" x14ac:dyDescent="0.25">
      <c r="A586">
        <v>3105012408</v>
      </c>
      <c r="B586" t="s">
        <v>21776</v>
      </c>
      <c r="C586" t="s">
        <v>21777</v>
      </c>
    </row>
    <row r="587" spans="1:3" x14ac:dyDescent="0.25">
      <c r="A587">
        <v>3105012423</v>
      </c>
      <c r="B587" t="s">
        <v>21778</v>
      </c>
      <c r="C587" t="s">
        <v>21779</v>
      </c>
    </row>
    <row r="588" spans="1:3" x14ac:dyDescent="0.25">
      <c r="A588">
        <v>3105012478</v>
      </c>
      <c r="B588" t="s">
        <v>20987</v>
      </c>
      <c r="C588" t="s">
        <v>20986</v>
      </c>
    </row>
    <row r="589" spans="1:3" x14ac:dyDescent="0.25">
      <c r="A589">
        <v>3105012862</v>
      </c>
      <c r="B589" t="s">
        <v>21780</v>
      </c>
      <c r="C589" t="s">
        <v>21781</v>
      </c>
    </row>
    <row r="590" spans="1:3" x14ac:dyDescent="0.25">
      <c r="A590">
        <v>3105012978</v>
      </c>
      <c r="B590" t="s">
        <v>21782</v>
      </c>
      <c r="C590" t="s">
        <v>21783</v>
      </c>
    </row>
    <row r="591" spans="1:3" x14ac:dyDescent="0.25">
      <c r="A591">
        <v>3105015106</v>
      </c>
      <c r="B591" t="s">
        <v>23099</v>
      </c>
      <c r="C591" t="s">
        <v>21784</v>
      </c>
    </row>
    <row r="592" spans="1:3" x14ac:dyDescent="0.25">
      <c r="A592">
        <v>3105015108</v>
      </c>
      <c r="B592" t="s">
        <v>21785</v>
      </c>
      <c r="C592" t="s">
        <v>21786</v>
      </c>
    </row>
    <row r="593" spans="1:3" x14ac:dyDescent="0.25">
      <c r="A593">
        <v>3105015113</v>
      </c>
      <c r="B593" t="s">
        <v>21787</v>
      </c>
      <c r="C593" t="s">
        <v>21788</v>
      </c>
    </row>
    <row r="594" spans="1:3" x14ac:dyDescent="0.25">
      <c r="A594">
        <v>3105015220</v>
      </c>
      <c r="B594" t="s">
        <v>21720</v>
      </c>
      <c r="C594" t="s">
        <v>21789</v>
      </c>
    </row>
    <row r="595" spans="1:3" x14ac:dyDescent="0.25">
      <c r="A595">
        <v>3105015250</v>
      </c>
      <c r="B595" t="s">
        <v>21790</v>
      </c>
      <c r="C595" t="s">
        <v>21791</v>
      </c>
    </row>
    <row r="596" spans="1:3" x14ac:dyDescent="0.25">
      <c r="A596">
        <v>3105015251</v>
      </c>
      <c r="B596" t="s">
        <v>21792</v>
      </c>
      <c r="C596" t="s">
        <v>21793</v>
      </c>
    </row>
    <row r="597" spans="1:3" x14ac:dyDescent="0.25">
      <c r="A597">
        <v>3105015252</v>
      </c>
      <c r="B597" t="s">
        <v>21794</v>
      </c>
      <c r="C597" t="s">
        <v>21795</v>
      </c>
    </row>
    <row r="598" spans="1:3" x14ac:dyDescent="0.25">
      <c r="A598">
        <v>3105015332</v>
      </c>
      <c r="B598" t="s">
        <v>21796</v>
      </c>
      <c r="C598" t="s">
        <v>20651</v>
      </c>
    </row>
    <row r="599" spans="1:3" x14ac:dyDescent="0.25">
      <c r="A599">
        <v>3105015333</v>
      </c>
      <c r="B599" t="s">
        <v>20650</v>
      </c>
      <c r="C599" t="s">
        <v>20649</v>
      </c>
    </row>
    <row r="600" spans="1:3" x14ac:dyDescent="0.25">
      <c r="A600">
        <v>3105015829</v>
      </c>
      <c r="B600" t="s">
        <v>23843</v>
      </c>
      <c r="C600" t="s">
        <v>21797</v>
      </c>
    </row>
    <row r="601" spans="1:3" x14ac:dyDescent="0.25">
      <c r="A601">
        <v>3105015962</v>
      </c>
      <c r="B601" t="s">
        <v>21798</v>
      </c>
      <c r="C601" t="s">
        <v>21799</v>
      </c>
    </row>
    <row r="602" spans="1:3" x14ac:dyDescent="0.25">
      <c r="A602">
        <v>3105018388</v>
      </c>
      <c r="B602" t="s">
        <v>22963</v>
      </c>
      <c r="C602" t="s">
        <v>22964</v>
      </c>
    </row>
    <row r="603" spans="1:3" x14ac:dyDescent="0.25">
      <c r="A603">
        <v>3105019629</v>
      </c>
      <c r="B603" t="s">
        <v>21800</v>
      </c>
      <c r="C603" t="s">
        <v>21801</v>
      </c>
    </row>
    <row r="604" spans="1:3" x14ac:dyDescent="0.25">
      <c r="A604">
        <v>3105019641</v>
      </c>
      <c r="B604" t="s">
        <v>21802</v>
      </c>
      <c r="C604" t="s">
        <v>21803</v>
      </c>
    </row>
    <row r="605" spans="1:3" x14ac:dyDescent="0.25">
      <c r="A605">
        <v>3105019642</v>
      </c>
      <c r="B605" t="s">
        <v>21804</v>
      </c>
      <c r="C605" t="s">
        <v>21805</v>
      </c>
    </row>
    <row r="606" spans="1:3" x14ac:dyDescent="0.25">
      <c r="A606">
        <v>3105019764</v>
      </c>
      <c r="B606" t="s">
        <v>22368</v>
      </c>
      <c r="C606" t="s">
        <v>22369</v>
      </c>
    </row>
    <row r="607" spans="1:3" x14ac:dyDescent="0.25">
      <c r="A607">
        <v>3105019931</v>
      </c>
      <c r="B607" t="s">
        <v>22965</v>
      </c>
      <c r="C607" t="s">
        <v>22966</v>
      </c>
    </row>
    <row r="608" spans="1:3" x14ac:dyDescent="0.25">
      <c r="A608">
        <v>3105024243</v>
      </c>
      <c r="B608" t="s">
        <v>23100</v>
      </c>
      <c r="C608" t="s">
        <v>21807</v>
      </c>
    </row>
    <row r="609" spans="1:3" x14ac:dyDescent="0.25">
      <c r="A609">
        <v>3105025162</v>
      </c>
      <c r="B609" t="s">
        <v>23101</v>
      </c>
      <c r="C609" t="s">
        <v>21808</v>
      </c>
    </row>
    <row r="610" spans="1:3" x14ac:dyDescent="0.25">
      <c r="A610">
        <v>3105025187</v>
      </c>
      <c r="B610" t="s">
        <v>21806</v>
      </c>
      <c r="C610" t="s">
        <v>20648</v>
      </c>
    </row>
    <row r="611" spans="1:3" x14ac:dyDescent="0.25">
      <c r="A611">
        <v>3105029446</v>
      </c>
      <c r="B611" t="s">
        <v>20671</v>
      </c>
      <c r="C611" t="s">
        <v>20670</v>
      </c>
    </row>
    <row r="612" spans="1:3" x14ac:dyDescent="0.25">
      <c r="A612">
        <v>3105112411</v>
      </c>
      <c r="B612" t="s">
        <v>21809</v>
      </c>
      <c r="C612" t="s">
        <v>21810</v>
      </c>
    </row>
    <row r="613" spans="1:3" x14ac:dyDescent="0.25">
      <c r="A613">
        <v>3105112415</v>
      </c>
      <c r="B613" t="s">
        <v>21811</v>
      </c>
      <c r="C613" t="s">
        <v>21812</v>
      </c>
    </row>
    <row r="614" spans="1:3" x14ac:dyDescent="0.25">
      <c r="A614">
        <v>3105112416</v>
      </c>
      <c r="B614" t="s">
        <v>21813</v>
      </c>
      <c r="C614" t="s">
        <v>21814</v>
      </c>
    </row>
    <row r="615" spans="1:3" x14ac:dyDescent="0.25">
      <c r="A615">
        <v>3105112434</v>
      </c>
      <c r="B615" t="s">
        <v>21787</v>
      </c>
      <c r="C615" t="s">
        <v>21815</v>
      </c>
    </row>
    <row r="616" spans="1:3" x14ac:dyDescent="0.25">
      <c r="A616">
        <v>3105112435</v>
      </c>
      <c r="B616" t="s">
        <v>23844</v>
      </c>
      <c r="C616" t="s">
        <v>21817</v>
      </c>
    </row>
    <row r="617" spans="1:3" x14ac:dyDescent="0.25">
      <c r="A617">
        <v>3105112437</v>
      </c>
      <c r="B617" t="s">
        <v>21818</v>
      </c>
      <c r="C617" t="s">
        <v>21819</v>
      </c>
    </row>
    <row r="618" spans="1:3" x14ac:dyDescent="0.25">
      <c r="A618">
        <v>3105112438</v>
      </c>
      <c r="B618" t="s">
        <v>21820</v>
      </c>
      <c r="C618" t="s">
        <v>21821</v>
      </c>
    </row>
    <row r="619" spans="1:3" x14ac:dyDescent="0.25">
      <c r="A619">
        <v>3105112441</v>
      </c>
      <c r="B619" t="s">
        <v>20606</v>
      </c>
      <c r="C619" t="s">
        <v>20605</v>
      </c>
    </row>
    <row r="620" spans="1:3" x14ac:dyDescent="0.25">
      <c r="A620">
        <v>3105112442</v>
      </c>
      <c r="B620" t="s">
        <v>23234</v>
      </c>
      <c r="C620" t="s">
        <v>20567</v>
      </c>
    </row>
    <row r="621" spans="1:3" x14ac:dyDescent="0.25">
      <c r="A621">
        <v>3105112801</v>
      </c>
      <c r="B621" t="s">
        <v>20608</v>
      </c>
      <c r="C621" t="s">
        <v>20607</v>
      </c>
    </row>
    <row r="622" spans="1:3" x14ac:dyDescent="0.25">
      <c r="A622">
        <v>3105112802</v>
      </c>
      <c r="B622" t="s">
        <v>23845</v>
      </c>
      <c r="C622" t="s">
        <v>21823</v>
      </c>
    </row>
    <row r="623" spans="1:3" x14ac:dyDescent="0.25">
      <c r="A623">
        <v>3105112835</v>
      </c>
      <c r="B623" t="s">
        <v>21824</v>
      </c>
      <c r="C623" t="s">
        <v>21825</v>
      </c>
    </row>
    <row r="624" spans="1:3" x14ac:dyDescent="0.25">
      <c r="A624">
        <v>3105112837</v>
      </c>
      <c r="B624" t="s">
        <v>21826</v>
      </c>
      <c r="C624" t="s">
        <v>21827</v>
      </c>
    </row>
    <row r="625" spans="1:3" x14ac:dyDescent="0.25">
      <c r="A625">
        <v>3105112839</v>
      </c>
      <c r="B625" t="s">
        <v>21828</v>
      </c>
      <c r="C625" t="s">
        <v>21829</v>
      </c>
    </row>
    <row r="626" spans="1:3" x14ac:dyDescent="0.25">
      <c r="A626">
        <v>3105112866</v>
      </c>
      <c r="B626" t="s">
        <v>21830</v>
      </c>
      <c r="C626" t="s">
        <v>21831</v>
      </c>
    </row>
    <row r="627" spans="1:3" x14ac:dyDescent="0.25">
      <c r="A627">
        <v>3105112868</v>
      </c>
      <c r="B627" t="s">
        <v>21832</v>
      </c>
      <c r="C627" t="s">
        <v>21833</v>
      </c>
    </row>
    <row r="628" spans="1:3" x14ac:dyDescent="0.25">
      <c r="A628">
        <v>3105112870</v>
      </c>
      <c r="B628" t="s">
        <v>21834</v>
      </c>
      <c r="C628" t="s">
        <v>21835</v>
      </c>
    </row>
    <row r="629" spans="1:3" x14ac:dyDescent="0.25">
      <c r="A629">
        <v>3105114351</v>
      </c>
      <c r="B629" t="s">
        <v>23846</v>
      </c>
      <c r="C629" t="s">
        <v>21836</v>
      </c>
    </row>
    <row r="630" spans="1:3" x14ac:dyDescent="0.25">
      <c r="A630">
        <v>3105115960</v>
      </c>
      <c r="B630" t="s">
        <v>23847</v>
      </c>
      <c r="C630" t="s">
        <v>21837</v>
      </c>
    </row>
    <row r="631" spans="1:3" x14ac:dyDescent="0.25">
      <c r="A631">
        <v>3105115961</v>
      </c>
      <c r="B631" t="s">
        <v>23848</v>
      </c>
      <c r="C631" t="s">
        <v>21838</v>
      </c>
    </row>
    <row r="632" spans="1:3" x14ac:dyDescent="0.25">
      <c r="A632">
        <v>3105118200</v>
      </c>
      <c r="B632" t="s">
        <v>23235</v>
      </c>
      <c r="C632" t="s">
        <v>20633</v>
      </c>
    </row>
    <row r="633" spans="1:3" x14ac:dyDescent="0.25">
      <c r="A633">
        <v>3105119852</v>
      </c>
      <c r="B633" t="s">
        <v>22662</v>
      </c>
      <c r="C633" t="s">
        <v>22663</v>
      </c>
    </row>
    <row r="634" spans="1:3" x14ac:dyDescent="0.25">
      <c r="A634">
        <v>3105119853</v>
      </c>
      <c r="B634" t="s">
        <v>22664</v>
      </c>
      <c r="C634" t="s">
        <v>22665</v>
      </c>
    </row>
    <row r="635" spans="1:3" x14ac:dyDescent="0.25">
      <c r="A635">
        <v>3106018000</v>
      </c>
      <c r="B635" t="s">
        <v>22666</v>
      </c>
      <c r="C635" t="s">
        <v>22667</v>
      </c>
    </row>
    <row r="636" spans="1:3" x14ac:dyDescent="0.25">
      <c r="A636">
        <v>3109062569</v>
      </c>
      <c r="B636" t="s">
        <v>22967</v>
      </c>
      <c r="C636" t="s">
        <v>22968</v>
      </c>
    </row>
    <row r="637" spans="1:3" x14ac:dyDescent="0.25">
      <c r="A637">
        <v>3109062776</v>
      </c>
      <c r="B637" t="s">
        <v>21414</v>
      </c>
      <c r="C637" t="s">
        <v>21415</v>
      </c>
    </row>
    <row r="638" spans="1:3" x14ac:dyDescent="0.25">
      <c r="A638">
        <v>3109075195</v>
      </c>
      <c r="B638" t="s">
        <v>22543</v>
      </c>
      <c r="C638" t="s">
        <v>22544</v>
      </c>
    </row>
    <row r="639" spans="1:3" x14ac:dyDescent="0.25">
      <c r="A639">
        <v>3161091095</v>
      </c>
      <c r="B639" t="s">
        <v>23236</v>
      </c>
      <c r="C639" t="s">
        <v>23237</v>
      </c>
    </row>
    <row r="640" spans="1:3" x14ac:dyDescent="0.25">
      <c r="A640">
        <v>3161091096</v>
      </c>
      <c r="B640" t="s">
        <v>23238</v>
      </c>
      <c r="C640" t="s">
        <v>23239</v>
      </c>
    </row>
    <row r="641" spans="1:3" x14ac:dyDescent="0.25">
      <c r="A641">
        <v>3161091314</v>
      </c>
      <c r="B641" t="s">
        <v>24382</v>
      </c>
      <c r="C641" t="s">
        <v>24383</v>
      </c>
    </row>
    <row r="642" spans="1:3" x14ac:dyDescent="0.25">
      <c r="A642">
        <v>3161091315</v>
      </c>
      <c r="B642" t="s">
        <v>24384</v>
      </c>
      <c r="C642" t="s">
        <v>24385</v>
      </c>
    </row>
    <row r="643" spans="1:3" x14ac:dyDescent="0.25">
      <c r="A643">
        <v>3161091320</v>
      </c>
      <c r="B643" t="s">
        <v>24386</v>
      </c>
      <c r="C643" t="s">
        <v>24387</v>
      </c>
    </row>
    <row r="644" spans="1:3" x14ac:dyDescent="0.25">
      <c r="A644">
        <v>3161091321</v>
      </c>
      <c r="B644" t="s">
        <v>24388</v>
      </c>
      <c r="C644" t="s">
        <v>24389</v>
      </c>
    </row>
    <row r="645" spans="1:3" x14ac:dyDescent="0.25">
      <c r="A645">
        <v>3161091333</v>
      </c>
      <c r="B645" t="s">
        <v>24079</v>
      </c>
      <c r="C645" t="s">
        <v>24080</v>
      </c>
    </row>
    <row r="646" spans="1:3" x14ac:dyDescent="0.25">
      <c r="A646">
        <v>3161091334</v>
      </c>
      <c r="B646" t="s">
        <v>24081</v>
      </c>
      <c r="C646" t="s">
        <v>24082</v>
      </c>
    </row>
    <row r="647" spans="1:3" x14ac:dyDescent="0.25">
      <c r="A647">
        <v>3161091335</v>
      </c>
      <c r="B647" t="s">
        <v>24083</v>
      </c>
      <c r="C647" t="s">
        <v>24084</v>
      </c>
    </row>
    <row r="648" spans="1:3" x14ac:dyDescent="0.25">
      <c r="A648">
        <v>3161091336</v>
      </c>
      <c r="B648" t="s">
        <v>24085</v>
      </c>
      <c r="C648" t="s">
        <v>24086</v>
      </c>
    </row>
    <row r="649" spans="1:3" x14ac:dyDescent="0.25">
      <c r="A649">
        <v>3161091337</v>
      </c>
      <c r="B649" t="s">
        <v>24087</v>
      </c>
      <c r="C649" t="s">
        <v>24088</v>
      </c>
    </row>
    <row r="650" spans="1:3" x14ac:dyDescent="0.25">
      <c r="A650">
        <v>3161091338</v>
      </c>
      <c r="B650" t="s">
        <v>24089</v>
      </c>
      <c r="C650" t="s">
        <v>24090</v>
      </c>
    </row>
    <row r="651" spans="1:3" x14ac:dyDescent="0.25">
      <c r="A651">
        <v>3161091423</v>
      </c>
      <c r="B651" t="s">
        <v>25102</v>
      </c>
      <c r="C651" t="s">
        <v>25103</v>
      </c>
    </row>
    <row r="652" spans="1:3" x14ac:dyDescent="0.25">
      <c r="A652">
        <v>3161091424</v>
      </c>
      <c r="B652" t="s">
        <v>25104</v>
      </c>
      <c r="C652" t="s">
        <v>25105</v>
      </c>
    </row>
    <row r="653" spans="1:3" x14ac:dyDescent="0.25">
      <c r="A653">
        <v>3161091425</v>
      </c>
      <c r="B653" t="s">
        <v>25106</v>
      </c>
      <c r="C653" t="s">
        <v>25107</v>
      </c>
    </row>
    <row r="654" spans="1:3" x14ac:dyDescent="0.25">
      <c r="A654">
        <v>3161091426</v>
      </c>
      <c r="B654" t="s">
        <v>25108</v>
      </c>
      <c r="C654" t="s">
        <v>25109</v>
      </c>
    </row>
    <row r="655" spans="1:3" x14ac:dyDescent="0.25">
      <c r="A655">
        <v>3161091427</v>
      </c>
      <c r="B655" t="s">
        <v>24509</v>
      </c>
      <c r="C655" t="s">
        <v>25110</v>
      </c>
    </row>
    <row r="656" spans="1:3" x14ac:dyDescent="0.25">
      <c r="A656">
        <v>3161091449</v>
      </c>
      <c r="B656" t="s">
        <v>25111</v>
      </c>
      <c r="C656" t="s">
        <v>25112</v>
      </c>
    </row>
    <row r="657" spans="1:3" x14ac:dyDescent="0.25">
      <c r="A657">
        <v>3161091450</v>
      </c>
      <c r="B657" t="s">
        <v>25113</v>
      </c>
      <c r="C657" t="s">
        <v>25114</v>
      </c>
    </row>
    <row r="658" spans="1:3" x14ac:dyDescent="0.25">
      <c r="A658">
        <v>3161091451</v>
      </c>
      <c r="B658" t="s">
        <v>25115</v>
      </c>
      <c r="C658" t="s">
        <v>25116</v>
      </c>
    </row>
    <row r="659" spans="1:3" x14ac:dyDescent="0.25">
      <c r="A659">
        <v>3161091452</v>
      </c>
      <c r="B659" t="s">
        <v>24521</v>
      </c>
      <c r="C659" t="s">
        <v>25117</v>
      </c>
    </row>
    <row r="660" spans="1:3" x14ac:dyDescent="0.25">
      <c r="A660">
        <v>3161091469</v>
      </c>
      <c r="B660" t="s">
        <v>25118</v>
      </c>
      <c r="C660" t="s">
        <v>25119</v>
      </c>
    </row>
    <row r="661" spans="1:3" x14ac:dyDescent="0.25">
      <c r="A661">
        <v>3161091484</v>
      </c>
      <c r="B661" t="s">
        <v>25120</v>
      </c>
      <c r="C661" t="s">
        <v>25121</v>
      </c>
    </row>
    <row r="662" spans="1:3" x14ac:dyDescent="0.25">
      <c r="A662">
        <v>3161091485</v>
      </c>
      <c r="B662" t="s">
        <v>24521</v>
      </c>
      <c r="C662" t="s">
        <v>25122</v>
      </c>
    </row>
    <row r="663" spans="1:3" x14ac:dyDescent="0.25">
      <c r="A663">
        <v>3161091519</v>
      </c>
      <c r="B663" t="s">
        <v>24529</v>
      </c>
      <c r="C663" t="s">
        <v>25123</v>
      </c>
    </row>
    <row r="664" spans="1:3" x14ac:dyDescent="0.25">
      <c r="A664">
        <v>3161091701</v>
      </c>
      <c r="B664" t="s">
        <v>23849</v>
      </c>
      <c r="C664" t="s">
        <v>20629</v>
      </c>
    </row>
    <row r="665" spans="1:3" x14ac:dyDescent="0.25">
      <c r="A665">
        <v>3161091702</v>
      </c>
      <c r="B665" t="s">
        <v>21840</v>
      </c>
      <c r="C665" t="s">
        <v>21841</v>
      </c>
    </row>
    <row r="666" spans="1:3" x14ac:dyDescent="0.25">
      <c r="A666">
        <v>3161091713</v>
      </c>
      <c r="B666" t="s">
        <v>21842</v>
      </c>
      <c r="C666" t="s">
        <v>21843</v>
      </c>
    </row>
    <row r="667" spans="1:3" x14ac:dyDescent="0.25">
      <c r="A667">
        <v>3161091714</v>
      </c>
      <c r="B667" t="s">
        <v>21842</v>
      </c>
      <c r="C667" t="s">
        <v>21844</v>
      </c>
    </row>
    <row r="668" spans="1:3" x14ac:dyDescent="0.25">
      <c r="A668">
        <v>3161091715</v>
      </c>
      <c r="B668" t="s">
        <v>21842</v>
      </c>
      <c r="C668" t="s">
        <v>21845</v>
      </c>
    </row>
    <row r="669" spans="1:3" x14ac:dyDescent="0.25">
      <c r="A669">
        <v>3161091716</v>
      </c>
      <c r="B669" t="s">
        <v>21839</v>
      </c>
      <c r="C669" t="s">
        <v>21846</v>
      </c>
    </row>
    <row r="670" spans="1:3" x14ac:dyDescent="0.25">
      <c r="A670">
        <v>3161091717</v>
      </c>
      <c r="B670" t="s">
        <v>21839</v>
      </c>
      <c r="C670" t="s">
        <v>21847</v>
      </c>
    </row>
    <row r="671" spans="1:3" x14ac:dyDescent="0.25">
      <c r="A671">
        <v>3161091718</v>
      </c>
      <c r="B671" t="s">
        <v>21839</v>
      </c>
      <c r="C671" t="s">
        <v>21848</v>
      </c>
    </row>
    <row r="672" spans="1:3" x14ac:dyDescent="0.25">
      <c r="A672">
        <v>3161091719</v>
      </c>
      <c r="B672" t="s">
        <v>21849</v>
      </c>
      <c r="C672" t="s">
        <v>21850</v>
      </c>
    </row>
    <row r="673" spans="1:3" x14ac:dyDescent="0.25">
      <c r="A673">
        <v>3161091720</v>
      </c>
      <c r="B673" t="s">
        <v>21840</v>
      </c>
      <c r="C673" t="s">
        <v>21851</v>
      </c>
    </row>
    <row r="674" spans="1:3" x14ac:dyDescent="0.25">
      <c r="A674">
        <v>3161091721</v>
      </c>
      <c r="B674" t="s">
        <v>23240</v>
      </c>
      <c r="C674" t="s">
        <v>20635</v>
      </c>
    </row>
    <row r="675" spans="1:3" x14ac:dyDescent="0.25">
      <c r="A675">
        <v>3161091729</v>
      </c>
      <c r="B675" t="s">
        <v>23102</v>
      </c>
      <c r="C675" t="s">
        <v>20639</v>
      </c>
    </row>
    <row r="676" spans="1:3" x14ac:dyDescent="0.25">
      <c r="A676">
        <v>3161091730</v>
      </c>
      <c r="B676" t="s">
        <v>21852</v>
      </c>
      <c r="C676" t="s">
        <v>21853</v>
      </c>
    </row>
    <row r="677" spans="1:3" x14ac:dyDescent="0.25">
      <c r="A677">
        <v>3161091731</v>
      </c>
      <c r="B677" t="s">
        <v>6260</v>
      </c>
      <c r="C677" t="s">
        <v>21854</v>
      </c>
    </row>
    <row r="678" spans="1:3" x14ac:dyDescent="0.25">
      <c r="A678">
        <v>3161091732</v>
      </c>
      <c r="B678" t="s">
        <v>6260</v>
      </c>
      <c r="C678" t="s">
        <v>21855</v>
      </c>
    </row>
    <row r="679" spans="1:3" x14ac:dyDescent="0.25">
      <c r="A679">
        <v>3161091740</v>
      </c>
      <c r="B679" t="s">
        <v>23241</v>
      </c>
      <c r="C679" t="s">
        <v>21856</v>
      </c>
    </row>
    <row r="680" spans="1:3" x14ac:dyDescent="0.25">
      <c r="A680">
        <v>3161091741</v>
      </c>
      <c r="B680" t="s">
        <v>23850</v>
      </c>
      <c r="C680" t="s">
        <v>21857</v>
      </c>
    </row>
    <row r="681" spans="1:3" x14ac:dyDescent="0.25">
      <c r="A681">
        <v>3161091742</v>
      </c>
      <c r="B681" t="s">
        <v>21816</v>
      </c>
      <c r="C681" t="s">
        <v>21858</v>
      </c>
    </row>
    <row r="682" spans="1:3" x14ac:dyDescent="0.25">
      <c r="A682">
        <v>3161091743</v>
      </c>
      <c r="B682" t="s">
        <v>21842</v>
      </c>
      <c r="C682" t="s">
        <v>21859</v>
      </c>
    </row>
    <row r="683" spans="1:3" x14ac:dyDescent="0.25">
      <c r="A683">
        <v>3161091744</v>
      </c>
      <c r="B683" t="s">
        <v>21842</v>
      </c>
      <c r="C683" t="s">
        <v>21860</v>
      </c>
    </row>
    <row r="684" spans="1:3" x14ac:dyDescent="0.25">
      <c r="A684">
        <v>3161091745</v>
      </c>
      <c r="B684" t="s">
        <v>21839</v>
      </c>
      <c r="C684" t="s">
        <v>21861</v>
      </c>
    </row>
    <row r="685" spans="1:3" x14ac:dyDescent="0.25">
      <c r="A685">
        <v>3161091746</v>
      </c>
      <c r="B685" t="s">
        <v>23851</v>
      </c>
      <c r="C685" t="s">
        <v>21862</v>
      </c>
    </row>
    <row r="686" spans="1:3" x14ac:dyDescent="0.25">
      <c r="A686">
        <v>3161091747</v>
      </c>
      <c r="B686" t="s">
        <v>21840</v>
      </c>
      <c r="C686" t="s">
        <v>21863</v>
      </c>
    </row>
    <row r="687" spans="1:3" x14ac:dyDescent="0.25">
      <c r="A687">
        <v>3161091748</v>
      </c>
      <c r="B687" t="s">
        <v>21840</v>
      </c>
      <c r="C687" t="s">
        <v>21864</v>
      </c>
    </row>
    <row r="688" spans="1:3" x14ac:dyDescent="0.25">
      <c r="A688">
        <v>3161091755</v>
      </c>
      <c r="B688" t="s">
        <v>21852</v>
      </c>
      <c r="C688" t="s">
        <v>21865</v>
      </c>
    </row>
    <row r="689" spans="1:3" x14ac:dyDescent="0.25">
      <c r="A689">
        <v>3161091756</v>
      </c>
      <c r="B689" t="s">
        <v>21852</v>
      </c>
      <c r="C689" t="s">
        <v>21866</v>
      </c>
    </row>
    <row r="690" spans="1:3" x14ac:dyDescent="0.25">
      <c r="A690">
        <v>3161091757</v>
      </c>
      <c r="B690" t="s">
        <v>6260</v>
      </c>
      <c r="C690" t="s">
        <v>21867</v>
      </c>
    </row>
    <row r="691" spans="1:3" x14ac:dyDescent="0.25">
      <c r="A691">
        <v>3161091763</v>
      </c>
      <c r="B691" t="s">
        <v>21787</v>
      </c>
      <c r="C691" t="s">
        <v>21868</v>
      </c>
    </row>
    <row r="692" spans="1:3" x14ac:dyDescent="0.25">
      <c r="A692">
        <v>3161091764</v>
      </c>
      <c r="B692" t="s">
        <v>23852</v>
      </c>
      <c r="C692" t="s">
        <v>21869</v>
      </c>
    </row>
    <row r="693" spans="1:3" x14ac:dyDescent="0.25">
      <c r="A693">
        <v>3161091774</v>
      </c>
      <c r="B693" t="s">
        <v>21852</v>
      </c>
      <c r="C693" t="s">
        <v>21870</v>
      </c>
    </row>
    <row r="694" spans="1:3" x14ac:dyDescent="0.25">
      <c r="A694">
        <v>3161091777</v>
      </c>
      <c r="B694" t="s">
        <v>21852</v>
      </c>
      <c r="C694" t="s">
        <v>21871</v>
      </c>
    </row>
    <row r="695" spans="1:3" x14ac:dyDescent="0.25">
      <c r="A695">
        <v>3161091778</v>
      </c>
      <c r="B695" t="s">
        <v>21852</v>
      </c>
      <c r="C695" t="s">
        <v>20998</v>
      </c>
    </row>
    <row r="696" spans="1:3" x14ac:dyDescent="0.25">
      <c r="A696">
        <v>3161092128</v>
      </c>
      <c r="B696" t="s">
        <v>20664</v>
      </c>
      <c r="C696" t="s">
        <v>20663</v>
      </c>
    </row>
    <row r="697" spans="1:3" x14ac:dyDescent="0.25">
      <c r="A697">
        <v>3161092153</v>
      </c>
      <c r="B697" t="s">
        <v>21872</v>
      </c>
      <c r="C697" t="s">
        <v>21873</v>
      </c>
    </row>
    <row r="698" spans="1:3" x14ac:dyDescent="0.25">
      <c r="A698">
        <v>3161092302</v>
      </c>
      <c r="B698" t="s">
        <v>21874</v>
      </c>
      <c r="C698" t="s">
        <v>21875</v>
      </c>
    </row>
    <row r="699" spans="1:3" x14ac:dyDescent="0.25">
      <c r="A699">
        <v>3161092303</v>
      </c>
      <c r="B699" t="s">
        <v>23853</v>
      </c>
      <c r="C699" t="s">
        <v>21876</v>
      </c>
    </row>
    <row r="700" spans="1:3" x14ac:dyDescent="0.25">
      <c r="A700">
        <v>3161092305</v>
      </c>
      <c r="B700" t="s">
        <v>21877</v>
      </c>
      <c r="C700" t="s">
        <v>21878</v>
      </c>
    </row>
    <row r="701" spans="1:3" x14ac:dyDescent="0.25">
      <c r="A701">
        <v>3161092313</v>
      </c>
      <c r="B701" t="s">
        <v>21631</v>
      </c>
      <c r="C701" t="s">
        <v>21879</v>
      </c>
    </row>
    <row r="702" spans="1:3" x14ac:dyDescent="0.25">
      <c r="A702">
        <v>3161092314</v>
      </c>
      <c r="B702" t="s">
        <v>21631</v>
      </c>
      <c r="C702" t="s">
        <v>21880</v>
      </c>
    </row>
    <row r="703" spans="1:3" x14ac:dyDescent="0.25">
      <c r="A703">
        <v>3161092320</v>
      </c>
      <c r="B703" t="s">
        <v>21840</v>
      </c>
      <c r="C703" t="s">
        <v>21881</v>
      </c>
    </row>
    <row r="704" spans="1:3" x14ac:dyDescent="0.25">
      <c r="A704">
        <v>3161092321</v>
      </c>
      <c r="B704" t="s">
        <v>21842</v>
      </c>
      <c r="C704" t="s">
        <v>21882</v>
      </c>
    </row>
    <row r="705" spans="1:3" x14ac:dyDescent="0.25">
      <c r="A705">
        <v>3161092322</v>
      </c>
      <c r="B705" t="s">
        <v>21842</v>
      </c>
      <c r="C705" t="s">
        <v>21883</v>
      </c>
    </row>
    <row r="706" spans="1:3" x14ac:dyDescent="0.25">
      <c r="A706">
        <v>3161092324</v>
      </c>
      <c r="B706" t="s">
        <v>21839</v>
      </c>
      <c r="C706" t="s">
        <v>21884</v>
      </c>
    </row>
    <row r="707" spans="1:3" x14ac:dyDescent="0.25">
      <c r="A707">
        <v>3161092326</v>
      </c>
      <c r="B707" t="s">
        <v>23843</v>
      </c>
      <c r="C707" t="s">
        <v>21885</v>
      </c>
    </row>
    <row r="708" spans="1:3" x14ac:dyDescent="0.25">
      <c r="A708">
        <v>3161092328</v>
      </c>
      <c r="B708" t="s">
        <v>23242</v>
      </c>
      <c r="C708" t="s">
        <v>21063</v>
      </c>
    </row>
    <row r="709" spans="1:3" x14ac:dyDescent="0.25">
      <c r="A709">
        <v>3161092329</v>
      </c>
      <c r="B709" t="s">
        <v>21787</v>
      </c>
      <c r="C709" t="s">
        <v>21886</v>
      </c>
    </row>
    <row r="710" spans="1:3" x14ac:dyDescent="0.25">
      <c r="A710">
        <v>3161092330</v>
      </c>
      <c r="B710" t="s">
        <v>23243</v>
      </c>
      <c r="C710" t="s">
        <v>20636</v>
      </c>
    </row>
    <row r="711" spans="1:3" x14ac:dyDescent="0.25">
      <c r="A711">
        <v>3161092332</v>
      </c>
      <c r="B711" t="s">
        <v>23852</v>
      </c>
      <c r="C711" t="s">
        <v>21887</v>
      </c>
    </row>
    <row r="712" spans="1:3" x14ac:dyDescent="0.25">
      <c r="A712">
        <v>3161092333</v>
      </c>
      <c r="B712" t="s">
        <v>23854</v>
      </c>
      <c r="C712" t="s">
        <v>21888</v>
      </c>
    </row>
    <row r="713" spans="1:3" x14ac:dyDescent="0.25">
      <c r="A713">
        <v>3161092334</v>
      </c>
      <c r="B713" t="s">
        <v>23855</v>
      </c>
      <c r="C713" t="s">
        <v>21889</v>
      </c>
    </row>
    <row r="714" spans="1:3" x14ac:dyDescent="0.25">
      <c r="A714">
        <v>3161092335</v>
      </c>
      <c r="B714" t="s">
        <v>21787</v>
      </c>
      <c r="C714" t="s">
        <v>21890</v>
      </c>
    </row>
    <row r="715" spans="1:3" x14ac:dyDescent="0.25">
      <c r="A715">
        <v>3161092361</v>
      </c>
      <c r="B715" t="s">
        <v>21891</v>
      </c>
      <c r="C715" t="s">
        <v>21892</v>
      </c>
    </row>
    <row r="716" spans="1:3" x14ac:dyDescent="0.25">
      <c r="A716">
        <v>3161092374</v>
      </c>
      <c r="B716" t="s">
        <v>21893</v>
      </c>
      <c r="C716" t="s">
        <v>21894</v>
      </c>
    </row>
    <row r="717" spans="1:3" x14ac:dyDescent="0.25">
      <c r="A717">
        <v>3161092379</v>
      </c>
      <c r="B717" t="s">
        <v>20525</v>
      </c>
      <c r="C717" t="s">
        <v>20524</v>
      </c>
    </row>
    <row r="718" spans="1:3" x14ac:dyDescent="0.25">
      <c r="A718">
        <v>3161092387</v>
      </c>
      <c r="B718" t="s">
        <v>23244</v>
      </c>
      <c r="C718" t="s">
        <v>21895</v>
      </c>
    </row>
    <row r="719" spans="1:3" x14ac:dyDescent="0.25">
      <c r="A719">
        <v>3161092440</v>
      </c>
      <c r="B719" t="s">
        <v>20533</v>
      </c>
      <c r="C719" t="s">
        <v>20532</v>
      </c>
    </row>
    <row r="720" spans="1:3" x14ac:dyDescent="0.25">
      <c r="A720">
        <v>3161092549</v>
      </c>
      <c r="B720" t="s">
        <v>21891</v>
      </c>
      <c r="C720" t="s">
        <v>21896</v>
      </c>
    </row>
    <row r="721" spans="1:3" x14ac:dyDescent="0.25">
      <c r="A721">
        <v>3161092552</v>
      </c>
      <c r="B721" t="s">
        <v>6260</v>
      </c>
      <c r="C721" t="s">
        <v>21897</v>
      </c>
    </row>
    <row r="722" spans="1:3" x14ac:dyDescent="0.25">
      <c r="A722">
        <v>3161092559</v>
      </c>
      <c r="B722" t="s">
        <v>6260</v>
      </c>
      <c r="C722" t="s">
        <v>21898</v>
      </c>
    </row>
    <row r="723" spans="1:3" x14ac:dyDescent="0.25">
      <c r="A723">
        <v>3161092565</v>
      </c>
      <c r="B723" t="s">
        <v>23098</v>
      </c>
      <c r="C723" t="s">
        <v>21899</v>
      </c>
    </row>
    <row r="724" spans="1:3" x14ac:dyDescent="0.25">
      <c r="A724">
        <v>3161092566</v>
      </c>
      <c r="B724" t="s">
        <v>21842</v>
      </c>
      <c r="C724" t="s">
        <v>21900</v>
      </c>
    </row>
    <row r="725" spans="1:3" x14ac:dyDescent="0.25">
      <c r="A725">
        <v>3161092567</v>
      </c>
      <c r="B725" t="s">
        <v>21839</v>
      </c>
      <c r="C725" t="s">
        <v>21901</v>
      </c>
    </row>
    <row r="726" spans="1:3" x14ac:dyDescent="0.25">
      <c r="A726">
        <v>3161092568</v>
      </c>
      <c r="B726" t="s">
        <v>23103</v>
      </c>
      <c r="C726" t="s">
        <v>21902</v>
      </c>
    </row>
    <row r="727" spans="1:3" x14ac:dyDescent="0.25">
      <c r="A727">
        <v>3161092569</v>
      </c>
      <c r="B727" t="s">
        <v>21628</v>
      </c>
      <c r="C727" t="s">
        <v>21903</v>
      </c>
    </row>
    <row r="728" spans="1:3" x14ac:dyDescent="0.25">
      <c r="A728">
        <v>3161092571</v>
      </c>
      <c r="B728" t="s">
        <v>6260</v>
      </c>
      <c r="C728" t="s">
        <v>21904</v>
      </c>
    </row>
    <row r="729" spans="1:3" x14ac:dyDescent="0.25">
      <c r="A729">
        <v>3161092572</v>
      </c>
      <c r="B729" t="s">
        <v>6260</v>
      </c>
      <c r="C729" t="s">
        <v>21905</v>
      </c>
    </row>
    <row r="730" spans="1:3" x14ac:dyDescent="0.25">
      <c r="A730">
        <v>3161092573</v>
      </c>
      <c r="B730" t="s">
        <v>21906</v>
      </c>
      <c r="C730" t="s">
        <v>21907</v>
      </c>
    </row>
    <row r="731" spans="1:3" x14ac:dyDescent="0.25">
      <c r="A731">
        <v>3161092574</v>
      </c>
      <c r="B731" t="s">
        <v>21906</v>
      </c>
      <c r="C731" t="s">
        <v>21908</v>
      </c>
    </row>
    <row r="732" spans="1:3" x14ac:dyDescent="0.25">
      <c r="A732">
        <v>3161092576</v>
      </c>
      <c r="B732" t="s">
        <v>6260</v>
      </c>
      <c r="C732" t="s">
        <v>21909</v>
      </c>
    </row>
    <row r="733" spans="1:3" x14ac:dyDescent="0.25">
      <c r="A733">
        <v>3161092579</v>
      </c>
      <c r="B733" t="s">
        <v>21631</v>
      </c>
      <c r="C733" t="s">
        <v>20630</v>
      </c>
    </row>
    <row r="734" spans="1:3" x14ac:dyDescent="0.25">
      <c r="A734">
        <v>3161092580</v>
      </c>
      <c r="B734" t="s">
        <v>23104</v>
      </c>
      <c r="C734" t="s">
        <v>21910</v>
      </c>
    </row>
    <row r="735" spans="1:3" x14ac:dyDescent="0.25">
      <c r="A735">
        <v>3161092582</v>
      </c>
      <c r="B735" t="s">
        <v>23105</v>
      </c>
      <c r="C735" t="s">
        <v>21911</v>
      </c>
    </row>
    <row r="736" spans="1:3" x14ac:dyDescent="0.25">
      <c r="A736">
        <v>3161092583</v>
      </c>
      <c r="B736" t="s">
        <v>21891</v>
      </c>
      <c r="C736" t="s">
        <v>21912</v>
      </c>
    </row>
    <row r="737" spans="1:3" x14ac:dyDescent="0.25">
      <c r="A737">
        <v>3161092584</v>
      </c>
      <c r="B737" t="s">
        <v>23106</v>
      </c>
      <c r="C737" t="s">
        <v>21913</v>
      </c>
    </row>
    <row r="738" spans="1:3" x14ac:dyDescent="0.25">
      <c r="A738">
        <v>3161092585</v>
      </c>
      <c r="B738" t="s">
        <v>21872</v>
      </c>
      <c r="C738" t="s">
        <v>21914</v>
      </c>
    </row>
    <row r="739" spans="1:3" x14ac:dyDescent="0.25">
      <c r="A739">
        <v>3161092586</v>
      </c>
      <c r="B739" t="s">
        <v>23107</v>
      </c>
      <c r="C739" t="s">
        <v>20652</v>
      </c>
    </row>
    <row r="740" spans="1:3" x14ac:dyDescent="0.25">
      <c r="A740">
        <v>3161092591</v>
      </c>
      <c r="B740" t="s">
        <v>6260</v>
      </c>
      <c r="C740" t="s">
        <v>21915</v>
      </c>
    </row>
    <row r="741" spans="1:3" x14ac:dyDescent="0.25">
      <c r="A741">
        <v>3161092600</v>
      </c>
      <c r="B741" t="s">
        <v>21906</v>
      </c>
      <c r="C741" t="s">
        <v>21916</v>
      </c>
    </row>
    <row r="742" spans="1:3" x14ac:dyDescent="0.25">
      <c r="A742">
        <v>3161092603</v>
      </c>
      <c r="B742" t="s">
        <v>21631</v>
      </c>
      <c r="C742" t="s">
        <v>21917</v>
      </c>
    </row>
    <row r="743" spans="1:3" x14ac:dyDescent="0.25">
      <c r="A743">
        <v>3161092611</v>
      </c>
      <c r="B743" t="s">
        <v>21906</v>
      </c>
      <c r="C743" t="s">
        <v>21175</v>
      </c>
    </row>
    <row r="744" spans="1:3" x14ac:dyDescent="0.25">
      <c r="A744">
        <v>3161092612</v>
      </c>
      <c r="B744" t="s">
        <v>21906</v>
      </c>
      <c r="C744" t="s">
        <v>21918</v>
      </c>
    </row>
    <row r="745" spans="1:3" x14ac:dyDescent="0.25">
      <c r="A745">
        <v>3161092613</v>
      </c>
      <c r="B745" t="s">
        <v>21906</v>
      </c>
      <c r="C745" t="s">
        <v>21919</v>
      </c>
    </row>
    <row r="746" spans="1:3" x14ac:dyDescent="0.25">
      <c r="A746">
        <v>3161092623</v>
      </c>
      <c r="B746" t="s">
        <v>23856</v>
      </c>
      <c r="C746" t="s">
        <v>21921</v>
      </c>
    </row>
    <row r="747" spans="1:3" x14ac:dyDescent="0.25">
      <c r="A747">
        <v>3161092624</v>
      </c>
      <c r="B747" t="s">
        <v>21920</v>
      </c>
      <c r="C747" t="s">
        <v>21922</v>
      </c>
    </row>
    <row r="748" spans="1:3" x14ac:dyDescent="0.25">
      <c r="A748">
        <v>3161092625</v>
      </c>
      <c r="B748" t="s">
        <v>21920</v>
      </c>
      <c r="C748" t="s">
        <v>21923</v>
      </c>
    </row>
    <row r="749" spans="1:3" x14ac:dyDescent="0.25">
      <c r="A749">
        <v>3161092704</v>
      </c>
      <c r="B749" t="s">
        <v>20569</v>
      </c>
      <c r="C749" t="s">
        <v>20568</v>
      </c>
    </row>
    <row r="750" spans="1:3" x14ac:dyDescent="0.25">
      <c r="A750">
        <v>3161092716</v>
      </c>
      <c r="B750" t="s">
        <v>21842</v>
      </c>
      <c r="C750" t="s">
        <v>21924</v>
      </c>
    </row>
    <row r="751" spans="1:3" x14ac:dyDescent="0.25">
      <c r="A751">
        <v>3161092717</v>
      </c>
      <c r="B751" t="s">
        <v>23245</v>
      </c>
      <c r="C751" t="s">
        <v>21925</v>
      </c>
    </row>
    <row r="752" spans="1:3" x14ac:dyDescent="0.25">
      <c r="A752">
        <v>3161092793</v>
      </c>
      <c r="B752" t="s">
        <v>23857</v>
      </c>
      <c r="C752" t="s">
        <v>21926</v>
      </c>
    </row>
    <row r="753" spans="1:3" x14ac:dyDescent="0.25">
      <c r="A753">
        <v>3161092795</v>
      </c>
      <c r="B753" t="s">
        <v>21891</v>
      </c>
      <c r="C753" t="s">
        <v>21927</v>
      </c>
    </row>
    <row r="754" spans="1:3" x14ac:dyDescent="0.25">
      <c r="A754">
        <v>3161092796</v>
      </c>
      <c r="B754" t="s">
        <v>23108</v>
      </c>
      <c r="C754" t="s">
        <v>21928</v>
      </c>
    </row>
    <row r="755" spans="1:3" x14ac:dyDescent="0.25">
      <c r="A755">
        <v>3161092797</v>
      </c>
      <c r="B755" t="s">
        <v>20525</v>
      </c>
      <c r="C755" t="s">
        <v>20526</v>
      </c>
    </row>
    <row r="756" spans="1:3" x14ac:dyDescent="0.25">
      <c r="A756">
        <v>3161092798</v>
      </c>
      <c r="B756" t="s">
        <v>20529</v>
      </c>
      <c r="C756" t="s">
        <v>20528</v>
      </c>
    </row>
    <row r="757" spans="1:3" x14ac:dyDescent="0.25">
      <c r="A757">
        <v>3161092799</v>
      </c>
      <c r="B757" t="s">
        <v>23246</v>
      </c>
      <c r="C757" t="s">
        <v>20527</v>
      </c>
    </row>
    <row r="758" spans="1:3" x14ac:dyDescent="0.25">
      <c r="A758">
        <v>3161092969</v>
      </c>
      <c r="B758" t="s">
        <v>6264</v>
      </c>
      <c r="C758" t="s">
        <v>21929</v>
      </c>
    </row>
    <row r="759" spans="1:3" x14ac:dyDescent="0.25">
      <c r="A759">
        <v>3161092994</v>
      </c>
      <c r="B759" t="s">
        <v>6264</v>
      </c>
      <c r="C759" t="s">
        <v>21930</v>
      </c>
    </row>
    <row r="760" spans="1:3" x14ac:dyDescent="0.25">
      <c r="A760">
        <v>3161092995</v>
      </c>
      <c r="B760" t="s">
        <v>6260</v>
      </c>
      <c r="C760" t="s">
        <v>21931</v>
      </c>
    </row>
    <row r="761" spans="1:3" x14ac:dyDescent="0.25">
      <c r="A761">
        <v>3161093559</v>
      </c>
      <c r="B761" t="s">
        <v>21877</v>
      </c>
      <c r="C761" t="s">
        <v>21932</v>
      </c>
    </row>
    <row r="762" spans="1:3" x14ac:dyDescent="0.25">
      <c r="A762">
        <v>3161093649</v>
      </c>
      <c r="B762" t="s">
        <v>20540</v>
      </c>
      <c r="C762" t="s">
        <v>20539</v>
      </c>
    </row>
    <row r="763" spans="1:3" x14ac:dyDescent="0.25">
      <c r="A763">
        <v>3161093650</v>
      </c>
      <c r="B763" t="s">
        <v>20538</v>
      </c>
      <c r="C763" t="s">
        <v>20537</v>
      </c>
    </row>
    <row r="764" spans="1:3" x14ac:dyDescent="0.25">
      <c r="A764">
        <v>3161093651</v>
      </c>
      <c r="B764" t="s">
        <v>23858</v>
      </c>
      <c r="C764" t="s">
        <v>21933</v>
      </c>
    </row>
    <row r="765" spans="1:3" x14ac:dyDescent="0.25">
      <c r="A765">
        <v>3161093745</v>
      </c>
      <c r="B765" t="s">
        <v>23859</v>
      </c>
      <c r="C765" t="s">
        <v>20536</v>
      </c>
    </row>
    <row r="766" spans="1:3" x14ac:dyDescent="0.25">
      <c r="A766">
        <v>3161093759</v>
      </c>
      <c r="B766" t="s">
        <v>21934</v>
      </c>
      <c r="C766" t="s">
        <v>21935</v>
      </c>
    </row>
    <row r="767" spans="1:3" x14ac:dyDescent="0.25">
      <c r="A767">
        <v>3161093790</v>
      </c>
      <c r="B767" t="s">
        <v>21839</v>
      </c>
      <c r="C767" t="s">
        <v>20647</v>
      </c>
    </row>
    <row r="768" spans="1:3" x14ac:dyDescent="0.25">
      <c r="A768">
        <v>3161093791</v>
      </c>
      <c r="B768" t="s">
        <v>23860</v>
      </c>
      <c r="C768" t="s">
        <v>21936</v>
      </c>
    </row>
    <row r="769" spans="1:3" x14ac:dyDescent="0.25">
      <c r="A769">
        <v>3161093829</v>
      </c>
      <c r="B769" t="s">
        <v>21877</v>
      </c>
      <c r="C769" t="s">
        <v>21937</v>
      </c>
    </row>
    <row r="770" spans="1:3" x14ac:dyDescent="0.25">
      <c r="A770">
        <v>3161093830</v>
      </c>
      <c r="B770" t="s">
        <v>23861</v>
      </c>
      <c r="C770" t="s">
        <v>21938</v>
      </c>
    </row>
    <row r="771" spans="1:3" x14ac:dyDescent="0.25">
      <c r="A771">
        <v>3161093831</v>
      </c>
      <c r="B771" t="s">
        <v>23862</v>
      </c>
      <c r="C771" t="s">
        <v>21939</v>
      </c>
    </row>
    <row r="772" spans="1:3" x14ac:dyDescent="0.25">
      <c r="A772">
        <v>3161093832</v>
      </c>
      <c r="B772" t="s">
        <v>20535</v>
      </c>
      <c r="C772" t="s">
        <v>20534</v>
      </c>
    </row>
    <row r="773" spans="1:3" x14ac:dyDescent="0.25">
      <c r="A773">
        <v>3161094210</v>
      </c>
      <c r="B773" t="s">
        <v>21940</v>
      </c>
      <c r="C773" t="s">
        <v>21941</v>
      </c>
    </row>
    <row r="774" spans="1:3" x14ac:dyDescent="0.25">
      <c r="A774">
        <v>3161094211</v>
      </c>
      <c r="B774" t="s">
        <v>23863</v>
      </c>
      <c r="C774" t="s">
        <v>21942</v>
      </c>
    </row>
    <row r="775" spans="1:3" x14ac:dyDescent="0.25">
      <c r="A775">
        <v>3161094239</v>
      </c>
      <c r="B775" t="s">
        <v>20546</v>
      </c>
      <c r="C775" t="s">
        <v>20545</v>
      </c>
    </row>
    <row r="776" spans="1:3" x14ac:dyDescent="0.25">
      <c r="A776">
        <v>3161094240</v>
      </c>
      <c r="B776" t="s">
        <v>20552</v>
      </c>
      <c r="C776" t="s">
        <v>20551</v>
      </c>
    </row>
    <row r="777" spans="1:3" x14ac:dyDescent="0.25">
      <c r="A777">
        <v>3161094242</v>
      </c>
      <c r="B777" t="s">
        <v>23109</v>
      </c>
      <c r="C777" t="s">
        <v>21943</v>
      </c>
    </row>
    <row r="778" spans="1:3" x14ac:dyDescent="0.25">
      <c r="A778">
        <v>3161094249</v>
      </c>
      <c r="B778" t="s">
        <v>23864</v>
      </c>
      <c r="C778" t="s">
        <v>20594</v>
      </c>
    </row>
    <row r="779" spans="1:3" x14ac:dyDescent="0.25">
      <c r="A779">
        <v>3161094256</v>
      </c>
      <c r="B779" t="s">
        <v>21944</v>
      </c>
      <c r="C779" t="s">
        <v>20611</v>
      </c>
    </row>
    <row r="780" spans="1:3" x14ac:dyDescent="0.25">
      <c r="A780">
        <v>3161094259</v>
      </c>
      <c r="B780" t="s">
        <v>21702</v>
      </c>
      <c r="C780" t="s">
        <v>20641</v>
      </c>
    </row>
    <row r="781" spans="1:3" x14ac:dyDescent="0.25">
      <c r="A781">
        <v>3161094260</v>
      </c>
      <c r="B781" t="s">
        <v>21806</v>
      </c>
      <c r="C781" t="s">
        <v>21945</v>
      </c>
    </row>
    <row r="782" spans="1:3" x14ac:dyDescent="0.25">
      <c r="A782">
        <v>3161094269</v>
      </c>
      <c r="B782" t="s">
        <v>23865</v>
      </c>
      <c r="C782" t="s">
        <v>20616</v>
      </c>
    </row>
    <row r="783" spans="1:3" x14ac:dyDescent="0.25">
      <c r="A783">
        <v>3161094273</v>
      </c>
      <c r="B783" t="s">
        <v>23866</v>
      </c>
      <c r="C783" t="s">
        <v>20612</v>
      </c>
    </row>
    <row r="784" spans="1:3" x14ac:dyDescent="0.25">
      <c r="A784">
        <v>3161094276</v>
      </c>
      <c r="B784" t="s">
        <v>21702</v>
      </c>
      <c r="C784" t="s">
        <v>21946</v>
      </c>
    </row>
    <row r="785" spans="1:3" x14ac:dyDescent="0.25">
      <c r="A785">
        <v>3161094277</v>
      </c>
      <c r="B785" t="s">
        <v>23110</v>
      </c>
      <c r="C785" t="s">
        <v>21416</v>
      </c>
    </row>
    <row r="786" spans="1:3" x14ac:dyDescent="0.25">
      <c r="A786">
        <v>3161094282</v>
      </c>
      <c r="B786" t="s">
        <v>20593</v>
      </c>
      <c r="C786" t="s">
        <v>20592</v>
      </c>
    </row>
    <row r="787" spans="1:3" x14ac:dyDescent="0.25">
      <c r="A787">
        <v>3161094287</v>
      </c>
      <c r="B787" t="s">
        <v>6295</v>
      </c>
      <c r="C787" t="s">
        <v>21947</v>
      </c>
    </row>
    <row r="788" spans="1:3" x14ac:dyDescent="0.25">
      <c r="A788">
        <v>3161094288</v>
      </c>
      <c r="B788" t="s">
        <v>21702</v>
      </c>
      <c r="C788" t="s">
        <v>21948</v>
      </c>
    </row>
    <row r="789" spans="1:3" x14ac:dyDescent="0.25">
      <c r="A789">
        <v>3161094289</v>
      </c>
      <c r="B789" t="s">
        <v>23111</v>
      </c>
      <c r="C789" t="s">
        <v>20638</v>
      </c>
    </row>
    <row r="790" spans="1:3" x14ac:dyDescent="0.25">
      <c r="A790">
        <v>3161094293</v>
      </c>
      <c r="B790" t="s">
        <v>20596</v>
      </c>
      <c r="C790" t="s">
        <v>20595</v>
      </c>
    </row>
    <row r="791" spans="1:3" x14ac:dyDescent="0.25">
      <c r="A791">
        <v>3161094297</v>
      </c>
      <c r="B791" t="s">
        <v>23867</v>
      </c>
      <c r="C791" t="s">
        <v>21949</v>
      </c>
    </row>
    <row r="792" spans="1:3" x14ac:dyDescent="0.25">
      <c r="A792">
        <v>3161094300</v>
      </c>
      <c r="B792" t="s">
        <v>21702</v>
      </c>
      <c r="C792" t="s">
        <v>21950</v>
      </c>
    </row>
    <row r="793" spans="1:3" x14ac:dyDescent="0.25">
      <c r="A793">
        <v>3161094301</v>
      </c>
      <c r="B793" t="s">
        <v>23112</v>
      </c>
      <c r="C793" t="s">
        <v>21951</v>
      </c>
    </row>
    <row r="794" spans="1:3" x14ac:dyDescent="0.25">
      <c r="A794">
        <v>3161094305</v>
      </c>
      <c r="B794" t="s">
        <v>20598</v>
      </c>
      <c r="C794" t="s">
        <v>20597</v>
      </c>
    </row>
    <row r="795" spans="1:3" x14ac:dyDescent="0.25">
      <c r="A795">
        <v>3161094315</v>
      </c>
      <c r="B795" t="s">
        <v>20544</v>
      </c>
      <c r="C795" t="s">
        <v>20543</v>
      </c>
    </row>
    <row r="796" spans="1:3" x14ac:dyDescent="0.25">
      <c r="A796">
        <v>3161094318</v>
      </c>
      <c r="B796" t="s">
        <v>21702</v>
      </c>
      <c r="C796" t="s">
        <v>21952</v>
      </c>
    </row>
    <row r="797" spans="1:3" x14ac:dyDescent="0.25">
      <c r="A797">
        <v>3161094319</v>
      </c>
      <c r="B797" t="s">
        <v>23113</v>
      </c>
      <c r="C797" t="s">
        <v>21953</v>
      </c>
    </row>
    <row r="798" spans="1:3" x14ac:dyDescent="0.25">
      <c r="A798">
        <v>3161094324</v>
      </c>
      <c r="B798" t="s">
        <v>20600</v>
      </c>
      <c r="C798" t="s">
        <v>20599</v>
      </c>
    </row>
    <row r="799" spans="1:3" x14ac:dyDescent="0.25">
      <c r="A799">
        <v>3161094326</v>
      </c>
      <c r="B799" t="s">
        <v>21644</v>
      </c>
      <c r="C799" t="s">
        <v>21954</v>
      </c>
    </row>
    <row r="800" spans="1:3" x14ac:dyDescent="0.25">
      <c r="A800">
        <v>3161094467</v>
      </c>
      <c r="B800" t="s">
        <v>21787</v>
      </c>
      <c r="C800" t="s">
        <v>21955</v>
      </c>
    </row>
    <row r="801" spans="1:3" x14ac:dyDescent="0.25">
      <c r="A801">
        <v>3161094468</v>
      </c>
      <c r="B801" t="s">
        <v>21839</v>
      </c>
      <c r="C801" t="s">
        <v>21956</v>
      </c>
    </row>
    <row r="802" spans="1:3" x14ac:dyDescent="0.25">
      <c r="A802">
        <v>3161094469</v>
      </c>
      <c r="B802" t="s">
        <v>21842</v>
      </c>
      <c r="C802" t="s">
        <v>21957</v>
      </c>
    </row>
    <row r="803" spans="1:3" x14ac:dyDescent="0.25">
      <c r="A803">
        <v>3161094470</v>
      </c>
      <c r="B803" t="s">
        <v>21840</v>
      </c>
      <c r="C803" t="s">
        <v>21958</v>
      </c>
    </row>
    <row r="804" spans="1:3" x14ac:dyDescent="0.25">
      <c r="A804">
        <v>3161094471</v>
      </c>
      <c r="B804" t="s">
        <v>21767</v>
      </c>
      <c r="C804" t="s">
        <v>21959</v>
      </c>
    </row>
    <row r="805" spans="1:3" x14ac:dyDescent="0.25">
      <c r="A805">
        <v>3161094472</v>
      </c>
      <c r="B805" t="s">
        <v>21822</v>
      </c>
      <c r="C805" t="s">
        <v>21960</v>
      </c>
    </row>
    <row r="806" spans="1:3" x14ac:dyDescent="0.25">
      <c r="A806">
        <v>3161094473</v>
      </c>
      <c r="B806" t="s">
        <v>20548</v>
      </c>
      <c r="C806" t="s">
        <v>20547</v>
      </c>
    </row>
    <row r="807" spans="1:3" x14ac:dyDescent="0.25">
      <c r="A807">
        <v>3161094474</v>
      </c>
      <c r="B807" t="s">
        <v>20531</v>
      </c>
      <c r="C807" t="s">
        <v>20530</v>
      </c>
    </row>
    <row r="808" spans="1:3" x14ac:dyDescent="0.25">
      <c r="A808">
        <v>3161094492</v>
      </c>
      <c r="B808" t="s">
        <v>21961</v>
      </c>
      <c r="C808" t="s">
        <v>21962</v>
      </c>
    </row>
    <row r="809" spans="1:3" x14ac:dyDescent="0.25">
      <c r="A809">
        <v>3161094494</v>
      </c>
      <c r="B809" t="s">
        <v>21963</v>
      </c>
      <c r="C809" t="s">
        <v>21964</v>
      </c>
    </row>
    <row r="810" spans="1:3" x14ac:dyDescent="0.25">
      <c r="A810">
        <v>3161094495</v>
      </c>
      <c r="B810" t="s">
        <v>21944</v>
      </c>
      <c r="C810" t="s">
        <v>21965</v>
      </c>
    </row>
    <row r="811" spans="1:3" x14ac:dyDescent="0.25">
      <c r="A811">
        <v>3161094496</v>
      </c>
      <c r="B811" t="s">
        <v>23868</v>
      </c>
      <c r="C811" t="s">
        <v>21966</v>
      </c>
    </row>
    <row r="812" spans="1:3" x14ac:dyDescent="0.25">
      <c r="A812">
        <v>3161094497</v>
      </c>
      <c r="B812" t="s">
        <v>21967</v>
      </c>
      <c r="C812" t="s">
        <v>21968</v>
      </c>
    </row>
    <row r="813" spans="1:3" x14ac:dyDescent="0.25">
      <c r="A813">
        <v>3161094498</v>
      </c>
      <c r="B813" t="s">
        <v>21969</v>
      </c>
      <c r="C813" t="s">
        <v>21970</v>
      </c>
    </row>
    <row r="814" spans="1:3" x14ac:dyDescent="0.25">
      <c r="A814">
        <v>3161094499</v>
      </c>
      <c r="B814" t="s">
        <v>23869</v>
      </c>
      <c r="C814" t="s">
        <v>21971</v>
      </c>
    </row>
    <row r="815" spans="1:3" x14ac:dyDescent="0.25">
      <c r="A815">
        <v>3161094500</v>
      </c>
      <c r="B815" t="s">
        <v>21972</v>
      </c>
      <c r="C815" t="s">
        <v>21973</v>
      </c>
    </row>
    <row r="816" spans="1:3" x14ac:dyDescent="0.25">
      <c r="A816">
        <v>3161094501</v>
      </c>
      <c r="B816" t="s">
        <v>21974</v>
      </c>
      <c r="C816" t="s">
        <v>20661</v>
      </c>
    </row>
    <row r="817" spans="1:3" x14ac:dyDescent="0.25">
      <c r="A817">
        <v>3161094502</v>
      </c>
      <c r="B817" t="s">
        <v>23870</v>
      </c>
      <c r="C817" t="s">
        <v>20662</v>
      </c>
    </row>
    <row r="818" spans="1:3" x14ac:dyDescent="0.25">
      <c r="A818">
        <v>3161095105</v>
      </c>
      <c r="B818" t="s">
        <v>21976</v>
      </c>
      <c r="C818" t="s">
        <v>21977</v>
      </c>
    </row>
    <row r="819" spans="1:3" x14ac:dyDescent="0.25">
      <c r="A819">
        <v>3161095109</v>
      </c>
      <c r="B819" t="s">
        <v>21978</v>
      </c>
      <c r="C819" t="s">
        <v>21979</v>
      </c>
    </row>
    <row r="820" spans="1:3" x14ac:dyDescent="0.25">
      <c r="A820">
        <v>3161095110</v>
      </c>
      <c r="B820" t="s">
        <v>23871</v>
      </c>
      <c r="C820" t="s">
        <v>20609</v>
      </c>
    </row>
    <row r="821" spans="1:3" x14ac:dyDescent="0.25">
      <c r="A821">
        <v>3161095111</v>
      </c>
      <c r="B821" t="s">
        <v>23872</v>
      </c>
      <c r="C821" t="s">
        <v>20610</v>
      </c>
    </row>
    <row r="822" spans="1:3" x14ac:dyDescent="0.25">
      <c r="A822">
        <v>3161095114</v>
      </c>
      <c r="B822" t="s">
        <v>21980</v>
      </c>
      <c r="C822" t="s">
        <v>21981</v>
      </c>
    </row>
    <row r="823" spans="1:3" x14ac:dyDescent="0.25">
      <c r="A823">
        <v>3161095115</v>
      </c>
      <c r="B823" t="s">
        <v>21982</v>
      </c>
      <c r="C823" t="s">
        <v>20997</v>
      </c>
    </row>
    <row r="824" spans="1:3" x14ac:dyDescent="0.25">
      <c r="A824">
        <v>3161095116</v>
      </c>
      <c r="B824" t="s">
        <v>21983</v>
      </c>
      <c r="C824" t="s">
        <v>21984</v>
      </c>
    </row>
    <row r="825" spans="1:3" x14ac:dyDescent="0.25">
      <c r="A825">
        <v>3161095117</v>
      </c>
      <c r="B825" t="s">
        <v>21985</v>
      </c>
      <c r="C825" t="s">
        <v>21986</v>
      </c>
    </row>
    <row r="826" spans="1:3" x14ac:dyDescent="0.25">
      <c r="A826">
        <v>3161095120</v>
      </c>
      <c r="B826" t="s">
        <v>20542</v>
      </c>
      <c r="C826" t="s">
        <v>20541</v>
      </c>
    </row>
    <row r="827" spans="1:3" x14ac:dyDescent="0.25">
      <c r="A827">
        <v>3161095160</v>
      </c>
      <c r="B827" t="s">
        <v>21852</v>
      </c>
      <c r="C827" t="s">
        <v>21987</v>
      </c>
    </row>
    <row r="828" spans="1:3" x14ac:dyDescent="0.25">
      <c r="A828">
        <v>3161095161</v>
      </c>
      <c r="B828" t="s">
        <v>21702</v>
      </c>
      <c r="C828" t="s">
        <v>21988</v>
      </c>
    </row>
    <row r="829" spans="1:3" x14ac:dyDescent="0.25">
      <c r="A829">
        <v>3161095163</v>
      </c>
      <c r="B829" t="s">
        <v>21840</v>
      </c>
      <c r="C829" t="s">
        <v>21989</v>
      </c>
    </row>
    <row r="830" spans="1:3" x14ac:dyDescent="0.25">
      <c r="A830">
        <v>3161095164</v>
      </c>
      <c r="B830" t="s">
        <v>21842</v>
      </c>
      <c r="C830" t="s">
        <v>21990</v>
      </c>
    </row>
    <row r="831" spans="1:3" x14ac:dyDescent="0.25">
      <c r="A831">
        <v>3161095170</v>
      </c>
      <c r="B831" t="s">
        <v>20591</v>
      </c>
      <c r="C831" t="s">
        <v>20590</v>
      </c>
    </row>
    <row r="832" spans="1:3" x14ac:dyDescent="0.25">
      <c r="A832">
        <v>3161095172</v>
      </c>
      <c r="B832" t="s">
        <v>21852</v>
      </c>
      <c r="C832" t="s">
        <v>20646</v>
      </c>
    </row>
    <row r="833" spans="1:3" x14ac:dyDescent="0.25">
      <c r="A833">
        <v>3161095188</v>
      </c>
      <c r="B833" t="s">
        <v>21840</v>
      </c>
      <c r="C833" t="s">
        <v>21991</v>
      </c>
    </row>
    <row r="834" spans="1:3" x14ac:dyDescent="0.25">
      <c r="A834">
        <v>3161095195</v>
      </c>
      <c r="B834" t="s">
        <v>23873</v>
      </c>
      <c r="C834" t="s">
        <v>20615</v>
      </c>
    </row>
    <row r="835" spans="1:3" x14ac:dyDescent="0.25">
      <c r="A835">
        <v>3161095208</v>
      </c>
      <c r="B835" t="s">
        <v>21787</v>
      </c>
      <c r="C835" t="s">
        <v>21992</v>
      </c>
    </row>
    <row r="836" spans="1:3" x14ac:dyDescent="0.25">
      <c r="A836">
        <v>3161095211</v>
      </c>
      <c r="B836" t="s">
        <v>21874</v>
      </c>
      <c r="C836" t="s">
        <v>21993</v>
      </c>
    </row>
    <row r="837" spans="1:3" x14ac:dyDescent="0.25">
      <c r="A837">
        <v>3161095212</v>
      </c>
      <c r="B837" t="s">
        <v>23247</v>
      </c>
      <c r="C837" t="s">
        <v>21994</v>
      </c>
    </row>
    <row r="838" spans="1:3" x14ac:dyDescent="0.25">
      <c r="A838">
        <v>3161095215</v>
      </c>
      <c r="B838" t="s">
        <v>21840</v>
      </c>
      <c r="C838" t="s">
        <v>21995</v>
      </c>
    </row>
    <row r="839" spans="1:3" x14ac:dyDescent="0.25">
      <c r="A839">
        <v>3161095216</v>
      </c>
      <c r="B839" t="s">
        <v>21842</v>
      </c>
      <c r="C839" t="s">
        <v>21996</v>
      </c>
    </row>
    <row r="840" spans="1:3" x14ac:dyDescent="0.25">
      <c r="A840">
        <v>3161095217</v>
      </c>
      <c r="B840" t="s">
        <v>21839</v>
      </c>
      <c r="C840" t="s">
        <v>21997</v>
      </c>
    </row>
    <row r="841" spans="1:3" x14ac:dyDescent="0.25">
      <c r="A841">
        <v>3161095223</v>
      </c>
      <c r="B841" t="s">
        <v>21631</v>
      </c>
      <c r="C841" t="s">
        <v>21998</v>
      </c>
    </row>
    <row r="842" spans="1:3" x14ac:dyDescent="0.25">
      <c r="A842">
        <v>3161095225</v>
      </c>
      <c r="B842" t="s">
        <v>21874</v>
      </c>
      <c r="C842" t="s">
        <v>21999</v>
      </c>
    </row>
    <row r="843" spans="1:3" x14ac:dyDescent="0.25">
      <c r="A843">
        <v>3161095226</v>
      </c>
      <c r="B843" t="s">
        <v>21631</v>
      </c>
      <c r="C843" t="s">
        <v>22000</v>
      </c>
    </row>
    <row r="844" spans="1:3" x14ac:dyDescent="0.25">
      <c r="A844">
        <v>3161095227</v>
      </c>
      <c r="B844" t="s">
        <v>21631</v>
      </c>
      <c r="C844" t="s">
        <v>22001</v>
      </c>
    </row>
    <row r="845" spans="1:3" x14ac:dyDescent="0.25">
      <c r="A845">
        <v>3161095234</v>
      </c>
      <c r="B845" t="s">
        <v>21877</v>
      </c>
      <c r="C845" t="s">
        <v>22002</v>
      </c>
    </row>
    <row r="846" spans="1:3" x14ac:dyDescent="0.25">
      <c r="A846">
        <v>3161095236</v>
      </c>
      <c r="B846" t="s">
        <v>21874</v>
      </c>
      <c r="C846" t="s">
        <v>22003</v>
      </c>
    </row>
    <row r="847" spans="1:3" x14ac:dyDescent="0.25">
      <c r="A847">
        <v>3161095237</v>
      </c>
      <c r="B847" t="s">
        <v>21631</v>
      </c>
      <c r="C847" t="s">
        <v>22004</v>
      </c>
    </row>
    <row r="848" spans="1:3" x14ac:dyDescent="0.25">
      <c r="A848">
        <v>3161095239</v>
      </c>
      <c r="B848" t="s">
        <v>21840</v>
      </c>
      <c r="C848" t="s">
        <v>22005</v>
      </c>
    </row>
    <row r="849" spans="1:3" x14ac:dyDescent="0.25">
      <c r="A849">
        <v>3161095240</v>
      </c>
      <c r="B849" t="s">
        <v>21842</v>
      </c>
      <c r="C849" t="s">
        <v>22006</v>
      </c>
    </row>
    <row r="850" spans="1:3" x14ac:dyDescent="0.25">
      <c r="A850">
        <v>3161095241</v>
      </c>
      <c r="B850" t="s">
        <v>21839</v>
      </c>
      <c r="C850" t="s">
        <v>22007</v>
      </c>
    </row>
    <row r="851" spans="1:3" x14ac:dyDescent="0.25">
      <c r="A851">
        <v>3161095242</v>
      </c>
      <c r="B851" t="s">
        <v>23874</v>
      </c>
      <c r="C851" t="s">
        <v>22008</v>
      </c>
    </row>
    <row r="852" spans="1:3" x14ac:dyDescent="0.25">
      <c r="A852">
        <v>3161095248</v>
      </c>
      <c r="B852" t="s">
        <v>21631</v>
      </c>
      <c r="C852" t="s">
        <v>22009</v>
      </c>
    </row>
    <row r="853" spans="1:3" x14ac:dyDescent="0.25">
      <c r="A853">
        <v>3161095249</v>
      </c>
      <c r="B853" t="s">
        <v>23875</v>
      </c>
      <c r="C853" t="s">
        <v>22010</v>
      </c>
    </row>
    <row r="854" spans="1:3" x14ac:dyDescent="0.25">
      <c r="A854">
        <v>3161095272</v>
      </c>
      <c r="B854" t="s">
        <v>22011</v>
      </c>
      <c r="C854" t="s">
        <v>22012</v>
      </c>
    </row>
    <row r="855" spans="1:3" x14ac:dyDescent="0.25">
      <c r="A855">
        <v>3161095273</v>
      </c>
      <c r="B855" t="s">
        <v>22011</v>
      </c>
      <c r="C855" t="s">
        <v>22013</v>
      </c>
    </row>
    <row r="856" spans="1:3" x14ac:dyDescent="0.25">
      <c r="A856">
        <v>3161095274</v>
      </c>
      <c r="B856" t="s">
        <v>22011</v>
      </c>
      <c r="C856" t="s">
        <v>22014</v>
      </c>
    </row>
    <row r="857" spans="1:3" x14ac:dyDescent="0.25">
      <c r="A857">
        <v>3161095330</v>
      </c>
      <c r="B857" t="s">
        <v>20645</v>
      </c>
      <c r="C857" t="s">
        <v>20644</v>
      </c>
    </row>
    <row r="858" spans="1:3" x14ac:dyDescent="0.25">
      <c r="A858">
        <v>3161095331</v>
      </c>
      <c r="B858" t="s">
        <v>20643</v>
      </c>
      <c r="C858" t="s">
        <v>20642</v>
      </c>
    </row>
    <row r="859" spans="1:3" x14ac:dyDescent="0.25">
      <c r="A859">
        <v>3161095337</v>
      </c>
      <c r="B859" t="s">
        <v>21236</v>
      </c>
      <c r="C859" t="s">
        <v>21237</v>
      </c>
    </row>
    <row r="860" spans="1:3" x14ac:dyDescent="0.25">
      <c r="A860">
        <v>3161095372</v>
      </c>
      <c r="B860" t="s">
        <v>23876</v>
      </c>
      <c r="C860" t="s">
        <v>22015</v>
      </c>
    </row>
    <row r="861" spans="1:3" x14ac:dyDescent="0.25">
      <c r="A861">
        <v>3161095839</v>
      </c>
      <c r="B861" t="s">
        <v>22016</v>
      </c>
      <c r="C861" t="s">
        <v>22017</v>
      </c>
    </row>
    <row r="862" spans="1:3" x14ac:dyDescent="0.25">
      <c r="A862">
        <v>3161095947</v>
      </c>
      <c r="B862" t="s">
        <v>21842</v>
      </c>
      <c r="C862" t="s">
        <v>22018</v>
      </c>
    </row>
    <row r="863" spans="1:3" x14ac:dyDescent="0.25">
      <c r="A863">
        <v>3161095968</v>
      </c>
      <c r="B863" t="s">
        <v>23114</v>
      </c>
      <c r="C863" t="s">
        <v>22019</v>
      </c>
    </row>
    <row r="864" spans="1:3" x14ac:dyDescent="0.25">
      <c r="A864">
        <v>3161097859</v>
      </c>
      <c r="B864" t="s">
        <v>20614</v>
      </c>
      <c r="C864" t="s">
        <v>20613</v>
      </c>
    </row>
    <row r="865" spans="1:3" x14ac:dyDescent="0.25">
      <c r="A865">
        <v>3161097863</v>
      </c>
      <c r="B865" t="s">
        <v>20618</v>
      </c>
      <c r="C865" t="s">
        <v>20617</v>
      </c>
    </row>
    <row r="866" spans="1:3" x14ac:dyDescent="0.25">
      <c r="A866">
        <v>3161098516</v>
      </c>
      <c r="B866" t="s">
        <v>20941</v>
      </c>
      <c r="C866" t="s">
        <v>20940</v>
      </c>
    </row>
    <row r="867" spans="1:3" x14ac:dyDescent="0.25">
      <c r="A867">
        <v>3161098599</v>
      </c>
      <c r="B867" t="s">
        <v>20521</v>
      </c>
      <c r="C867" t="s">
        <v>20520</v>
      </c>
    </row>
    <row r="868" spans="1:3" x14ac:dyDescent="0.25">
      <c r="A868">
        <v>3161098600</v>
      </c>
      <c r="B868" t="s">
        <v>20523</v>
      </c>
      <c r="C868" t="s">
        <v>20522</v>
      </c>
    </row>
    <row r="869" spans="1:3" x14ac:dyDescent="0.25">
      <c r="A869">
        <v>3161098601</v>
      </c>
      <c r="B869" t="s">
        <v>20519</v>
      </c>
      <c r="C869" t="s">
        <v>20518</v>
      </c>
    </row>
    <row r="870" spans="1:3" x14ac:dyDescent="0.25">
      <c r="A870">
        <v>3161099032</v>
      </c>
      <c r="B870" t="s">
        <v>20667</v>
      </c>
      <c r="C870" t="s">
        <v>20666</v>
      </c>
    </row>
    <row r="871" spans="1:3" x14ac:dyDescent="0.25">
      <c r="A871">
        <v>3161099622</v>
      </c>
      <c r="B871" t="s">
        <v>22020</v>
      </c>
      <c r="C871" t="s">
        <v>22021</v>
      </c>
    </row>
    <row r="872" spans="1:3" x14ac:dyDescent="0.25">
      <c r="A872">
        <v>3161099636</v>
      </c>
      <c r="B872" t="s">
        <v>22022</v>
      </c>
      <c r="C872" t="s">
        <v>22023</v>
      </c>
    </row>
    <row r="873" spans="1:3" x14ac:dyDescent="0.25">
      <c r="A873">
        <v>3161099637</v>
      </c>
      <c r="B873" t="s">
        <v>21576</v>
      </c>
      <c r="C873" t="s">
        <v>22024</v>
      </c>
    </row>
    <row r="874" spans="1:3" x14ac:dyDescent="0.25">
      <c r="A874">
        <v>3161099655</v>
      </c>
      <c r="B874" t="s">
        <v>22025</v>
      </c>
      <c r="C874" t="s">
        <v>22026</v>
      </c>
    </row>
    <row r="875" spans="1:3" x14ac:dyDescent="0.25">
      <c r="A875">
        <v>3161099659</v>
      </c>
      <c r="B875" t="s">
        <v>22027</v>
      </c>
      <c r="C875" t="s">
        <v>22028</v>
      </c>
    </row>
    <row r="876" spans="1:3" x14ac:dyDescent="0.25">
      <c r="A876">
        <v>3161099669</v>
      </c>
      <c r="B876" t="s">
        <v>20632</v>
      </c>
      <c r="C876" t="s">
        <v>20631</v>
      </c>
    </row>
    <row r="877" spans="1:3" x14ac:dyDescent="0.25">
      <c r="A877">
        <v>3161099734</v>
      </c>
      <c r="B877" t="s">
        <v>21310</v>
      </c>
      <c r="C877" t="s">
        <v>21311</v>
      </c>
    </row>
    <row r="878" spans="1:3" x14ac:dyDescent="0.25">
      <c r="A878">
        <v>3161099735</v>
      </c>
      <c r="B878" t="s">
        <v>21312</v>
      </c>
      <c r="C878" t="s">
        <v>21313</v>
      </c>
    </row>
    <row r="879" spans="1:3" x14ac:dyDescent="0.25">
      <c r="A879">
        <v>3161099736</v>
      </c>
      <c r="B879" t="s">
        <v>21314</v>
      </c>
      <c r="C879" t="s">
        <v>21315</v>
      </c>
    </row>
    <row r="880" spans="1:3" x14ac:dyDescent="0.25">
      <c r="A880">
        <v>3161099737</v>
      </c>
      <c r="B880" t="s">
        <v>21493</v>
      </c>
      <c r="C880" t="s">
        <v>21316</v>
      </c>
    </row>
    <row r="881" spans="1:3" x14ac:dyDescent="0.25">
      <c r="A881">
        <v>3161099738</v>
      </c>
      <c r="B881" t="s">
        <v>21317</v>
      </c>
      <c r="C881" t="s">
        <v>21318</v>
      </c>
    </row>
    <row r="882" spans="1:3" x14ac:dyDescent="0.25">
      <c r="A882">
        <v>3161099849</v>
      </c>
      <c r="B882" t="s">
        <v>22668</v>
      </c>
      <c r="C882" t="s">
        <v>22669</v>
      </c>
    </row>
    <row r="883" spans="1:3" x14ac:dyDescent="0.25">
      <c r="A883">
        <v>3161099850</v>
      </c>
      <c r="B883" t="s">
        <v>22670</v>
      </c>
      <c r="C883" t="s">
        <v>22671</v>
      </c>
    </row>
    <row r="884" spans="1:3" x14ac:dyDescent="0.25">
      <c r="A884">
        <v>3161099851</v>
      </c>
      <c r="B884" t="s">
        <v>24091</v>
      </c>
      <c r="C884" t="s">
        <v>22672</v>
      </c>
    </row>
    <row r="885" spans="1:3" x14ac:dyDescent="0.25">
      <c r="A885">
        <v>3161099904</v>
      </c>
      <c r="B885" t="s">
        <v>22969</v>
      </c>
      <c r="C885" t="s">
        <v>22673</v>
      </c>
    </row>
    <row r="886" spans="1:3" x14ac:dyDescent="0.25">
      <c r="A886">
        <v>3161099905</v>
      </c>
      <c r="B886" t="s">
        <v>22674</v>
      </c>
      <c r="C886" t="s">
        <v>22675</v>
      </c>
    </row>
    <row r="887" spans="1:3" x14ac:dyDescent="0.25">
      <c r="A887">
        <v>3161099974</v>
      </c>
      <c r="B887" t="s">
        <v>6260</v>
      </c>
      <c r="C887" t="s">
        <v>22029</v>
      </c>
    </row>
    <row r="888" spans="1:3" x14ac:dyDescent="0.25">
      <c r="A888">
        <v>3201019615</v>
      </c>
      <c r="B888" t="s">
        <v>22030</v>
      </c>
      <c r="C888" t="s">
        <v>22031</v>
      </c>
    </row>
    <row r="889" spans="1:3" x14ac:dyDescent="0.25">
      <c r="A889">
        <v>3301023945</v>
      </c>
      <c r="B889" t="s">
        <v>23877</v>
      </c>
      <c r="C889" t="s">
        <v>23878</v>
      </c>
    </row>
    <row r="890" spans="1:3" x14ac:dyDescent="0.25">
      <c r="A890">
        <v>3301069930</v>
      </c>
      <c r="B890" t="s">
        <v>22970</v>
      </c>
      <c r="C890" t="s">
        <v>22971</v>
      </c>
    </row>
    <row r="891" spans="1:3" x14ac:dyDescent="0.25">
      <c r="A891">
        <v>3301071152</v>
      </c>
      <c r="B891" t="s">
        <v>23248</v>
      </c>
      <c r="C891" t="s">
        <v>23249</v>
      </c>
    </row>
    <row r="892" spans="1:3" x14ac:dyDescent="0.25">
      <c r="A892">
        <v>3301071313</v>
      </c>
      <c r="B892" t="s">
        <v>24092</v>
      </c>
      <c r="C892" t="s">
        <v>24093</v>
      </c>
    </row>
    <row r="893" spans="1:3" x14ac:dyDescent="0.25">
      <c r="A893">
        <v>3301071384</v>
      </c>
      <c r="B893" t="s">
        <v>24390</v>
      </c>
      <c r="C893" t="s">
        <v>24391</v>
      </c>
    </row>
    <row r="894" spans="1:3" x14ac:dyDescent="0.25">
      <c r="A894">
        <v>3301071385</v>
      </c>
      <c r="B894" t="s">
        <v>25124</v>
      </c>
      <c r="C894" t="s">
        <v>25125</v>
      </c>
    </row>
    <row r="895" spans="1:3" x14ac:dyDescent="0.25">
      <c r="A895">
        <v>3301071387</v>
      </c>
      <c r="B895" t="s">
        <v>25126</v>
      </c>
      <c r="C895" t="s">
        <v>25127</v>
      </c>
    </row>
    <row r="896" spans="1:3" x14ac:dyDescent="0.25">
      <c r="A896">
        <v>3301071388</v>
      </c>
      <c r="B896" t="s">
        <v>25128</v>
      </c>
      <c r="C896" t="s">
        <v>25129</v>
      </c>
    </row>
    <row r="897" spans="1:3" x14ac:dyDescent="0.25">
      <c r="A897">
        <v>3301071389</v>
      </c>
      <c r="B897" t="s">
        <v>25130</v>
      </c>
      <c r="C897" t="s">
        <v>25131</v>
      </c>
    </row>
    <row r="898" spans="1:3" x14ac:dyDescent="0.25">
      <c r="A898">
        <v>3301071392</v>
      </c>
      <c r="B898" t="s">
        <v>25132</v>
      </c>
      <c r="C898" t="s">
        <v>25133</v>
      </c>
    </row>
    <row r="899" spans="1:3" x14ac:dyDescent="0.25">
      <c r="A899">
        <v>3301071393</v>
      </c>
      <c r="B899" t="s">
        <v>25134</v>
      </c>
      <c r="C899" t="s">
        <v>25135</v>
      </c>
    </row>
    <row r="900" spans="1:3" x14ac:dyDescent="0.25">
      <c r="A900">
        <v>3301071395</v>
      </c>
      <c r="B900" t="s">
        <v>25136</v>
      </c>
      <c r="C900" t="s">
        <v>25137</v>
      </c>
    </row>
    <row r="901" spans="1:3" x14ac:dyDescent="0.25">
      <c r="A901">
        <v>3301071397</v>
      </c>
      <c r="B901" t="s">
        <v>25138</v>
      </c>
      <c r="C901" t="s">
        <v>25139</v>
      </c>
    </row>
    <row r="902" spans="1:3" x14ac:dyDescent="0.25">
      <c r="A902">
        <v>3301071399</v>
      </c>
      <c r="B902" t="s">
        <v>25140</v>
      </c>
      <c r="C902" t="s">
        <v>25141</v>
      </c>
    </row>
    <row r="903" spans="1:3" x14ac:dyDescent="0.25">
      <c r="A903">
        <v>3301071400</v>
      </c>
      <c r="B903" t="s">
        <v>25142</v>
      </c>
      <c r="C903" t="s">
        <v>25143</v>
      </c>
    </row>
    <row r="904" spans="1:3" x14ac:dyDescent="0.25">
      <c r="A904">
        <v>3301071401</v>
      </c>
      <c r="B904" t="s">
        <v>25144</v>
      </c>
      <c r="C904" t="s">
        <v>25145</v>
      </c>
    </row>
    <row r="905" spans="1:3" x14ac:dyDescent="0.25">
      <c r="A905">
        <v>3301071402</v>
      </c>
      <c r="B905" t="s">
        <v>25146</v>
      </c>
      <c r="C905" t="s">
        <v>25147</v>
      </c>
    </row>
    <row r="906" spans="1:3" x14ac:dyDescent="0.25">
      <c r="A906">
        <v>3301071404</v>
      </c>
      <c r="B906" t="s">
        <v>25148</v>
      </c>
      <c r="C906" t="s">
        <v>25149</v>
      </c>
    </row>
    <row r="907" spans="1:3" x14ac:dyDescent="0.25">
      <c r="A907">
        <v>3301071405</v>
      </c>
      <c r="B907" t="s">
        <v>25150</v>
      </c>
      <c r="C907" t="s">
        <v>25151</v>
      </c>
    </row>
    <row r="908" spans="1:3" x14ac:dyDescent="0.25">
      <c r="A908">
        <v>3301072154</v>
      </c>
      <c r="B908" t="s">
        <v>22032</v>
      </c>
      <c r="C908" t="s">
        <v>22033</v>
      </c>
    </row>
    <row r="909" spans="1:3" x14ac:dyDescent="0.25">
      <c r="A909">
        <v>3301072173</v>
      </c>
      <c r="B909" t="s">
        <v>22034</v>
      </c>
      <c r="C909" t="s">
        <v>22035</v>
      </c>
    </row>
    <row r="910" spans="1:3" x14ac:dyDescent="0.25">
      <c r="A910">
        <v>3301072174</v>
      </c>
      <c r="B910" t="s">
        <v>22036</v>
      </c>
      <c r="C910" t="s">
        <v>22037</v>
      </c>
    </row>
    <row r="911" spans="1:3" x14ac:dyDescent="0.25">
      <c r="A911">
        <v>3301072175</v>
      </c>
      <c r="B911" t="s">
        <v>22038</v>
      </c>
      <c r="C911" t="s">
        <v>22039</v>
      </c>
    </row>
    <row r="912" spans="1:3" x14ac:dyDescent="0.25">
      <c r="A912">
        <v>3301072176</v>
      </c>
      <c r="B912" t="s">
        <v>22040</v>
      </c>
      <c r="C912" t="s">
        <v>22041</v>
      </c>
    </row>
    <row r="913" spans="1:3" x14ac:dyDescent="0.25">
      <c r="A913">
        <v>3301072177</v>
      </c>
      <c r="B913" t="s">
        <v>22042</v>
      </c>
      <c r="C913" t="s">
        <v>22043</v>
      </c>
    </row>
    <row r="914" spans="1:3" x14ac:dyDescent="0.25">
      <c r="A914">
        <v>3301072178</v>
      </c>
      <c r="B914" t="s">
        <v>22044</v>
      </c>
      <c r="C914" t="s">
        <v>22045</v>
      </c>
    </row>
    <row r="915" spans="1:3" x14ac:dyDescent="0.25">
      <c r="A915">
        <v>3301072179</v>
      </c>
      <c r="B915" t="s">
        <v>22046</v>
      </c>
      <c r="C915" t="s">
        <v>22047</v>
      </c>
    </row>
    <row r="916" spans="1:3" x14ac:dyDescent="0.25">
      <c r="A916">
        <v>3301072181</v>
      </c>
      <c r="B916" t="s">
        <v>22048</v>
      </c>
      <c r="C916" t="s">
        <v>22049</v>
      </c>
    </row>
    <row r="917" spans="1:3" x14ac:dyDescent="0.25">
      <c r="A917">
        <v>3301072182</v>
      </c>
      <c r="B917" t="s">
        <v>22050</v>
      </c>
      <c r="C917" t="s">
        <v>22051</v>
      </c>
    </row>
    <row r="918" spans="1:3" x14ac:dyDescent="0.25">
      <c r="A918">
        <v>3301072183</v>
      </c>
      <c r="B918" t="s">
        <v>22052</v>
      </c>
      <c r="C918" t="s">
        <v>22053</v>
      </c>
    </row>
    <row r="919" spans="1:3" x14ac:dyDescent="0.25">
      <c r="A919">
        <v>3301072184</v>
      </c>
      <c r="B919" t="s">
        <v>22054</v>
      </c>
      <c r="C919" t="s">
        <v>22055</v>
      </c>
    </row>
    <row r="920" spans="1:3" x14ac:dyDescent="0.25">
      <c r="A920">
        <v>3301072185</v>
      </c>
      <c r="B920" t="s">
        <v>22056</v>
      </c>
      <c r="C920" t="s">
        <v>22057</v>
      </c>
    </row>
    <row r="921" spans="1:3" x14ac:dyDescent="0.25">
      <c r="A921">
        <v>3301072186</v>
      </c>
      <c r="B921" t="s">
        <v>22058</v>
      </c>
      <c r="C921" t="s">
        <v>22059</v>
      </c>
    </row>
    <row r="922" spans="1:3" x14ac:dyDescent="0.25">
      <c r="A922">
        <v>3301072187</v>
      </c>
      <c r="B922" t="s">
        <v>22060</v>
      </c>
      <c r="C922" t="s">
        <v>22061</v>
      </c>
    </row>
    <row r="923" spans="1:3" x14ac:dyDescent="0.25">
      <c r="A923">
        <v>3301072188</v>
      </c>
      <c r="B923" t="s">
        <v>22062</v>
      </c>
      <c r="C923" t="s">
        <v>22063</v>
      </c>
    </row>
    <row r="924" spans="1:3" x14ac:dyDescent="0.25">
      <c r="A924">
        <v>3301072189</v>
      </c>
      <c r="B924" t="s">
        <v>22064</v>
      </c>
      <c r="C924" t="s">
        <v>22065</v>
      </c>
    </row>
    <row r="925" spans="1:3" x14ac:dyDescent="0.25">
      <c r="A925">
        <v>3301072190</v>
      </c>
      <c r="B925" t="s">
        <v>22066</v>
      </c>
      <c r="C925" t="s">
        <v>22067</v>
      </c>
    </row>
    <row r="926" spans="1:3" x14ac:dyDescent="0.25">
      <c r="A926">
        <v>3301072191</v>
      </c>
      <c r="B926" t="s">
        <v>22068</v>
      </c>
      <c r="C926" t="s">
        <v>22069</v>
      </c>
    </row>
    <row r="927" spans="1:3" x14ac:dyDescent="0.25">
      <c r="A927">
        <v>3301072192</v>
      </c>
      <c r="B927" t="s">
        <v>22070</v>
      </c>
      <c r="C927" t="s">
        <v>22071</v>
      </c>
    </row>
    <row r="928" spans="1:3" x14ac:dyDescent="0.25">
      <c r="A928">
        <v>3301072193</v>
      </c>
      <c r="B928" t="s">
        <v>22072</v>
      </c>
      <c r="C928" t="s">
        <v>22073</v>
      </c>
    </row>
    <row r="929" spans="1:3" x14ac:dyDescent="0.25">
      <c r="A929">
        <v>3301072194</v>
      </c>
      <c r="B929" t="s">
        <v>22074</v>
      </c>
      <c r="C929" t="s">
        <v>22075</v>
      </c>
    </row>
    <row r="930" spans="1:3" x14ac:dyDescent="0.25">
      <c r="A930">
        <v>3301072195</v>
      </c>
      <c r="B930" t="s">
        <v>22076</v>
      </c>
      <c r="C930" t="s">
        <v>22077</v>
      </c>
    </row>
    <row r="931" spans="1:3" x14ac:dyDescent="0.25">
      <c r="A931">
        <v>3301072196</v>
      </c>
      <c r="B931" t="s">
        <v>22078</v>
      </c>
      <c r="C931" t="s">
        <v>22079</v>
      </c>
    </row>
    <row r="932" spans="1:3" x14ac:dyDescent="0.25">
      <c r="A932">
        <v>3301072210</v>
      </c>
      <c r="B932" t="s">
        <v>6264</v>
      </c>
      <c r="C932" t="s">
        <v>22080</v>
      </c>
    </row>
    <row r="933" spans="1:3" x14ac:dyDescent="0.25">
      <c r="A933">
        <v>3301072218</v>
      </c>
      <c r="B933" t="s">
        <v>22081</v>
      </c>
      <c r="C933" t="s">
        <v>21048</v>
      </c>
    </row>
    <row r="934" spans="1:3" x14ac:dyDescent="0.25">
      <c r="A934">
        <v>3301072338</v>
      </c>
      <c r="B934" t="s">
        <v>20571</v>
      </c>
      <c r="C934" t="s">
        <v>20573</v>
      </c>
    </row>
    <row r="935" spans="1:3" x14ac:dyDescent="0.25">
      <c r="A935">
        <v>3301072339</v>
      </c>
      <c r="B935" t="s">
        <v>20571</v>
      </c>
      <c r="C935" t="s">
        <v>20572</v>
      </c>
    </row>
    <row r="936" spans="1:3" x14ac:dyDescent="0.25">
      <c r="A936">
        <v>3301072340</v>
      </c>
      <c r="B936" t="s">
        <v>20571</v>
      </c>
      <c r="C936" t="s">
        <v>20570</v>
      </c>
    </row>
    <row r="937" spans="1:3" x14ac:dyDescent="0.25">
      <c r="A937">
        <v>3301072341</v>
      </c>
      <c r="B937" t="s">
        <v>20587</v>
      </c>
      <c r="C937" t="s">
        <v>20589</v>
      </c>
    </row>
    <row r="938" spans="1:3" x14ac:dyDescent="0.25">
      <c r="A938">
        <v>3301072342</v>
      </c>
      <c r="B938" t="s">
        <v>20587</v>
      </c>
      <c r="C938" t="s">
        <v>20588</v>
      </c>
    </row>
    <row r="939" spans="1:3" x14ac:dyDescent="0.25">
      <c r="A939">
        <v>3301072343</v>
      </c>
      <c r="B939" t="s">
        <v>20587</v>
      </c>
      <c r="C939" t="s">
        <v>20586</v>
      </c>
    </row>
    <row r="940" spans="1:3" x14ac:dyDescent="0.25">
      <c r="A940">
        <v>3301072344</v>
      </c>
      <c r="B940" t="s">
        <v>20583</v>
      </c>
      <c r="C940" t="s">
        <v>20585</v>
      </c>
    </row>
    <row r="941" spans="1:3" x14ac:dyDescent="0.25">
      <c r="A941">
        <v>3301072345</v>
      </c>
      <c r="B941" t="s">
        <v>20583</v>
      </c>
      <c r="C941" t="s">
        <v>20584</v>
      </c>
    </row>
    <row r="942" spans="1:3" x14ac:dyDescent="0.25">
      <c r="A942">
        <v>3301072346</v>
      </c>
      <c r="B942" t="s">
        <v>20583</v>
      </c>
      <c r="C942" t="s">
        <v>20582</v>
      </c>
    </row>
    <row r="943" spans="1:3" x14ac:dyDescent="0.25">
      <c r="A943">
        <v>3301072347</v>
      </c>
      <c r="B943" t="s">
        <v>22082</v>
      </c>
      <c r="C943" t="s">
        <v>22083</v>
      </c>
    </row>
    <row r="944" spans="1:3" x14ac:dyDescent="0.25">
      <c r="A944">
        <v>3301072348</v>
      </c>
      <c r="B944" t="s">
        <v>22082</v>
      </c>
      <c r="C944" t="s">
        <v>22084</v>
      </c>
    </row>
    <row r="945" spans="1:3" x14ac:dyDescent="0.25">
      <c r="A945">
        <v>3301072349</v>
      </c>
      <c r="B945" t="s">
        <v>22082</v>
      </c>
      <c r="C945" t="s">
        <v>22085</v>
      </c>
    </row>
    <row r="946" spans="1:3" x14ac:dyDescent="0.25">
      <c r="A946">
        <v>3301072350</v>
      </c>
      <c r="B946" t="s">
        <v>22082</v>
      </c>
      <c r="C946" t="s">
        <v>22086</v>
      </c>
    </row>
    <row r="947" spans="1:3" x14ac:dyDescent="0.25">
      <c r="A947">
        <v>3301072351</v>
      </c>
      <c r="B947" t="s">
        <v>22082</v>
      </c>
      <c r="C947" t="s">
        <v>22087</v>
      </c>
    </row>
    <row r="948" spans="1:3" x14ac:dyDescent="0.25">
      <c r="A948">
        <v>3301072352</v>
      </c>
      <c r="B948" t="s">
        <v>22082</v>
      </c>
      <c r="C948" t="s">
        <v>22088</v>
      </c>
    </row>
    <row r="949" spans="1:3" x14ac:dyDescent="0.25">
      <c r="A949">
        <v>3301072353</v>
      </c>
      <c r="B949" t="s">
        <v>22082</v>
      </c>
      <c r="C949" t="s">
        <v>22089</v>
      </c>
    </row>
    <row r="950" spans="1:3" x14ac:dyDescent="0.25">
      <c r="A950">
        <v>3301072354</v>
      </c>
      <c r="B950" t="s">
        <v>22082</v>
      </c>
      <c r="C950" t="s">
        <v>22090</v>
      </c>
    </row>
    <row r="951" spans="1:3" x14ac:dyDescent="0.25">
      <c r="A951">
        <v>3301072355</v>
      </c>
      <c r="B951" t="s">
        <v>22082</v>
      </c>
      <c r="C951" t="s">
        <v>22091</v>
      </c>
    </row>
    <row r="952" spans="1:3" x14ac:dyDescent="0.25">
      <c r="A952">
        <v>3301072356</v>
      </c>
      <c r="B952" t="s">
        <v>22092</v>
      </c>
      <c r="C952" t="s">
        <v>22093</v>
      </c>
    </row>
    <row r="953" spans="1:3" x14ac:dyDescent="0.25">
      <c r="A953">
        <v>3301072357</v>
      </c>
      <c r="B953" t="s">
        <v>22092</v>
      </c>
      <c r="C953" t="s">
        <v>22094</v>
      </c>
    </row>
    <row r="954" spans="1:3" x14ac:dyDescent="0.25">
      <c r="A954">
        <v>3301072358</v>
      </c>
      <c r="B954" t="s">
        <v>22092</v>
      </c>
      <c r="C954" t="s">
        <v>22095</v>
      </c>
    </row>
    <row r="955" spans="1:3" x14ac:dyDescent="0.25">
      <c r="A955">
        <v>3301072426</v>
      </c>
      <c r="B955" t="s">
        <v>22096</v>
      </c>
      <c r="C955" t="s">
        <v>22097</v>
      </c>
    </row>
    <row r="956" spans="1:3" x14ac:dyDescent="0.25">
      <c r="A956">
        <v>3301072443</v>
      </c>
      <c r="B956" t="s">
        <v>22098</v>
      </c>
      <c r="C956" t="s">
        <v>22099</v>
      </c>
    </row>
    <row r="957" spans="1:3" x14ac:dyDescent="0.25">
      <c r="A957">
        <v>3301072444</v>
      </c>
      <c r="B957" t="s">
        <v>22098</v>
      </c>
      <c r="C957" t="s">
        <v>22100</v>
      </c>
    </row>
    <row r="958" spans="1:3" x14ac:dyDescent="0.25">
      <c r="A958">
        <v>3301072445</v>
      </c>
      <c r="B958" t="s">
        <v>22098</v>
      </c>
      <c r="C958" t="s">
        <v>22101</v>
      </c>
    </row>
    <row r="959" spans="1:3" x14ac:dyDescent="0.25">
      <c r="A959">
        <v>3301072701</v>
      </c>
      <c r="B959" t="s">
        <v>20907</v>
      </c>
      <c r="C959" t="s">
        <v>20906</v>
      </c>
    </row>
    <row r="960" spans="1:3" x14ac:dyDescent="0.25">
      <c r="A960">
        <v>3301072780</v>
      </c>
      <c r="B960" t="s">
        <v>22102</v>
      </c>
      <c r="C960" t="s">
        <v>22103</v>
      </c>
    </row>
    <row r="961" spans="1:3" x14ac:dyDescent="0.25">
      <c r="A961">
        <v>3301072781</v>
      </c>
      <c r="B961" t="s">
        <v>22104</v>
      </c>
      <c r="C961" t="s">
        <v>22105</v>
      </c>
    </row>
    <row r="962" spans="1:3" x14ac:dyDescent="0.25">
      <c r="A962">
        <v>3301072803</v>
      </c>
      <c r="B962" t="s">
        <v>22098</v>
      </c>
      <c r="C962" t="s">
        <v>22106</v>
      </c>
    </row>
    <row r="963" spans="1:3" x14ac:dyDescent="0.25">
      <c r="A963">
        <v>3301072804</v>
      </c>
      <c r="B963" t="s">
        <v>22098</v>
      </c>
      <c r="C963" t="s">
        <v>22107</v>
      </c>
    </row>
    <row r="964" spans="1:3" x14ac:dyDescent="0.25">
      <c r="A964">
        <v>3301072805</v>
      </c>
      <c r="B964" t="s">
        <v>22098</v>
      </c>
      <c r="C964" t="s">
        <v>22108</v>
      </c>
    </row>
    <row r="965" spans="1:3" x14ac:dyDescent="0.25">
      <c r="A965">
        <v>3301072957</v>
      </c>
      <c r="B965" t="s">
        <v>22109</v>
      </c>
      <c r="C965" t="s">
        <v>22110</v>
      </c>
    </row>
    <row r="966" spans="1:3" x14ac:dyDescent="0.25">
      <c r="A966">
        <v>3301072985</v>
      </c>
      <c r="B966" t="s">
        <v>22111</v>
      </c>
      <c r="C966" t="s">
        <v>22112</v>
      </c>
    </row>
    <row r="967" spans="1:3" x14ac:dyDescent="0.25">
      <c r="A967">
        <v>3301072986</v>
      </c>
      <c r="B967" t="s">
        <v>22113</v>
      </c>
      <c r="C967" t="s">
        <v>22114</v>
      </c>
    </row>
    <row r="968" spans="1:3" x14ac:dyDescent="0.25">
      <c r="A968">
        <v>3301073139</v>
      </c>
      <c r="B968" t="s">
        <v>25152</v>
      </c>
      <c r="C968" t="s">
        <v>25153</v>
      </c>
    </row>
    <row r="969" spans="1:3" x14ac:dyDescent="0.25">
      <c r="A969">
        <v>3301074372</v>
      </c>
      <c r="B969" t="s">
        <v>24525</v>
      </c>
      <c r="C969" t="s">
        <v>25154</v>
      </c>
    </row>
    <row r="970" spans="1:3" x14ac:dyDescent="0.25">
      <c r="A970">
        <v>3301074373</v>
      </c>
      <c r="B970" t="s">
        <v>24523</v>
      </c>
      <c r="C970" t="s">
        <v>25155</v>
      </c>
    </row>
    <row r="971" spans="1:3" x14ac:dyDescent="0.25">
      <c r="A971">
        <v>3301075164</v>
      </c>
      <c r="B971" t="s">
        <v>20575</v>
      </c>
      <c r="C971" t="s">
        <v>20577</v>
      </c>
    </row>
    <row r="972" spans="1:3" x14ac:dyDescent="0.25">
      <c r="A972">
        <v>3301075165</v>
      </c>
      <c r="B972" t="s">
        <v>20575</v>
      </c>
      <c r="C972" t="s">
        <v>20576</v>
      </c>
    </row>
    <row r="973" spans="1:3" x14ac:dyDescent="0.25">
      <c r="A973">
        <v>3301075166</v>
      </c>
      <c r="B973" t="s">
        <v>20575</v>
      </c>
      <c r="C973" t="s">
        <v>20574</v>
      </c>
    </row>
    <row r="974" spans="1:3" x14ac:dyDescent="0.25">
      <c r="A974">
        <v>3301075190</v>
      </c>
      <c r="B974" t="s">
        <v>20579</v>
      </c>
      <c r="C974" t="s">
        <v>20581</v>
      </c>
    </row>
    <row r="975" spans="1:3" x14ac:dyDescent="0.25">
      <c r="A975">
        <v>3301075191</v>
      </c>
      <c r="B975" t="s">
        <v>20579</v>
      </c>
      <c r="C975" t="s">
        <v>20580</v>
      </c>
    </row>
    <row r="976" spans="1:3" x14ac:dyDescent="0.25">
      <c r="A976">
        <v>3301075192</v>
      </c>
      <c r="B976" t="s">
        <v>20579</v>
      </c>
      <c r="C976" t="s">
        <v>20578</v>
      </c>
    </row>
    <row r="977" spans="1:3" x14ac:dyDescent="0.25">
      <c r="A977">
        <v>3301075218</v>
      </c>
      <c r="B977" t="s">
        <v>22092</v>
      </c>
      <c r="C977" t="s">
        <v>22115</v>
      </c>
    </row>
    <row r="978" spans="1:3" x14ac:dyDescent="0.25">
      <c r="A978">
        <v>3301075219</v>
      </c>
      <c r="B978" t="s">
        <v>22092</v>
      </c>
      <c r="C978" t="s">
        <v>22116</v>
      </c>
    </row>
    <row r="979" spans="1:3" x14ac:dyDescent="0.25">
      <c r="A979">
        <v>3301075220</v>
      </c>
      <c r="B979" t="s">
        <v>22092</v>
      </c>
      <c r="C979" t="s">
        <v>22117</v>
      </c>
    </row>
    <row r="980" spans="1:3" x14ac:dyDescent="0.25">
      <c r="A980">
        <v>3301075229</v>
      </c>
      <c r="B980" t="s">
        <v>22092</v>
      </c>
      <c r="C980" t="s">
        <v>22118</v>
      </c>
    </row>
    <row r="981" spans="1:3" x14ac:dyDescent="0.25">
      <c r="A981">
        <v>3301075230</v>
      </c>
      <c r="B981" t="s">
        <v>22092</v>
      </c>
      <c r="C981" t="s">
        <v>22119</v>
      </c>
    </row>
    <row r="982" spans="1:3" x14ac:dyDescent="0.25">
      <c r="A982">
        <v>3301075231</v>
      </c>
      <c r="B982" t="s">
        <v>22092</v>
      </c>
      <c r="C982" t="s">
        <v>22120</v>
      </c>
    </row>
    <row r="983" spans="1:3" x14ac:dyDescent="0.25">
      <c r="A983">
        <v>3301075243</v>
      </c>
      <c r="B983" t="s">
        <v>22092</v>
      </c>
      <c r="C983" t="s">
        <v>22121</v>
      </c>
    </row>
    <row r="984" spans="1:3" x14ac:dyDescent="0.25">
      <c r="A984">
        <v>3301075244</v>
      </c>
      <c r="B984" t="s">
        <v>22092</v>
      </c>
      <c r="C984" t="s">
        <v>22122</v>
      </c>
    </row>
    <row r="985" spans="1:3" x14ac:dyDescent="0.25">
      <c r="A985">
        <v>3301075245</v>
      </c>
      <c r="B985" t="s">
        <v>22092</v>
      </c>
      <c r="C985" t="s">
        <v>22123</v>
      </c>
    </row>
    <row r="986" spans="1:3" x14ac:dyDescent="0.25">
      <c r="A986">
        <v>3301075269</v>
      </c>
      <c r="B986" t="s">
        <v>22124</v>
      </c>
      <c r="C986" t="s">
        <v>22125</v>
      </c>
    </row>
    <row r="987" spans="1:3" x14ac:dyDescent="0.25">
      <c r="A987">
        <v>3301075270</v>
      </c>
      <c r="B987" t="s">
        <v>22126</v>
      </c>
      <c r="C987" t="s">
        <v>22127</v>
      </c>
    </row>
    <row r="988" spans="1:3" x14ac:dyDescent="0.25">
      <c r="A988">
        <v>3301075741</v>
      </c>
      <c r="B988" t="s">
        <v>23879</v>
      </c>
      <c r="C988" t="s">
        <v>23880</v>
      </c>
    </row>
    <row r="989" spans="1:3" x14ac:dyDescent="0.25">
      <c r="A989">
        <v>3301075765</v>
      </c>
      <c r="B989" t="s">
        <v>23115</v>
      </c>
      <c r="C989" t="s">
        <v>22128</v>
      </c>
    </row>
    <row r="990" spans="1:3" x14ac:dyDescent="0.25">
      <c r="A990">
        <v>3301075767</v>
      </c>
      <c r="B990" t="s">
        <v>20602</v>
      </c>
      <c r="C990" t="s">
        <v>20601</v>
      </c>
    </row>
    <row r="991" spans="1:3" x14ac:dyDescent="0.25">
      <c r="A991">
        <v>3301076156</v>
      </c>
      <c r="B991" t="s">
        <v>25156</v>
      </c>
      <c r="C991" t="s">
        <v>25157</v>
      </c>
    </row>
    <row r="992" spans="1:3" x14ac:dyDescent="0.25">
      <c r="A992">
        <v>3301076329</v>
      </c>
      <c r="B992" t="s">
        <v>20919</v>
      </c>
      <c r="C992" t="s">
        <v>20918</v>
      </c>
    </row>
    <row r="993" spans="1:3" x14ac:dyDescent="0.25">
      <c r="A993">
        <v>3301076808</v>
      </c>
      <c r="B993" t="s">
        <v>20931</v>
      </c>
      <c r="C993" t="s">
        <v>20930</v>
      </c>
    </row>
    <row r="994" spans="1:3" x14ac:dyDescent="0.25">
      <c r="A994">
        <v>3301078559</v>
      </c>
      <c r="B994" t="s">
        <v>20929</v>
      </c>
      <c r="C994" t="s">
        <v>20928</v>
      </c>
    </row>
    <row r="995" spans="1:3" x14ac:dyDescent="0.25">
      <c r="A995">
        <v>3301078603</v>
      </c>
      <c r="B995" t="s">
        <v>21147</v>
      </c>
      <c r="C995" t="s">
        <v>21146</v>
      </c>
    </row>
    <row r="996" spans="1:3" x14ac:dyDescent="0.25">
      <c r="A996">
        <v>3301078604</v>
      </c>
      <c r="B996" t="s">
        <v>21145</v>
      </c>
      <c r="C996" t="s">
        <v>21144</v>
      </c>
    </row>
    <row r="997" spans="1:3" x14ac:dyDescent="0.25">
      <c r="A997">
        <v>3301078605</v>
      </c>
      <c r="B997" t="s">
        <v>21151</v>
      </c>
      <c r="C997" t="s">
        <v>21150</v>
      </c>
    </row>
    <row r="998" spans="1:3" x14ac:dyDescent="0.25">
      <c r="A998">
        <v>3301078606</v>
      </c>
      <c r="B998" t="s">
        <v>21149</v>
      </c>
      <c r="C998" t="s">
        <v>21148</v>
      </c>
    </row>
    <row r="999" spans="1:3" x14ac:dyDescent="0.25">
      <c r="A999">
        <v>3301078613</v>
      </c>
      <c r="B999" t="s">
        <v>21110</v>
      </c>
      <c r="C999" t="s">
        <v>21109</v>
      </c>
    </row>
    <row r="1000" spans="1:3" x14ac:dyDescent="0.25">
      <c r="A1000">
        <v>3301079291</v>
      </c>
      <c r="B1000" t="s">
        <v>21132</v>
      </c>
      <c r="C1000" t="s">
        <v>21131</v>
      </c>
    </row>
    <row r="1001" spans="1:3" x14ac:dyDescent="0.25">
      <c r="A1001">
        <v>3301079606</v>
      </c>
      <c r="B1001" t="s">
        <v>22129</v>
      </c>
      <c r="C1001" t="s">
        <v>22130</v>
      </c>
    </row>
    <row r="1002" spans="1:3" x14ac:dyDescent="0.25">
      <c r="A1002">
        <v>3301079772</v>
      </c>
      <c r="B1002" t="s">
        <v>21494</v>
      </c>
      <c r="C1002" t="s">
        <v>21495</v>
      </c>
    </row>
    <row r="1003" spans="1:3" x14ac:dyDescent="0.25">
      <c r="A1003">
        <v>3301081093</v>
      </c>
      <c r="B1003" t="s">
        <v>23250</v>
      </c>
      <c r="C1003" t="s">
        <v>23251</v>
      </c>
    </row>
    <row r="1004" spans="1:3" x14ac:dyDescent="0.25">
      <c r="A1004">
        <v>3301081094</v>
      </c>
      <c r="B1004" t="s">
        <v>23252</v>
      </c>
      <c r="C1004" t="s">
        <v>23253</v>
      </c>
    </row>
    <row r="1005" spans="1:3" x14ac:dyDescent="0.25">
      <c r="A1005">
        <v>3301082206</v>
      </c>
      <c r="B1005" t="s">
        <v>23579</v>
      </c>
      <c r="C1005" t="s">
        <v>23580</v>
      </c>
    </row>
    <row r="1006" spans="1:3" x14ac:dyDescent="0.25">
      <c r="A1006">
        <v>3301083953</v>
      </c>
      <c r="B1006" t="s">
        <v>23254</v>
      </c>
      <c r="C1006" t="s">
        <v>23255</v>
      </c>
    </row>
    <row r="1007" spans="1:3" x14ac:dyDescent="0.25">
      <c r="A1007">
        <v>3301083988</v>
      </c>
      <c r="B1007" t="s">
        <v>25158</v>
      </c>
      <c r="C1007" t="s">
        <v>21047</v>
      </c>
    </row>
    <row r="1008" spans="1:3" x14ac:dyDescent="0.25">
      <c r="A1008">
        <v>3301084127</v>
      </c>
      <c r="B1008" t="s">
        <v>21238</v>
      </c>
      <c r="C1008" t="s">
        <v>21165</v>
      </c>
    </row>
    <row r="1009" spans="1:3" x14ac:dyDescent="0.25">
      <c r="A1009">
        <v>3301084128</v>
      </c>
      <c r="B1009" t="s">
        <v>21239</v>
      </c>
      <c r="C1009" t="s">
        <v>21164</v>
      </c>
    </row>
    <row r="1010" spans="1:3" x14ac:dyDescent="0.25">
      <c r="A1010">
        <v>3301084129</v>
      </c>
      <c r="B1010" t="s">
        <v>21238</v>
      </c>
      <c r="C1010" t="s">
        <v>20781</v>
      </c>
    </row>
    <row r="1011" spans="1:3" x14ac:dyDescent="0.25">
      <c r="A1011">
        <v>3301084132</v>
      </c>
      <c r="B1011" t="s">
        <v>23256</v>
      </c>
      <c r="C1011" t="s">
        <v>23257</v>
      </c>
    </row>
    <row r="1012" spans="1:3" x14ac:dyDescent="0.25">
      <c r="A1012">
        <v>3301084164</v>
      </c>
      <c r="B1012" t="s">
        <v>23583</v>
      </c>
      <c r="C1012" t="s">
        <v>21166</v>
      </c>
    </row>
    <row r="1013" spans="1:3" x14ac:dyDescent="0.25">
      <c r="A1013">
        <v>3301085795</v>
      </c>
      <c r="B1013" t="s">
        <v>21239</v>
      </c>
      <c r="C1013" t="s">
        <v>20780</v>
      </c>
    </row>
    <row r="1014" spans="1:3" x14ac:dyDescent="0.25">
      <c r="A1014">
        <v>3301091211</v>
      </c>
      <c r="B1014" t="s">
        <v>24447</v>
      </c>
      <c r="C1014" t="s">
        <v>23881</v>
      </c>
    </row>
    <row r="1015" spans="1:3" x14ac:dyDescent="0.25">
      <c r="A1015">
        <v>3301091213</v>
      </c>
      <c r="B1015" t="s">
        <v>24430</v>
      </c>
      <c r="C1015" t="s">
        <v>23882</v>
      </c>
    </row>
    <row r="1016" spans="1:3" x14ac:dyDescent="0.25">
      <c r="A1016">
        <v>3301091220</v>
      </c>
      <c r="B1016" t="s">
        <v>23883</v>
      </c>
      <c r="C1016" t="s">
        <v>23884</v>
      </c>
    </row>
    <row r="1017" spans="1:3" x14ac:dyDescent="0.25">
      <c r="A1017">
        <v>3301091242</v>
      </c>
      <c r="B1017" t="s">
        <v>23885</v>
      </c>
      <c r="C1017" t="s">
        <v>23886</v>
      </c>
    </row>
    <row r="1018" spans="1:3" x14ac:dyDescent="0.25">
      <c r="A1018">
        <v>3301091442</v>
      </c>
      <c r="B1018" t="s">
        <v>24543</v>
      </c>
      <c r="C1018" t="s">
        <v>25159</v>
      </c>
    </row>
    <row r="1019" spans="1:3" x14ac:dyDescent="0.25">
      <c r="A1019">
        <v>3301091544</v>
      </c>
      <c r="B1019" t="s">
        <v>23435</v>
      </c>
      <c r="C1019" t="s">
        <v>25160</v>
      </c>
    </row>
    <row r="1020" spans="1:3" x14ac:dyDescent="0.25">
      <c r="A1020">
        <v>3301091670</v>
      </c>
      <c r="B1020" t="s">
        <v>23887</v>
      </c>
      <c r="C1020" t="s">
        <v>20973</v>
      </c>
    </row>
    <row r="1021" spans="1:3" x14ac:dyDescent="0.25">
      <c r="A1021">
        <v>3301091765</v>
      </c>
      <c r="B1021" t="s">
        <v>23258</v>
      </c>
      <c r="C1021" t="s">
        <v>23259</v>
      </c>
    </row>
    <row r="1022" spans="1:3" x14ac:dyDescent="0.25">
      <c r="A1022">
        <v>3301092598</v>
      </c>
      <c r="B1022" t="s">
        <v>20829</v>
      </c>
      <c r="C1022" t="s">
        <v>20828</v>
      </c>
    </row>
    <row r="1023" spans="1:3" x14ac:dyDescent="0.25">
      <c r="A1023">
        <v>3301092628</v>
      </c>
      <c r="B1023" t="s">
        <v>20827</v>
      </c>
      <c r="C1023" t="s">
        <v>20826</v>
      </c>
    </row>
    <row r="1024" spans="1:3" x14ac:dyDescent="0.25">
      <c r="A1024">
        <v>3301092760</v>
      </c>
      <c r="B1024" t="s">
        <v>22972</v>
      </c>
      <c r="C1024" t="s">
        <v>22973</v>
      </c>
    </row>
    <row r="1025" spans="1:3" x14ac:dyDescent="0.25">
      <c r="A1025">
        <v>3301092761</v>
      </c>
      <c r="B1025" t="s">
        <v>24544</v>
      </c>
      <c r="C1025" t="s">
        <v>25161</v>
      </c>
    </row>
    <row r="1026" spans="1:3" x14ac:dyDescent="0.25">
      <c r="A1026">
        <v>3301093025</v>
      </c>
      <c r="B1026" t="s">
        <v>20827</v>
      </c>
      <c r="C1026" t="s">
        <v>20832</v>
      </c>
    </row>
    <row r="1027" spans="1:3" x14ac:dyDescent="0.25">
      <c r="A1027">
        <v>3301093026</v>
      </c>
      <c r="B1027" t="s">
        <v>20835</v>
      </c>
      <c r="C1027" t="s">
        <v>20834</v>
      </c>
    </row>
    <row r="1028" spans="1:3" x14ac:dyDescent="0.25">
      <c r="A1028">
        <v>3301093860</v>
      </c>
      <c r="B1028" t="s">
        <v>23699</v>
      </c>
      <c r="C1028" t="s">
        <v>23888</v>
      </c>
    </row>
    <row r="1029" spans="1:3" x14ac:dyDescent="0.25">
      <c r="A1029">
        <v>3301093955</v>
      </c>
      <c r="B1029" t="s">
        <v>24392</v>
      </c>
      <c r="C1029" t="s">
        <v>21126</v>
      </c>
    </row>
    <row r="1030" spans="1:3" x14ac:dyDescent="0.25">
      <c r="A1030">
        <v>3301093990</v>
      </c>
      <c r="B1030" t="s">
        <v>21046</v>
      </c>
      <c r="C1030" t="s">
        <v>21045</v>
      </c>
    </row>
    <row r="1031" spans="1:3" x14ac:dyDescent="0.25">
      <c r="A1031">
        <v>3301093991</v>
      </c>
      <c r="B1031" t="s">
        <v>21496</v>
      </c>
      <c r="C1031" t="s">
        <v>21497</v>
      </c>
    </row>
    <row r="1032" spans="1:3" x14ac:dyDescent="0.25">
      <c r="A1032">
        <v>3301094403</v>
      </c>
      <c r="B1032" t="s">
        <v>25162</v>
      </c>
      <c r="C1032" t="s">
        <v>25163</v>
      </c>
    </row>
    <row r="1033" spans="1:3" x14ac:dyDescent="0.25">
      <c r="A1033">
        <v>3301095750</v>
      </c>
      <c r="B1033" t="s">
        <v>20939</v>
      </c>
      <c r="C1033" t="s">
        <v>20938</v>
      </c>
    </row>
    <row r="1034" spans="1:3" x14ac:dyDescent="0.25">
      <c r="A1034">
        <v>3301095929</v>
      </c>
      <c r="B1034" t="s">
        <v>20837</v>
      </c>
      <c r="C1034" t="s">
        <v>20836</v>
      </c>
    </row>
    <row r="1035" spans="1:3" x14ac:dyDescent="0.25">
      <c r="A1035">
        <v>3301095930</v>
      </c>
      <c r="B1035" t="s">
        <v>20831</v>
      </c>
      <c r="C1035" t="s">
        <v>20830</v>
      </c>
    </row>
    <row r="1036" spans="1:3" x14ac:dyDescent="0.25">
      <c r="A1036">
        <v>3301096390</v>
      </c>
      <c r="B1036" t="s">
        <v>23451</v>
      </c>
      <c r="C1036" t="s">
        <v>23889</v>
      </c>
    </row>
    <row r="1037" spans="1:3" x14ac:dyDescent="0.25">
      <c r="A1037">
        <v>3301096391</v>
      </c>
      <c r="B1037" t="s">
        <v>23450</v>
      </c>
      <c r="C1037" t="s">
        <v>23890</v>
      </c>
    </row>
    <row r="1038" spans="1:3" x14ac:dyDescent="0.25">
      <c r="A1038">
        <v>3301096392</v>
      </c>
      <c r="B1038" t="s">
        <v>23615</v>
      </c>
      <c r="C1038" t="s">
        <v>23891</v>
      </c>
    </row>
    <row r="1039" spans="1:3" x14ac:dyDescent="0.25">
      <c r="A1039">
        <v>3301096804</v>
      </c>
      <c r="B1039" t="s">
        <v>23892</v>
      </c>
      <c r="C1039" t="s">
        <v>23893</v>
      </c>
    </row>
    <row r="1040" spans="1:3" x14ac:dyDescent="0.25">
      <c r="A1040">
        <v>3301098571</v>
      </c>
      <c r="B1040" t="s">
        <v>22131</v>
      </c>
      <c r="C1040" t="s">
        <v>20758</v>
      </c>
    </row>
    <row r="1041" spans="1:3" x14ac:dyDescent="0.25">
      <c r="A1041">
        <v>3301098572</v>
      </c>
      <c r="B1041" t="s">
        <v>22132</v>
      </c>
      <c r="C1041" t="s">
        <v>20757</v>
      </c>
    </row>
    <row r="1042" spans="1:3" x14ac:dyDescent="0.25">
      <c r="A1042">
        <v>3301098625</v>
      </c>
      <c r="B1042" t="s">
        <v>20976</v>
      </c>
      <c r="C1042" t="s">
        <v>20975</v>
      </c>
    </row>
    <row r="1043" spans="1:3" x14ac:dyDescent="0.25">
      <c r="A1043">
        <v>3301098696</v>
      </c>
      <c r="B1043" t="s">
        <v>20972</v>
      </c>
      <c r="C1043" t="s">
        <v>20971</v>
      </c>
    </row>
    <row r="1044" spans="1:3" x14ac:dyDescent="0.25">
      <c r="A1044">
        <v>3301098939</v>
      </c>
      <c r="B1044" t="s">
        <v>20978</v>
      </c>
      <c r="C1044" t="s">
        <v>20977</v>
      </c>
    </row>
    <row r="1045" spans="1:3" x14ac:dyDescent="0.25">
      <c r="A1045">
        <v>3301098940</v>
      </c>
      <c r="B1045" t="s">
        <v>21044</v>
      </c>
      <c r="C1045" t="s">
        <v>21043</v>
      </c>
    </row>
    <row r="1046" spans="1:3" x14ac:dyDescent="0.25">
      <c r="A1046">
        <v>3301098941</v>
      </c>
      <c r="B1046" t="s">
        <v>23894</v>
      </c>
      <c r="C1046" t="s">
        <v>23895</v>
      </c>
    </row>
    <row r="1047" spans="1:3" x14ac:dyDescent="0.25">
      <c r="A1047">
        <v>3301099636</v>
      </c>
      <c r="B1047" t="s">
        <v>23896</v>
      </c>
      <c r="C1047" t="s">
        <v>23897</v>
      </c>
    </row>
    <row r="1048" spans="1:3" x14ac:dyDescent="0.25">
      <c r="A1048">
        <v>3301099651</v>
      </c>
      <c r="B1048" t="s">
        <v>20974</v>
      </c>
      <c r="C1048" t="s">
        <v>22133</v>
      </c>
    </row>
    <row r="1049" spans="1:3" x14ac:dyDescent="0.25">
      <c r="A1049">
        <v>3301099653</v>
      </c>
      <c r="B1049" t="s">
        <v>20972</v>
      </c>
      <c r="C1049" t="s">
        <v>23260</v>
      </c>
    </row>
    <row r="1050" spans="1:3" x14ac:dyDescent="0.25">
      <c r="A1050">
        <v>3301144102</v>
      </c>
      <c r="B1050" t="s">
        <v>23898</v>
      </c>
      <c r="C1050" t="s">
        <v>20888</v>
      </c>
    </row>
    <row r="1051" spans="1:3" x14ac:dyDescent="0.25">
      <c r="A1051">
        <v>3301144103</v>
      </c>
      <c r="B1051" t="s">
        <v>25164</v>
      </c>
      <c r="C1051" t="s">
        <v>20889</v>
      </c>
    </row>
    <row r="1052" spans="1:3" x14ac:dyDescent="0.25">
      <c r="A1052">
        <v>3301146517</v>
      </c>
      <c r="B1052" t="s">
        <v>20684</v>
      </c>
      <c r="C1052" t="s">
        <v>20683</v>
      </c>
    </row>
    <row r="1053" spans="1:3" x14ac:dyDescent="0.25">
      <c r="A1053">
        <v>3301146819</v>
      </c>
      <c r="B1053" t="s">
        <v>23702</v>
      </c>
      <c r="C1053" t="s">
        <v>23899</v>
      </c>
    </row>
    <row r="1054" spans="1:3" x14ac:dyDescent="0.25">
      <c r="A1054">
        <v>3301146958</v>
      </c>
      <c r="B1054" t="s">
        <v>20891</v>
      </c>
      <c r="C1054" t="s">
        <v>20890</v>
      </c>
    </row>
    <row r="1055" spans="1:3" x14ac:dyDescent="0.25">
      <c r="A1055">
        <v>3302011217</v>
      </c>
      <c r="B1055" t="s">
        <v>23900</v>
      </c>
      <c r="C1055" t="s">
        <v>23901</v>
      </c>
    </row>
    <row r="1056" spans="1:3" x14ac:dyDescent="0.25">
      <c r="A1056">
        <v>3302012426</v>
      </c>
      <c r="B1056" t="s">
        <v>21417</v>
      </c>
      <c r="C1056" t="s">
        <v>21418</v>
      </c>
    </row>
    <row r="1057" spans="1:3" x14ac:dyDescent="0.25">
      <c r="A1057">
        <v>3302016028</v>
      </c>
      <c r="B1057" t="s">
        <v>25165</v>
      </c>
      <c r="C1057" t="s">
        <v>21061</v>
      </c>
    </row>
    <row r="1058" spans="1:3" x14ac:dyDescent="0.25">
      <c r="A1058">
        <v>3302018560</v>
      </c>
      <c r="B1058" t="s">
        <v>20933</v>
      </c>
      <c r="C1058" t="s">
        <v>20932</v>
      </c>
    </row>
    <row r="1059" spans="1:3" x14ac:dyDescent="0.25">
      <c r="A1059">
        <v>3302028290</v>
      </c>
      <c r="B1059" t="s">
        <v>20897</v>
      </c>
      <c r="C1059" t="s">
        <v>20896</v>
      </c>
    </row>
    <row r="1060" spans="1:3" x14ac:dyDescent="0.25">
      <c r="A1060">
        <v>3302028621</v>
      </c>
      <c r="B1060" t="s">
        <v>20893</v>
      </c>
      <c r="C1060" t="s">
        <v>20892</v>
      </c>
    </row>
    <row r="1061" spans="1:3" x14ac:dyDescent="0.25">
      <c r="A1061">
        <v>3302032038</v>
      </c>
      <c r="B1061" t="s">
        <v>25166</v>
      </c>
      <c r="C1061" t="s">
        <v>25167</v>
      </c>
    </row>
    <row r="1062" spans="1:3" x14ac:dyDescent="0.25">
      <c r="A1062">
        <v>3302032156</v>
      </c>
      <c r="B1062" t="s">
        <v>20673</v>
      </c>
      <c r="C1062" t="s">
        <v>20672</v>
      </c>
    </row>
    <row r="1063" spans="1:3" x14ac:dyDescent="0.25">
      <c r="A1063">
        <v>3302038405</v>
      </c>
      <c r="B1063" t="s">
        <v>23902</v>
      </c>
      <c r="C1063" t="s">
        <v>23903</v>
      </c>
    </row>
    <row r="1064" spans="1:3" x14ac:dyDescent="0.25">
      <c r="A1064">
        <v>3302045823</v>
      </c>
      <c r="B1064" t="s">
        <v>25168</v>
      </c>
      <c r="C1064" t="s">
        <v>25169</v>
      </c>
    </row>
    <row r="1065" spans="1:3" x14ac:dyDescent="0.25">
      <c r="A1065">
        <v>3302047896</v>
      </c>
      <c r="B1065" t="s">
        <v>24393</v>
      </c>
      <c r="C1065" t="s">
        <v>24394</v>
      </c>
    </row>
    <row r="1066" spans="1:3" x14ac:dyDescent="0.25">
      <c r="A1066">
        <v>3302047964</v>
      </c>
      <c r="B1066" t="s">
        <v>22776</v>
      </c>
      <c r="C1066" t="s">
        <v>22777</v>
      </c>
    </row>
    <row r="1067" spans="1:3" x14ac:dyDescent="0.25">
      <c r="A1067">
        <v>3302048547</v>
      </c>
      <c r="B1067" t="s">
        <v>23904</v>
      </c>
      <c r="C1067" t="s">
        <v>23905</v>
      </c>
    </row>
    <row r="1068" spans="1:3" x14ac:dyDescent="0.25">
      <c r="A1068">
        <v>3302051583</v>
      </c>
      <c r="B1068" t="s">
        <v>25170</v>
      </c>
      <c r="C1068" t="s">
        <v>25171</v>
      </c>
    </row>
    <row r="1069" spans="1:3" x14ac:dyDescent="0.25">
      <c r="A1069">
        <v>3302064065</v>
      </c>
      <c r="B1069" t="s">
        <v>23584</v>
      </c>
      <c r="C1069" t="s">
        <v>23585</v>
      </c>
    </row>
    <row r="1070" spans="1:3" x14ac:dyDescent="0.25">
      <c r="A1070">
        <v>3302068622</v>
      </c>
      <c r="B1070" t="s">
        <v>20895</v>
      </c>
      <c r="C1070" t="s">
        <v>20894</v>
      </c>
    </row>
    <row r="1071" spans="1:3" x14ac:dyDescent="0.25">
      <c r="A1071">
        <v>3302068885</v>
      </c>
      <c r="B1071" t="s">
        <v>21071</v>
      </c>
      <c r="C1071" t="s">
        <v>21070</v>
      </c>
    </row>
    <row r="1072" spans="1:3" x14ac:dyDescent="0.25">
      <c r="A1072">
        <v>3302068889</v>
      </c>
      <c r="B1072" t="s">
        <v>20899</v>
      </c>
      <c r="C1072" t="s">
        <v>20898</v>
      </c>
    </row>
    <row r="1073" spans="1:3" x14ac:dyDescent="0.25">
      <c r="A1073">
        <v>3302111098</v>
      </c>
      <c r="B1073" t="s">
        <v>23261</v>
      </c>
      <c r="C1073" t="s">
        <v>23262</v>
      </c>
    </row>
    <row r="1074" spans="1:3" x14ac:dyDescent="0.25">
      <c r="A1074">
        <v>3302111244</v>
      </c>
      <c r="B1074" t="s">
        <v>23906</v>
      </c>
      <c r="C1074" t="s">
        <v>23907</v>
      </c>
    </row>
    <row r="1075" spans="1:3" x14ac:dyDescent="0.25">
      <c r="A1075">
        <v>3302111488</v>
      </c>
      <c r="B1075" t="s">
        <v>23908</v>
      </c>
      <c r="C1075" t="s">
        <v>23909</v>
      </c>
    </row>
    <row r="1076" spans="1:3" x14ac:dyDescent="0.25">
      <c r="A1076">
        <v>3302111551</v>
      </c>
      <c r="B1076" t="s">
        <v>25172</v>
      </c>
      <c r="C1076" t="s">
        <v>25173</v>
      </c>
    </row>
    <row r="1077" spans="1:3" x14ac:dyDescent="0.25">
      <c r="A1077">
        <v>3302111552</v>
      </c>
      <c r="B1077" t="s">
        <v>25174</v>
      </c>
      <c r="C1077" t="s">
        <v>25175</v>
      </c>
    </row>
    <row r="1078" spans="1:3" x14ac:dyDescent="0.25">
      <c r="A1078">
        <v>3302112336</v>
      </c>
      <c r="B1078" t="s">
        <v>20680</v>
      </c>
      <c r="C1078" t="s">
        <v>20679</v>
      </c>
    </row>
    <row r="1079" spans="1:3" x14ac:dyDescent="0.25">
      <c r="A1079">
        <v>3302119211</v>
      </c>
      <c r="B1079" t="s">
        <v>24448</v>
      </c>
      <c r="C1079" t="s">
        <v>25176</v>
      </c>
    </row>
    <row r="1080" spans="1:3" x14ac:dyDescent="0.25">
      <c r="A1080">
        <v>3302122157</v>
      </c>
      <c r="B1080" t="s">
        <v>25177</v>
      </c>
      <c r="C1080" t="s">
        <v>25178</v>
      </c>
    </row>
    <row r="1081" spans="1:3" x14ac:dyDescent="0.25">
      <c r="A1081">
        <v>3302122337</v>
      </c>
      <c r="B1081" t="s">
        <v>23910</v>
      </c>
      <c r="C1081" t="s">
        <v>23911</v>
      </c>
    </row>
    <row r="1082" spans="1:3" x14ac:dyDescent="0.25">
      <c r="A1082">
        <v>3302122847</v>
      </c>
      <c r="B1082" t="s">
        <v>22974</v>
      </c>
      <c r="C1082" t="s">
        <v>22975</v>
      </c>
    </row>
    <row r="1083" spans="1:3" x14ac:dyDescent="0.25">
      <c r="A1083">
        <v>3302126138</v>
      </c>
      <c r="B1083" t="s">
        <v>20622</v>
      </c>
      <c r="C1083" t="s">
        <v>20621</v>
      </c>
    </row>
    <row r="1084" spans="1:3" x14ac:dyDescent="0.25">
      <c r="A1084">
        <v>3302128022</v>
      </c>
      <c r="B1084" t="s">
        <v>23263</v>
      </c>
      <c r="C1084" t="s">
        <v>23264</v>
      </c>
    </row>
    <row r="1085" spans="1:3" x14ac:dyDescent="0.25">
      <c r="A1085">
        <v>3302128462</v>
      </c>
      <c r="B1085" t="s">
        <v>20682</v>
      </c>
      <c r="C1085" t="s">
        <v>20681</v>
      </c>
    </row>
    <row r="1086" spans="1:3" x14ac:dyDescent="0.25">
      <c r="A1086">
        <v>3302128548</v>
      </c>
      <c r="B1086" t="s">
        <v>24449</v>
      </c>
      <c r="C1086" t="s">
        <v>25179</v>
      </c>
    </row>
    <row r="1087" spans="1:3" x14ac:dyDescent="0.25">
      <c r="A1087">
        <v>3302128598</v>
      </c>
      <c r="B1087" t="s">
        <v>20626</v>
      </c>
      <c r="C1087" t="s">
        <v>20625</v>
      </c>
    </row>
    <row r="1088" spans="1:3" x14ac:dyDescent="0.25">
      <c r="A1088">
        <v>3302129856</v>
      </c>
      <c r="B1088" t="s">
        <v>22676</v>
      </c>
      <c r="C1088" t="s">
        <v>22677</v>
      </c>
    </row>
    <row r="1089" spans="1:3" x14ac:dyDescent="0.25">
      <c r="A1089">
        <v>3302129857</v>
      </c>
      <c r="B1089" t="s">
        <v>22678</v>
      </c>
      <c r="C1089" t="s">
        <v>22679</v>
      </c>
    </row>
    <row r="1090" spans="1:3" x14ac:dyDescent="0.25">
      <c r="A1090">
        <v>3302129858</v>
      </c>
      <c r="B1090" t="s">
        <v>22680</v>
      </c>
      <c r="C1090" t="s">
        <v>22681</v>
      </c>
    </row>
    <row r="1091" spans="1:3" x14ac:dyDescent="0.25">
      <c r="A1091">
        <v>3302135943</v>
      </c>
      <c r="B1091" t="s">
        <v>23912</v>
      </c>
      <c r="C1091" t="s">
        <v>23913</v>
      </c>
    </row>
    <row r="1092" spans="1:3" x14ac:dyDescent="0.25">
      <c r="A1092">
        <v>3302136951</v>
      </c>
      <c r="B1092" t="s">
        <v>20995</v>
      </c>
      <c r="C1092" t="s">
        <v>20994</v>
      </c>
    </row>
    <row r="1093" spans="1:3" x14ac:dyDescent="0.25">
      <c r="A1093">
        <v>3302138611</v>
      </c>
      <c r="B1093" t="s">
        <v>23914</v>
      </c>
      <c r="C1093" t="s">
        <v>23915</v>
      </c>
    </row>
    <row r="1094" spans="1:3" x14ac:dyDescent="0.25">
      <c r="A1094">
        <v>3302142009</v>
      </c>
      <c r="B1094" t="s">
        <v>24094</v>
      </c>
      <c r="C1094" t="s">
        <v>24095</v>
      </c>
    </row>
    <row r="1095" spans="1:3" x14ac:dyDescent="0.25">
      <c r="A1095">
        <v>3302302215</v>
      </c>
      <c r="B1095" t="s">
        <v>22682</v>
      </c>
      <c r="C1095" t="s">
        <v>22683</v>
      </c>
    </row>
    <row r="1096" spans="1:3" x14ac:dyDescent="0.25">
      <c r="A1096">
        <v>3302303364</v>
      </c>
      <c r="B1096" t="s">
        <v>23916</v>
      </c>
      <c r="C1096" t="s">
        <v>23917</v>
      </c>
    </row>
    <row r="1097" spans="1:3" x14ac:dyDescent="0.25">
      <c r="A1097">
        <v>3302303365</v>
      </c>
      <c r="B1097" t="s">
        <v>23918</v>
      </c>
      <c r="C1097" t="s">
        <v>23265</v>
      </c>
    </row>
    <row r="1098" spans="1:3" x14ac:dyDescent="0.25">
      <c r="A1098">
        <v>3302331408</v>
      </c>
      <c r="B1098" t="s">
        <v>25180</v>
      </c>
      <c r="C1098" t="s">
        <v>25181</v>
      </c>
    </row>
    <row r="1099" spans="1:3" x14ac:dyDescent="0.25">
      <c r="A1099">
        <v>3302335875</v>
      </c>
      <c r="B1099" t="s">
        <v>23919</v>
      </c>
      <c r="C1099" t="s">
        <v>23920</v>
      </c>
    </row>
    <row r="1100" spans="1:3" x14ac:dyDescent="0.25">
      <c r="A1100">
        <v>3302386139</v>
      </c>
      <c r="B1100" t="s">
        <v>20620</v>
      </c>
      <c r="C1100" t="s">
        <v>20619</v>
      </c>
    </row>
    <row r="1101" spans="1:3" x14ac:dyDescent="0.25">
      <c r="A1101">
        <v>3302388597</v>
      </c>
      <c r="B1101" t="s">
        <v>20624</v>
      </c>
      <c r="C1101" t="s">
        <v>20623</v>
      </c>
    </row>
    <row r="1102" spans="1:3" x14ac:dyDescent="0.25">
      <c r="A1102">
        <v>3302389854</v>
      </c>
      <c r="B1102" t="s">
        <v>22684</v>
      </c>
      <c r="C1102" t="s">
        <v>22685</v>
      </c>
    </row>
    <row r="1103" spans="1:3" x14ac:dyDescent="0.25">
      <c r="A1103">
        <v>3302389855</v>
      </c>
      <c r="B1103" t="s">
        <v>22686</v>
      </c>
      <c r="C1103" t="s">
        <v>22687</v>
      </c>
    </row>
    <row r="1104" spans="1:3" x14ac:dyDescent="0.25">
      <c r="A1104">
        <v>3302389856</v>
      </c>
      <c r="B1104" t="s">
        <v>22688</v>
      </c>
      <c r="C1104" t="s">
        <v>22689</v>
      </c>
    </row>
    <row r="1105" spans="1:3" x14ac:dyDescent="0.25">
      <c r="A1105">
        <v>3302502359</v>
      </c>
      <c r="B1105" t="s">
        <v>6260</v>
      </c>
      <c r="C1105" t="s">
        <v>22134</v>
      </c>
    </row>
    <row r="1106" spans="1:3" x14ac:dyDescent="0.25">
      <c r="A1106">
        <v>3401021557</v>
      </c>
      <c r="B1106" t="s">
        <v>25182</v>
      </c>
      <c r="C1106" t="s">
        <v>25183</v>
      </c>
    </row>
    <row r="1107" spans="1:3" x14ac:dyDescent="0.25">
      <c r="A1107">
        <v>3401026167</v>
      </c>
      <c r="B1107" t="s">
        <v>22976</v>
      </c>
      <c r="C1107" t="s">
        <v>22977</v>
      </c>
    </row>
    <row r="1108" spans="1:3" x14ac:dyDescent="0.25">
      <c r="A1108">
        <v>3401036168</v>
      </c>
      <c r="B1108" t="s">
        <v>23921</v>
      </c>
      <c r="C1108" t="s">
        <v>22979</v>
      </c>
    </row>
    <row r="1109" spans="1:3" x14ac:dyDescent="0.25">
      <c r="A1109">
        <v>3401041645</v>
      </c>
      <c r="B1109" t="s">
        <v>22135</v>
      </c>
      <c r="C1109" t="s">
        <v>22136</v>
      </c>
    </row>
    <row r="1110" spans="1:3" x14ac:dyDescent="0.25">
      <c r="A1110">
        <v>3401041976</v>
      </c>
      <c r="B1110" t="s">
        <v>23922</v>
      </c>
      <c r="C1110" t="s">
        <v>21015</v>
      </c>
    </row>
    <row r="1111" spans="1:3" x14ac:dyDescent="0.25">
      <c r="A1111">
        <v>3401043960</v>
      </c>
      <c r="B1111" t="s">
        <v>23266</v>
      </c>
      <c r="C1111" t="s">
        <v>23267</v>
      </c>
    </row>
    <row r="1112" spans="1:3" x14ac:dyDescent="0.25">
      <c r="A1112">
        <v>3401046170</v>
      </c>
      <c r="B1112" t="s">
        <v>20823</v>
      </c>
      <c r="C1112" t="s">
        <v>20822</v>
      </c>
    </row>
    <row r="1113" spans="1:3" x14ac:dyDescent="0.25">
      <c r="A1113">
        <v>3401049971</v>
      </c>
      <c r="B1113" t="s">
        <v>22980</v>
      </c>
      <c r="C1113" t="s">
        <v>22981</v>
      </c>
    </row>
    <row r="1114" spans="1:3" x14ac:dyDescent="0.25">
      <c r="A1114">
        <v>3402061208</v>
      </c>
      <c r="B1114" t="s">
        <v>22982</v>
      </c>
      <c r="C1114" t="s">
        <v>22983</v>
      </c>
    </row>
    <row r="1115" spans="1:3" x14ac:dyDescent="0.25">
      <c r="A1115">
        <v>3402067443</v>
      </c>
      <c r="B1115" t="s">
        <v>23268</v>
      </c>
      <c r="C1115" t="s">
        <v>23269</v>
      </c>
    </row>
    <row r="1116" spans="1:3" x14ac:dyDescent="0.25">
      <c r="A1116">
        <v>3402068077</v>
      </c>
      <c r="B1116" t="s">
        <v>20887</v>
      </c>
      <c r="C1116" t="s">
        <v>20886</v>
      </c>
    </row>
    <row r="1117" spans="1:3" x14ac:dyDescent="0.25">
      <c r="A1117">
        <v>3404112112</v>
      </c>
      <c r="B1117" t="s">
        <v>23923</v>
      </c>
      <c r="C1117" t="s">
        <v>23924</v>
      </c>
    </row>
    <row r="1118" spans="1:3" x14ac:dyDescent="0.25">
      <c r="A1118">
        <v>3404116158</v>
      </c>
      <c r="B1118" t="s">
        <v>20847</v>
      </c>
      <c r="C1118" t="s">
        <v>20846</v>
      </c>
    </row>
    <row r="1119" spans="1:3" x14ac:dyDescent="0.25">
      <c r="A1119">
        <v>3404119933</v>
      </c>
      <c r="B1119" t="s">
        <v>22984</v>
      </c>
      <c r="C1119" t="s">
        <v>22985</v>
      </c>
    </row>
    <row r="1120" spans="1:3" x14ac:dyDescent="0.25">
      <c r="A1120">
        <v>3606031560</v>
      </c>
      <c r="B1120" t="s">
        <v>25184</v>
      </c>
      <c r="C1120" t="s">
        <v>25185</v>
      </c>
    </row>
    <row r="1121" spans="1:3" x14ac:dyDescent="0.25">
      <c r="A1121">
        <v>3759311037</v>
      </c>
      <c r="B1121" t="s">
        <v>23270</v>
      </c>
      <c r="C1121" t="s">
        <v>23271</v>
      </c>
    </row>
    <row r="1122" spans="1:3" x14ac:dyDescent="0.25">
      <c r="A1122">
        <v>3759313469</v>
      </c>
      <c r="B1122" t="s">
        <v>23925</v>
      </c>
      <c r="C1122" t="s">
        <v>22779</v>
      </c>
    </row>
    <row r="1123" spans="1:3" x14ac:dyDescent="0.25">
      <c r="A1123">
        <v>3901019739</v>
      </c>
      <c r="B1123" t="s">
        <v>21319</v>
      </c>
      <c r="C1123" t="s">
        <v>21320</v>
      </c>
    </row>
    <row r="1124" spans="1:3" x14ac:dyDescent="0.25">
      <c r="A1124">
        <v>3901019740</v>
      </c>
      <c r="B1124" t="s">
        <v>21321</v>
      </c>
      <c r="C1124" t="s">
        <v>21322</v>
      </c>
    </row>
    <row r="1125" spans="1:3" x14ac:dyDescent="0.25">
      <c r="A1125">
        <v>3901019741</v>
      </c>
      <c r="B1125" t="s">
        <v>21323</v>
      </c>
      <c r="C1125" t="s">
        <v>21324</v>
      </c>
    </row>
    <row r="1126" spans="1:3" x14ac:dyDescent="0.25">
      <c r="A1126">
        <v>3913019989</v>
      </c>
      <c r="B1126" t="s">
        <v>22986</v>
      </c>
      <c r="C1126" t="s">
        <v>22987</v>
      </c>
    </row>
    <row r="1127" spans="1:3" x14ac:dyDescent="0.25">
      <c r="A1127">
        <v>4407129611</v>
      </c>
      <c r="B1127" t="s">
        <v>21498</v>
      </c>
      <c r="C1127" t="s">
        <v>21499</v>
      </c>
    </row>
    <row r="1128" spans="1:3" x14ac:dyDescent="0.25">
      <c r="A1128">
        <v>4407129612</v>
      </c>
      <c r="B1128" t="s">
        <v>21500</v>
      </c>
      <c r="C1128" t="s">
        <v>21501</v>
      </c>
    </row>
    <row r="1129" spans="1:3" x14ac:dyDescent="0.25">
      <c r="A1129">
        <v>7301093991</v>
      </c>
      <c r="B1129" t="s">
        <v>21496</v>
      </c>
      <c r="C1129" t="s">
        <v>21125</v>
      </c>
    </row>
    <row r="1130" spans="1:3" x14ac:dyDescent="0.25">
      <c r="A1130">
        <v>9210106966</v>
      </c>
      <c r="B1130" t="s">
        <v>21544</v>
      </c>
      <c r="C1130" t="s">
        <v>22137</v>
      </c>
    </row>
    <row r="1131" spans="1:3" x14ac:dyDescent="0.25">
      <c r="A1131">
        <v>21115031228</v>
      </c>
      <c r="B1131" t="s">
        <v>23926</v>
      </c>
      <c r="C1131" t="s">
        <v>23927</v>
      </c>
    </row>
    <row r="1132" spans="1:3" x14ac:dyDescent="0.25">
      <c r="A1132">
        <v>33011146819</v>
      </c>
      <c r="B1132" t="s">
        <v>20686</v>
      </c>
      <c r="C1132" t="s">
        <v>20685</v>
      </c>
    </row>
    <row r="1133" spans="1:3" x14ac:dyDescent="0.25">
      <c r="A1133">
        <v>90103012167</v>
      </c>
      <c r="B1133" t="s">
        <v>24096</v>
      </c>
      <c r="C1133" t="s">
        <v>24097</v>
      </c>
    </row>
    <row r="1134" spans="1:3" x14ac:dyDescent="0.25">
      <c r="A1134">
        <v>90104011405</v>
      </c>
      <c r="B1134" t="s">
        <v>20692</v>
      </c>
      <c r="C1134" t="s">
        <v>20691</v>
      </c>
    </row>
    <row r="1135" spans="1:3" x14ac:dyDescent="0.25">
      <c r="A1135">
        <v>92101011194</v>
      </c>
      <c r="B1135" t="s">
        <v>23928</v>
      </c>
      <c r="C1135" t="s">
        <v>23929</v>
      </c>
    </row>
    <row r="1136" spans="1:3" x14ac:dyDescent="0.25">
      <c r="A1136">
        <v>92101011195</v>
      </c>
      <c r="B1136" t="s">
        <v>23930</v>
      </c>
      <c r="C1136" t="s">
        <v>23931</v>
      </c>
    </row>
    <row r="1137" spans="1:3" x14ac:dyDescent="0.25">
      <c r="A1137">
        <v>92101012057</v>
      </c>
      <c r="B1137" t="s">
        <v>25186</v>
      </c>
      <c r="C1137" t="s">
        <v>25187</v>
      </c>
    </row>
    <row r="1138" spans="1:3" x14ac:dyDescent="0.25">
      <c r="A1138">
        <v>92101021443</v>
      </c>
      <c r="B1138" t="s">
        <v>24483</v>
      </c>
      <c r="C1138" t="s">
        <v>25188</v>
      </c>
    </row>
    <row r="1139" spans="1:3" x14ac:dyDescent="0.25">
      <c r="A1139">
        <v>92101021444</v>
      </c>
      <c r="B1139" t="s">
        <v>24482</v>
      </c>
      <c r="C1139" t="s">
        <v>25189</v>
      </c>
    </row>
    <row r="1140" spans="1:3" x14ac:dyDescent="0.25">
      <c r="A1140">
        <v>92101021520</v>
      </c>
      <c r="B1140" t="s">
        <v>25190</v>
      </c>
      <c r="C1140" t="s">
        <v>25191</v>
      </c>
    </row>
    <row r="1141" spans="1:3" x14ac:dyDescent="0.25">
      <c r="A1141">
        <v>92101023339</v>
      </c>
      <c r="B1141" t="s">
        <v>25192</v>
      </c>
      <c r="C1141" t="s">
        <v>25193</v>
      </c>
    </row>
    <row r="1142" spans="1:3" x14ac:dyDescent="0.25">
      <c r="A1142">
        <v>92101024090</v>
      </c>
      <c r="B1142" t="s">
        <v>25194</v>
      </c>
      <c r="C1142" t="s">
        <v>25195</v>
      </c>
    </row>
    <row r="1143" spans="1:3" x14ac:dyDescent="0.25">
      <c r="A1143">
        <v>92101024091</v>
      </c>
      <c r="B1143" t="s">
        <v>25196</v>
      </c>
      <c r="C1143" t="s">
        <v>25197</v>
      </c>
    </row>
    <row r="1144" spans="1:3" x14ac:dyDescent="0.25">
      <c r="A1144">
        <v>92101024095</v>
      </c>
      <c r="B1144" t="s">
        <v>25198</v>
      </c>
      <c r="C1144" t="s">
        <v>25199</v>
      </c>
    </row>
    <row r="1145" spans="1:3" x14ac:dyDescent="0.25">
      <c r="A1145">
        <v>92101024471</v>
      </c>
      <c r="B1145" t="s">
        <v>20815</v>
      </c>
      <c r="C1145" t="s">
        <v>20814</v>
      </c>
    </row>
    <row r="1146" spans="1:3" x14ac:dyDescent="0.25">
      <c r="A1146">
        <v>92101024472</v>
      </c>
      <c r="B1146" t="s">
        <v>25200</v>
      </c>
      <c r="C1146" t="s">
        <v>25201</v>
      </c>
    </row>
    <row r="1147" spans="1:3" x14ac:dyDescent="0.25">
      <c r="A1147">
        <v>92101025515</v>
      </c>
      <c r="B1147" t="s">
        <v>22450</v>
      </c>
      <c r="C1147" t="s">
        <v>22451</v>
      </c>
    </row>
    <row r="1148" spans="1:3" x14ac:dyDescent="0.25">
      <c r="A1148">
        <v>92101025896</v>
      </c>
      <c r="B1148" t="s">
        <v>25202</v>
      </c>
      <c r="C1148" t="s">
        <v>25203</v>
      </c>
    </row>
    <row r="1149" spans="1:3" x14ac:dyDescent="0.25">
      <c r="A1149">
        <v>92101029021</v>
      </c>
      <c r="B1149" t="s">
        <v>20863</v>
      </c>
      <c r="C1149" t="s">
        <v>20862</v>
      </c>
    </row>
    <row r="1150" spans="1:3" x14ac:dyDescent="0.25">
      <c r="A1150">
        <v>92101029029</v>
      </c>
      <c r="B1150" t="s">
        <v>20855</v>
      </c>
      <c r="C1150" t="s">
        <v>20854</v>
      </c>
    </row>
    <row r="1151" spans="1:3" x14ac:dyDescent="0.25">
      <c r="A1151">
        <v>92101029034</v>
      </c>
      <c r="B1151" t="s">
        <v>20867</v>
      </c>
      <c r="C1151" t="s">
        <v>20866</v>
      </c>
    </row>
    <row r="1152" spans="1:3" x14ac:dyDescent="0.25">
      <c r="A1152">
        <v>92101029863</v>
      </c>
      <c r="B1152" t="s">
        <v>22545</v>
      </c>
      <c r="C1152" t="s">
        <v>22546</v>
      </c>
    </row>
    <row r="1153" spans="1:3" x14ac:dyDescent="0.25">
      <c r="A1153">
        <v>92101029865</v>
      </c>
      <c r="B1153" t="s">
        <v>22547</v>
      </c>
      <c r="C1153" t="s">
        <v>22548</v>
      </c>
    </row>
    <row r="1154" spans="1:3" x14ac:dyDescent="0.25">
      <c r="A1154">
        <v>92101030429</v>
      </c>
      <c r="B1154" t="s">
        <v>20811</v>
      </c>
      <c r="C1154" t="s">
        <v>20810</v>
      </c>
    </row>
    <row r="1155" spans="1:3" x14ac:dyDescent="0.25">
      <c r="A1155">
        <v>92101032357</v>
      </c>
      <c r="B1155" t="s">
        <v>25204</v>
      </c>
      <c r="C1155" t="s">
        <v>25205</v>
      </c>
    </row>
    <row r="1156" spans="1:3" x14ac:dyDescent="0.25">
      <c r="A1156">
        <v>92101035362</v>
      </c>
      <c r="B1156" t="s">
        <v>20813</v>
      </c>
      <c r="C1156" t="s">
        <v>20812</v>
      </c>
    </row>
    <row r="1157" spans="1:3" x14ac:dyDescent="0.25">
      <c r="A1157">
        <v>92101040169</v>
      </c>
      <c r="B1157" t="s">
        <v>21021</v>
      </c>
      <c r="C1157" t="s">
        <v>21020</v>
      </c>
    </row>
    <row r="1158" spans="1:3" x14ac:dyDescent="0.25">
      <c r="A1158">
        <v>92101041103</v>
      </c>
      <c r="B1158" t="s">
        <v>20803</v>
      </c>
      <c r="C1158" t="s">
        <v>20802</v>
      </c>
    </row>
    <row r="1159" spans="1:3" x14ac:dyDescent="0.25">
      <c r="A1159">
        <v>92101041677</v>
      </c>
      <c r="B1159" t="s">
        <v>22138</v>
      </c>
      <c r="C1159" t="s">
        <v>22139</v>
      </c>
    </row>
    <row r="1160" spans="1:3" x14ac:dyDescent="0.25">
      <c r="A1160">
        <v>92101042056</v>
      </c>
      <c r="B1160" t="s">
        <v>25206</v>
      </c>
      <c r="C1160" t="s">
        <v>21003</v>
      </c>
    </row>
    <row r="1161" spans="1:3" x14ac:dyDescent="0.25">
      <c r="A1161">
        <v>92101042462</v>
      </c>
      <c r="B1161" t="s">
        <v>20509</v>
      </c>
      <c r="C1161" t="s">
        <v>20508</v>
      </c>
    </row>
    <row r="1162" spans="1:3" x14ac:dyDescent="0.25">
      <c r="A1162">
        <v>92101042469</v>
      </c>
      <c r="B1162" t="s">
        <v>22452</v>
      </c>
      <c r="C1162" t="s">
        <v>22453</v>
      </c>
    </row>
    <row r="1163" spans="1:3" x14ac:dyDescent="0.25">
      <c r="A1163">
        <v>92101042483</v>
      </c>
      <c r="B1163" t="s">
        <v>25207</v>
      </c>
      <c r="C1163" t="s">
        <v>25208</v>
      </c>
    </row>
    <row r="1164" spans="1:3" x14ac:dyDescent="0.25">
      <c r="A1164">
        <v>92101042492</v>
      </c>
      <c r="B1164" t="s">
        <v>20839</v>
      </c>
      <c r="C1164" t="s">
        <v>20838</v>
      </c>
    </row>
    <row r="1165" spans="1:3" x14ac:dyDescent="0.25">
      <c r="A1165">
        <v>92101044086</v>
      </c>
      <c r="B1165" t="s">
        <v>20749</v>
      </c>
      <c r="C1165" t="s">
        <v>21419</v>
      </c>
    </row>
    <row r="1166" spans="1:3" x14ac:dyDescent="0.25">
      <c r="A1166">
        <v>92101046444</v>
      </c>
      <c r="B1166" t="s">
        <v>22988</v>
      </c>
      <c r="C1166" t="s">
        <v>22989</v>
      </c>
    </row>
    <row r="1167" spans="1:3" x14ac:dyDescent="0.25">
      <c r="A1167">
        <v>92101048603</v>
      </c>
      <c r="B1167" t="s">
        <v>22454</v>
      </c>
      <c r="C1167" t="s">
        <v>22455</v>
      </c>
    </row>
    <row r="1168" spans="1:3" x14ac:dyDescent="0.25">
      <c r="A1168">
        <v>92101048606</v>
      </c>
      <c r="B1168" t="s">
        <v>22456</v>
      </c>
      <c r="C1168" t="s">
        <v>22457</v>
      </c>
    </row>
    <row r="1169" spans="1:3" x14ac:dyDescent="0.25">
      <c r="A1169">
        <v>92101048650</v>
      </c>
      <c r="B1169" t="s">
        <v>20881</v>
      </c>
      <c r="C1169" t="s">
        <v>20880</v>
      </c>
    </row>
    <row r="1170" spans="1:3" x14ac:dyDescent="0.25">
      <c r="A1170">
        <v>92101048652</v>
      </c>
      <c r="B1170" t="s">
        <v>20883</v>
      </c>
      <c r="C1170" t="s">
        <v>20882</v>
      </c>
    </row>
    <row r="1171" spans="1:3" x14ac:dyDescent="0.25">
      <c r="A1171">
        <v>92101049640</v>
      </c>
      <c r="B1171" t="s">
        <v>22140</v>
      </c>
      <c r="C1171" t="s">
        <v>22141</v>
      </c>
    </row>
    <row r="1172" spans="1:3" x14ac:dyDescent="0.25">
      <c r="A1172">
        <v>92101051870</v>
      </c>
      <c r="B1172" t="s">
        <v>22142</v>
      </c>
      <c r="C1172" t="s">
        <v>22143</v>
      </c>
    </row>
    <row r="1173" spans="1:3" x14ac:dyDescent="0.25">
      <c r="A1173">
        <v>92101058046</v>
      </c>
      <c r="B1173" t="s">
        <v>22144</v>
      </c>
      <c r="C1173" t="s">
        <v>22145</v>
      </c>
    </row>
    <row r="1174" spans="1:3" x14ac:dyDescent="0.25">
      <c r="A1174">
        <v>92101061044</v>
      </c>
      <c r="B1174" t="s">
        <v>24003</v>
      </c>
      <c r="C1174" t="s">
        <v>24098</v>
      </c>
    </row>
    <row r="1175" spans="1:3" x14ac:dyDescent="0.25">
      <c r="A1175">
        <v>92101061045</v>
      </c>
      <c r="B1175" t="s">
        <v>24099</v>
      </c>
      <c r="C1175" t="s">
        <v>24100</v>
      </c>
    </row>
    <row r="1176" spans="1:3" x14ac:dyDescent="0.25">
      <c r="A1176">
        <v>92101061046</v>
      </c>
      <c r="B1176" t="s">
        <v>24005</v>
      </c>
      <c r="C1176" t="s">
        <v>24101</v>
      </c>
    </row>
    <row r="1177" spans="1:3" x14ac:dyDescent="0.25">
      <c r="A1177">
        <v>92101061047</v>
      </c>
      <c r="B1177" t="s">
        <v>24007</v>
      </c>
      <c r="C1177" t="s">
        <v>24102</v>
      </c>
    </row>
    <row r="1178" spans="1:3" x14ac:dyDescent="0.25">
      <c r="A1178">
        <v>92101061048</v>
      </c>
      <c r="B1178" t="s">
        <v>24103</v>
      </c>
      <c r="C1178" t="s">
        <v>24104</v>
      </c>
    </row>
    <row r="1179" spans="1:3" x14ac:dyDescent="0.25">
      <c r="A1179">
        <v>92101061049</v>
      </c>
      <c r="B1179" t="s">
        <v>24009</v>
      </c>
      <c r="C1179" t="s">
        <v>24105</v>
      </c>
    </row>
    <row r="1180" spans="1:3" x14ac:dyDescent="0.25">
      <c r="A1180">
        <v>92101061050</v>
      </c>
      <c r="B1180" t="s">
        <v>24011</v>
      </c>
      <c r="C1180" t="s">
        <v>24106</v>
      </c>
    </row>
    <row r="1181" spans="1:3" x14ac:dyDescent="0.25">
      <c r="A1181">
        <v>92101061051</v>
      </c>
      <c r="B1181" t="s">
        <v>24107</v>
      </c>
      <c r="C1181" t="s">
        <v>24108</v>
      </c>
    </row>
    <row r="1182" spans="1:3" x14ac:dyDescent="0.25">
      <c r="A1182">
        <v>92101061052</v>
      </c>
      <c r="B1182" t="s">
        <v>24013</v>
      </c>
      <c r="C1182" t="s">
        <v>24109</v>
      </c>
    </row>
    <row r="1183" spans="1:3" x14ac:dyDescent="0.25">
      <c r="A1183">
        <v>92101061573</v>
      </c>
      <c r="B1183" t="s">
        <v>25209</v>
      </c>
      <c r="C1183" t="s">
        <v>25210</v>
      </c>
    </row>
    <row r="1184" spans="1:3" x14ac:dyDescent="0.25">
      <c r="A1184">
        <v>92101062494</v>
      </c>
      <c r="B1184" t="s">
        <v>22990</v>
      </c>
      <c r="C1184" t="s">
        <v>22991</v>
      </c>
    </row>
    <row r="1185" spans="1:3" x14ac:dyDescent="0.25">
      <c r="A1185">
        <v>92101062495</v>
      </c>
      <c r="B1185" t="s">
        <v>22992</v>
      </c>
      <c r="C1185" t="s">
        <v>22993</v>
      </c>
    </row>
    <row r="1186" spans="1:3" x14ac:dyDescent="0.25">
      <c r="A1186">
        <v>92101062691</v>
      </c>
      <c r="B1186" t="s">
        <v>23623</v>
      </c>
      <c r="C1186" t="s">
        <v>23624</v>
      </c>
    </row>
    <row r="1187" spans="1:3" x14ac:dyDescent="0.25">
      <c r="A1187">
        <v>92101063344</v>
      </c>
      <c r="B1187" t="s">
        <v>25211</v>
      </c>
      <c r="C1187" t="s">
        <v>25212</v>
      </c>
    </row>
    <row r="1188" spans="1:3" x14ac:dyDescent="0.25">
      <c r="A1188">
        <v>92101064032</v>
      </c>
      <c r="B1188" t="s">
        <v>20785</v>
      </c>
      <c r="C1188" t="s">
        <v>20784</v>
      </c>
    </row>
    <row r="1189" spans="1:3" x14ac:dyDescent="0.25">
      <c r="A1189">
        <v>92101065362</v>
      </c>
      <c r="B1189" t="s">
        <v>24481</v>
      </c>
      <c r="C1189" t="s">
        <v>25213</v>
      </c>
    </row>
    <row r="1190" spans="1:3" x14ac:dyDescent="0.25">
      <c r="A1190">
        <v>92101066000</v>
      </c>
      <c r="B1190" t="s">
        <v>21420</v>
      </c>
      <c r="C1190" t="s">
        <v>21421</v>
      </c>
    </row>
    <row r="1191" spans="1:3" x14ac:dyDescent="0.25">
      <c r="A1191">
        <v>92101068053</v>
      </c>
      <c r="B1191" t="s">
        <v>25214</v>
      </c>
      <c r="C1191" t="s">
        <v>25215</v>
      </c>
    </row>
    <row r="1192" spans="1:3" x14ac:dyDescent="0.25">
      <c r="A1192">
        <v>92101068151</v>
      </c>
      <c r="B1192" t="s">
        <v>22994</v>
      </c>
      <c r="C1192" t="s">
        <v>22995</v>
      </c>
    </row>
    <row r="1193" spans="1:3" x14ac:dyDescent="0.25">
      <c r="A1193">
        <v>92101068570</v>
      </c>
      <c r="B1193" t="s">
        <v>22146</v>
      </c>
      <c r="C1193" t="s">
        <v>22147</v>
      </c>
    </row>
    <row r="1194" spans="1:3" x14ac:dyDescent="0.25">
      <c r="A1194">
        <v>92101068610</v>
      </c>
      <c r="B1194" t="s">
        <v>22458</v>
      </c>
      <c r="C1194" t="s">
        <v>22459</v>
      </c>
    </row>
    <row r="1195" spans="1:3" x14ac:dyDescent="0.25">
      <c r="A1195">
        <v>92101069533</v>
      </c>
      <c r="B1195" t="s">
        <v>21502</v>
      </c>
      <c r="C1195" t="s">
        <v>21503</v>
      </c>
    </row>
    <row r="1196" spans="1:3" x14ac:dyDescent="0.25">
      <c r="A1196">
        <v>92101069534</v>
      </c>
      <c r="B1196" t="s">
        <v>21504</v>
      </c>
      <c r="C1196" t="s">
        <v>21505</v>
      </c>
    </row>
    <row r="1197" spans="1:3" x14ac:dyDescent="0.25">
      <c r="A1197">
        <v>92101069535</v>
      </c>
      <c r="B1197" t="s">
        <v>21506</v>
      </c>
      <c r="C1197" t="s">
        <v>21507</v>
      </c>
    </row>
    <row r="1198" spans="1:3" x14ac:dyDescent="0.25">
      <c r="A1198">
        <v>92101069537</v>
      </c>
      <c r="B1198" t="s">
        <v>21508</v>
      </c>
      <c r="C1198" t="s">
        <v>21509</v>
      </c>
    </row>
    <row r="1199" spans="1:3" x14ac:dyDescent="0.25">
      <c r="A1199">
        <v>92101069580</v>
      </c>
      <c r="B1199" t="s">
        <v>21510</v>
      </c>
      <c r="C1199" t="s">
        <v>21511</v>
      </c>
    </row>
    <row r="1200" spans="1:3" x14ac:dyDescent="0.25">
      <c r="A1200">
        <v>92101069581</v>
      </c>
      <c r="B1200" t="s">
        <v>21512</v>
      </c>
      <c r="C1200" t="s">
        <v>21513</v>
      </c>
    </row>
    <row r="1201" spans="1:3" x14ac:dyDescent="0.25">
      <c r="A1201">
        <v>92101069582</v>
      </c>
      <c r="B1201" t="s">
        <v>21514</v>
      </c>
      <c r="C1201" t="s">
        <v>21515</v>
      </c>
    </row>
    <row r="1202" spans="1:3" x14ac:dyDescent="0.25">
      <c r="A1202">
        <v>92101069583</v>
      </c>
      <c r="B1202" t="s">
        <v>21516</v>
      </c>
      <c r="C1202" t="s">
        <v>21517</v>
      </c>
    </row>
    <row r="1203" spans="1:3" x14ac:dyDescent="0.25">
      <c r="A1203">
        <v>92101069584</v>
      </c>
      <c r="B1203" t="s">
        <v>22996</v>
      </c>
      <c r="C1203" t="s">
        <v>21518</v>
      </c>
    </row>
    <row r="1204" spans="1:3" x14ac:dyDescent="0.25">
      <c r="A1204">
        <v>92101069585</v>
      </c>
      <c r="B1204" t="s">
        <v>22148</v>
      </c>
      <c r="C1204" t="s">
        <v>21519</v>
      </c>
    </row>
    <row r="1205" spans="1:3" x14ac:dyDescent="0.25">
      <c r="A1205">
        <v>92101069586</v>
      </c>
      <c r="B1205" t="s">
        <v>21520</v>
      </c>
      <c r="C1205" t="s">
        <v>21521</v>
      </c>
    </row>
    <row r="1206" spans="1:3" x14ac:dyDescent="0.25">
      <c r="A1206">
        <v>92101069590</v>
      </c>
      <c r="B1206" t="s">
        <v>21522</v>
      </c>
      <c r="C1206" t="s">
        <v>21523</v>
      </c>
    </row>
    <row r="1207" spans="1:3" x14ac:dyDescent="0.25">
      <c r="A1207">
        <v>92101069591</v>
      </c>
      <c r="B1207" t="s">
        <v>21524</v>
      </c>
      <c r="C1207" t="s">
        <v>21525</v>
      </c>
    </row>
    <row r="1208" spans="1:3" x14ac:dyDescent="0.25">
      <c r="A1208">
        <v>92101069592</v>
      </c>
      <c r="B1208" t="s">
        <v>21526</v>
      </c>
      <c r="C1208" t="s">
        <v>21527</v>
      </c>
    </row>
    <row r="1209" spans="1:3" x14ac:dyDescent="0.25">
      <c r="A1209">
        <v>92101069593</v>
      </c>
      <c r="B1209" t="s">
        <v>21528</v>
      </c>
      <c r="C1209" t="s">
        <v>21529</v>
      </c>
    </row>
    <row r="1210" spans="1:3" x14ac:dyDescent="0.25">
      <c r="A1210">
        <v>92101069594</v>
      </c>
      <c r="B1210" t="s">
        <v>21530</v>
      </c>
      <c r="C1210" t="s">
        <v>21531</v>
      </c>
    </row>
    <row r="1211" spans="1:3" x14ac:dyDescent="0.25">
      <c r="A1211">
        <v>92101069595</v>
      </c>
      <c r="B1211" t="s">
        <v>21532</v>
      </c>
      <c r="C1211" t="s">
        <v>21533</v>
      </c>
    </row>
    <row r="1212" spans="1:3" x14ac:dyDescent="0.25">
      <c r="A1212">
        <v>92101069596</v>
      </c>
      <c r="B1212" t="s">
        <v>22149</v>
      </c>
      <c r="C1212" t="s">
        <v>22150</v>
      </c>
    </row>
    <row r="1213" spans="1:3" x14ac:dyDescent="0.25">
      <c r="A1213">
        <v>92101069597</v>
      </c>
      <c r="B1213" t="s">
        <v>22151</v>
      </c>
      <c r="C1213" t="s">
        <v>22152</v>
      </c>
    </row>
    <row r="1214" spans="1:3" x14ac:dyDescent="0.25">
      <c r="A1214">
        <v>92101069598</v>
      </c>
      <c r="B1214" t="s">
        <v>22153</v>
      </c>
      <c r="C1214" t="s">
        <v>22154</v>
      </c>
    </row>
    <row r="1215" spans="1:3" x14ac:dyDescent="0.25">
      <c r="A1215">
        <v>92101069599</v>
      </c>
      <c r="B1215" t="s">
        <v>22155</v>
      </c>
      <c r="C1215" t="s">
        <v>22156</v>
      </c>
    </row>
    <row r="1216" spans="1:3" x14ac:dyDescent="0.25">
      <c r="A1216">
        <v>92101069600</v>
      </c>
      <c r="B1216" t="s">
        <v>22157</v>
      </c>
      <c r="C1216" t="s">
        <v>22158</v>
      </c>
    </row>
    <row r="1217" spans="1:3" x14ac:dyDescent="0.25">
      <c r="A1217">
        <v>92101069601</v>
      </c>
      <c r="B1217" t="s">
        <v>22159</v>
      </c>
      <c r="C1217" t="s">
        <v>22160</v>
      </c>
    </row>
    <row r="1218" spans="1:3" x14ac:dyDescent="0.25">
      <c r="A1218">
        <v>92101069655</v>
      </c>
      <c r="B1218" t="s">
        <v>21534</v>
      </c>
      <c r="C1218" t="s">
        <v>21535</v>
      </c>
    </row>
    <row r="1219" spans="1:3" x14ac:dyDescent="0.25">
      <c r="A1219">
        <v>92101069656</v>
      </c>
      <c r="B1219" t="s">
        <v>21536</v>
      </c>
      <c r="C1219" t="s">
        <v>21537</v>
      </c>
    </row>
    <row r="1220" spans="1:3" x14ac:dyDescent="0.25">
      <c r="A1220">
        <v>92101069657</v>
      </c>
      <c r="B1220" t="s">
        <v>21538</v>
      </c>
      <c r="C1220" t="s">
        <v>21539</v>
      </c>
    </row>
    <row r="1221" spans="1:3" x14ac:dyDescent="0.25">
      <c r="A1221">
        <v>92101069659</v>
      </c>
      <c r="B1221" t="s">
        <v>21540</v>
      </c>
      <c r="C1221" t="s">
        <v>21541</v>
      </c>
    </row>
    <row r="1222" spans="1:3" x14ac:dyDescent="0.25">
      <c r="A1222">
        <v>92101069661</v>
      </c>
      <c r="B1222" t="s">
        <v>21542</v>
      </c>
      <c r="C1222" t="s">
        <v>21543</v>
      </c>
    </row>
    <row r="1223" spans="1:3" x14ac:dyDescent="0.25">
      <c r="A1223">
        <v>92101069665</v>
      </c>
      <c r="B1223" t="s">
        <v>21544</v>
      </c>
      <c r="C1223" t="s">
        <v>21545</v>
      </c>
    </row>
    <row r="1224" spans="1:3" x14ac:dyDescent="0.25">
      <c r="A1224">
        <v>92101069667</v>
      </c>
      <c r="B1224" t="s">
        <v>21546</v>
      </c>
      <c r="C1224" t="s">
        <v>21547</v>
      </c>
    </row>
    <row r="1225" spans="1:3" x14ac:dyDescent="0.25">
      <c r="A1225">
        <v>92101069668</v>
      </c>
      <c r="B1225" t="s">
        <v>21548</v>
      </c>
      <c r="C1225" t="s">
        <v>21549</v>
      </c>
    </row>
    <row r="1226" spans="1:3" x14ac:dyDescent="0.25">
      <c r="A1226">
        <v>92101069672</v>
      </c>
      <c r="B1226" t="s">
        <v>21550</v>
      </c>
      <c r="C1226" t="s">
        <v>21551</v>
      </c>
    </row>
    <row r="1227" spans="1:3" x14ac:dyDescent="0.25">
      <c r="A1227">
        <v>92101069674</v>
      </c>
      <c r="B1227" t="s">
        <v>21552</v>
      </c>
      <c r="C1227" t="s">
        <v>21553</v>
      </c>
    </row>
    <row r="1228" spans="1:3" x14ac:dyDescent="0.25">
      <c r="A1228">
        <v>92101069862</v>
      </c>
      <c r="B1228" t="s">
        <v>22549</v>
      </c>
      <c r="C1228" t="s">
        <v>22550</v>
      </c>
    </row>
    <row r="1229" spans="1:3" x14ac:dyDescent="0.25">
      <c r="A1229">
        <v>92101069934</v>
      </c>
      <c r="B1229" t="s">
        <v>22997</v>
      </c>
      <c r="C1229" t="s">
        <v>22998</v>
      </c>
    </row>
    <row r="1230" spans="1:3" x14ac:dyDescent="0.25">
      <c r="A1230">
        <v>92101086445</v>
      </c>
      <c r="B1230" t="s">
        <v>22999</v>
      </c>
      <c r="C1230" t="s">
        <v>23000</v>
      </c>
    </row>
    <row r="1231" spans="1:3" x14ac:dyDescent="0.25">
      <c r="A1231">
        <v>92101103020</v>
      </c>
      <c r="B1231" t="s">
        <v>23932</v>
      </c>
      <c r="C1231" t="s">
        <v>21025</v>
      </c>
    </row>
    <row r="1232" spans="1:3" x14ac:dyDescent="0.25">
      <c r="A1232">
        <v>92101105008</v>
      </c>
      <c r="B1232" t="s">
        <v>23932</v>
      </c>
      <c r="C1232" t="s">
        <v>23625</v>
      </c>
    </row>
    <row r="1233" spans="1:3" x14ac:dyDescent="0.25">
      <c r="A1233">
        <v>92101106136</v>
      </c>
      <c r="B1233" t="s">
        <v>23933</v>
      </c>
      <c r="C1233" t="s">
        <v>23934</v>
      </c>
    </row>
    <row r="1234" spans="1:3" x14ac:dyDescent="0.25">
      <c r="A1234">
        <v>92101106140</v>
      </c>
      <c r="B1234" t="s">
        <v>23935</v>
      </c>
      <c r="C1234" t="s">
        <v>20946</v>
      </c>
    </row>
    <row r="1235" spans="1:3" x14ac:dyDescent="0.25">
      <c r="A1235">
        <v>92101106303</v>
      </c>
      <c r="B1235" t="s">
        <v>22460</v>
      </c>
      <c r="C1235" t="s">
        <v>22461</v>
      </c>
    </row>
    <row r="1236" spans="1:3" x14ac:dyDescent="0.25">
      <c r="A1236">
        <v>92101107950</v>
      </c>
      <c r="B1236" t="s">
        <v>23936</v>
      </c>
      <c r="C1236" t="s">
        <v>23937</v>
      </c>
    </row>
    <row r="1237" spans="1:3" x14ac:dyDescent="0.25">
      <c r="A1237">
        <v>92101108564</v>
      </c>
      <c r="B1237" t="s">
        <v>21028</v>
      </c>
      <c r="C1237" t="s">
        <v>21027</v>
      </c>
    </row>
    <row r="1238" spans="1:3" x14ac:dyDescent="0.25">
      <c r="A1238">
        <v>92101109025</v>
      </c>
      <c r="B1238" t="s">
        <v>20859</v>
      </c>
      <c r="C1238" t="s">
        <v>20858</v>
      </c>
    </row>
    <row r="1239" spans="1:3" x14ac:dyDescent="0.25">
      <c r="A1239">
        <v>92101109688</v>
      </c>
      <c r="B1239" t="s">
        <v>21067</v>
      </c>
      <c r="C1239" t="s">
        <v>21066</v>
      </c>
    </row>
    <row r="1240" spans="1:3" x14ac:dyDescent="0.25">
      <c r="A1240">
        <v>92101115802</v>
      </c>
      <c r="B1240" t="s">
        <v>22161</v>
      </c>
      <c r="C1240" t="s">
        <v>22162</v>
      </c>
    </row>
    <row r="1241" spans="1:3" x14ac:dyDescent="0.25">
      <c r="A1241">
        <v>92101119171</v>
      </c>
      <c r="B1241" t="s">
        <v>20513</v>
      </c>
      <c r="C1241" t="s">
        <v>20512</v>
      </c>
    </row>
    <row r="1242" spans="1:3" x14ac:dyDescent="0.25">
      <c r="A1242">
        <v>92101472178</v>
      </c>
      <c r="B1242" t="s">
        <v>20507</v>
      </c>
      <c r="C1242" t="s">
        <v>20506</v>
      </c>
    </row>
    <row r="1243" spans="1:3" x14ac:dyDescent="0.25">
      <c r="A1243">
        <v>92101853643</v>
      </c>
      <c r="B1243" t="s">
        <v>20923</v>
      </c>
      <c r="C1243" t="s">
        <v>20922</v>
      </c>
    </row>
    <row r="1244" spans="1:3" x14ac:dyDescent="0.25">
      <c r="A1244">
        <v>92101854217</v>
      </c>
      <c r="B1244" t="s">
        <v>22690</v>
      </c>
      <c r="C1244" t="s">
        <v>22691</v>
      </c>
    </row>
    <row r="1245" spans="1:3" x14ac:dyDescent="0.25">
      <c r="A1245">
        <v>92101854218</v>
      </c>
      <c r="B1245" t="s">
        <v>20809</v>
      </c>
      <c r="C1245" t="s">
        <v>20808</v>
      </c>
    </row>
    <row r="1246" spans="1:3" x14ac:dyDescent="0.25">
      <c r="A1246">
        <v>92101862252</v>
      </c>
      <c r="B1246" t="s">
        <v>22355</v>
      </c>
      <c r="C1246" t="s">
        <v>20999</v>
      </c>
    </row>
    <row r="1247" spans="1:3" x14ac:dyDescent="0.25">
      <c r="A1247">
        <v>92102021373</v>
      </c>
      <c r="B1247" t="s">
        <v>25216</v>
      </c>
      <c r="C1247" t="s">
        <v>25217</v>
      </c>
    </row>
    <row r="1248" spans="1:3" x14ac:dyDescent="0.25">
      <c r="A1248">
        <v>92102028607</v>
      </c>
      <c r="B1248" t="s">
        <v>22462</v>
      </c>
      <c r="C1248" t="s">
        <v>22463</v>
      </c>
    </row>
    <row r="1249" spans="1:3" x14ac:dyDescent="0.25">
      <c r="A1249">
        <v>92102029035</v>
      </c>
      <c r="B1249" t="s">
        <v>20869</v>
      </c>
      <c r="C1249" t="s">
        <v>20868</v>
      </c>
    </row>
    <row r="1250" spans="1:3" x14ac:dyDescent="0.25">
      <c r="A1250">
        <v>92102030432</v>
      </c>
      <c r="B1250" t="s">
        <v>24494</v>
      </c>
      <c r="C1250" t="s">
        <v>25218</v>
      </c>
    </row>
    <row r="1251" spans="1:3" x14ac:dyDescent="0.25">
      <c r="A1251">
        <v>92102035363</v>
      </c>
      <c r="B1251" t="s">
        <v>20962</v>
      </c>
      <c r="C1251" t="s">
        <v>20961</v>
      </c>
    </row>
    <row r="1252" spans="1:3" x14ac:dyDescent="0.25">
      <c r="A1252">
        <v>92102038512</v>
      </c>
      <c r="B1252" t="s">
        <v>20960</v>
      </c>
      <c r="C1252" t="s">
        <v>20959</v>
      </c>
    </row>
    <row r="1253" spans="1:3" x14ac:dyDescent="0.25">
      <c r="A1253">
        <v>92102061200</v>
      </c>
      <c r="B1253" t="s">
        <v>23938</v>
      </c>
      <c r="C1253" t="s">
        <v>23939</v>
      </c>
    </row>
    <row r="1254" spans="1:3" x14ac:dyDescent="0.25">
      <c r="A1254">
        <v>92102061201</v>
      </c>
      <c r="B1254" t="s">
        <v>23940</v>
      </c>
      <c r="C1254" t="s">
        <v>23941</v>
      </c>
    </row>
    <row r="1255" spans="1:3" x14ac:dyDescent="0.25">
      <c r="A1255">
        <v>92102065087</v>
      </c>
      <c r="B1255" t="s">
        <v>22163</v>
      </c>
      <c r="C1255" t="s">
        <v>22164</v>
      </c>
    </row>
    <row r="1256" spans="1:3" x14ac:dyDescent="0.25">
      <c r="A1256">
        <v>92102068609</v>
      </c>
      <c r="B1256" t="s">
        <v>22464</v>
      </c>
      <c r="C1256" t="s">
        <v>22465</v>
      </c>
    </row>
    <row r="1257" spans="1:3" x14ac:dyDescent="0.25">
      <c r="A1257">
        <v>92102088509</v>
      </c>
      <c r="B1257" t="s">
        <v>20964</v>
      </c>
      <c r="C1257" t="s">
        <v>20963</v>
      </c>
    </row>
    <row r="1258" spans="1:3" x14ac:dyDescent="0.25">
      <c r="A1258">
        <v>92102106137</v>
      </c>
      <c r="B1258" t="s">
        <v>23942</v>
      </c>
      <c r="C1258" t="s">
        <v>23943</v>
      </c>
    </row>
    <row r="1259" spans="1:3" x14ac:dyDescent="0.25">
      <c r="A1259">
        <v>92102106141</v>
      </c>
      <c r="B1259" t="s">
        <v>23944</v>
      </c>
      <c r="C1259" t="s">
        <v>20948</v>
      </c>
    </row>
    <row r="1260" spans="1:3" x14ac:dyDescent="0.25">
      <c r="A1260">
        <v>92102109022</v>
      </c>
      <c r="B1260" t="s">
        <v>20865</v>
      </c>
      <c r="C1260" t="s">
        <v>20864</v>
      </c>
    </row>
    <row r="1261" spans="1:3" x14ac:dyDescent="0.25">
      <c r="A1261">
        <v>92102109026</v>
      </c>
      <c r="B1261" t="s">
        <v>20861</v>
      </c>
      <c r="C1261" t="s">
        <v>20860</v>
      </c>
    </row>
    <row r="1262" spans="1:3" x14ac:dyDescent="0.25">
      <c r="A1262">
        <v>92102111810</v>
      </c>
      <c r="B1262" t="s">
        <v>24493</v>
      </c>
      <c r="C1262" t="s">
        <v>25219</v>
      </c>
    </row>
    <row r="1263" spans="1:3" x14ac:dyDescent="0.25">
      <c r="A1263">
        <v>92102156030</v>
      </c>
      <c r="B1263" t="s">
        <v>21017</v>
      </c>
      <c r="C1263" t="s">
        <v>21016</v>
      </c>
    </row>
    <row r="1264" spans="1:3" x14ac:dyDescent="0.25">
      <c r="A1264">
        <v>92102156032</v>
      </c>
      <c r="B1264" t="s">
        <v>20511</v>
      </c>
      <c r="C1264" t="s">
        <v>20510</v>
      </c>
    </row>
    <row r="1265" spans="1:3" x14ac:dyDescent="0.25">
      <c r="A1265">
        <v>92102161511</v>
      </c>
      <c r="B1265" t="s">
        <v>25220</v>
      </c>
      <c r="C1265" t="s">
        <v>25221</v>
      </c>
    </row>
    <row r="1266" spans="1:3" x14ac:dyDescent="0.25">
      <c r="A1266">
        <v>92102161512</v>
      </c>
      <c r="B1266" t="s">
        <v>25222</v>
      </c>
      <c r="C1266" t="s">
        <v>25223</v>
      </c>
    </row>
    <row r="1267" spans="1:3" x14ac:dyDescent="0.25">
      <c r="A1267">
        <v>92102161513</v>
      </c>
      <c r="B1267" t="s">
        <v>25224</v>
      </c>
      <c r="C1267" t="s">
        <v>25225</v>
      </c>
    </row>
    <row r="1268" spans="1:3" x14ac:dyDescent="0.25">
      <c r="A1268">
        <v>92102162423</v>
      </c>
      <c r="B1268" t="s">
        <v>25226</v>
      </c>
      <c r="C1268" t="s">
        <v>25227</v>
      </c>
    </row>
    <row r="1269" spans="1:3" x14ac:dyDescent="0.25">
      <c r="A1269">
        <v>92102162494</v>
      </c>
      <c r="B1269" t="s">
        <v>20841</v>
      </c>
      <c r="C1269" t="s">
        <v>20840</v>
      </c>
    </row>
    <row r="1270" spans="1:3" x14ac:dyDescent="0.25">
      <c r="A1270">
        <v>92102169628</v>
      </c>
      <c r="B1270" t="s">
        <v>22165</v>
      </c>
      <c r="C1270" t="s">
        <v>22166</v>
      </c>
    </row>
    <row r="1271" spans="1:3" x14ac:dyDescent="0.25">
      <c r="A1271">
        <v>92102169641</v>
      </c>
      <c r="B1271" t="s">
        <v>22167</v>
      </c>
      <c r="C1271" t="s">
        <v>22168</v>
      </c>
    </row>
    <row r="1272" spans="1:3" x14ac:dyDescent="0.25">
      <c r="A1272">
        <v>92102183931</v>
      </c>
      <c r="B1272" t="s">
        <v>25228</v>
      </c>
      <c r="C1272" t="s">
        <v>21001</v>
      </c>
    </row>
    <row r="1273" spans="1:3" x14ac:dyDescent="0.25">
      <c r="A1273">
        <v>92102185287</v>
      </c>
      <c r="B1273" t="s">
        <v>25229</v>
      </c>
      <c r="C1273" t="s">
        <v>21005</v>
      </c>
    </row>
    <row r="1274" spans="1:3" x14ac:dyDescent="0.25">
      <c r="A1274">
        <v>92102189030</v>
      </c>
      <c r="B1274" t="s">
        <v>20857</v>
      </c>
      <c r="C1274" t="s">
        <v>20856</v>
      </c>
    </row>
    <row r="1275" spans="1:3" x14ac:dyDescent="0.25">
      <c r="A1275">
        <v>92102189901</v>
      </c>
      <c r="B1275" t="s">
        <v>22692</v>
      </c>
      <c r="C1275" t="s">
        <v>22693</v>
      </c>
    </row>
    <row r="1276" spans="1:3" x14ac:dyDescent="0.25">
      <c r="A1276">
        <v>92102221241</v>
      </c>
      <c r="B1276" t="s">
        <v>23626</v>
      </c>
      <c r="C1276" t="s">
        <v>23627</v>
      </c>
    </row>
    <row r="1277" spans="1:3" x14ac:dyDescent="0.25">
      <c r="A1277">
        <v>92102221243</v>
      </c>
      <c r="B1277" t="s">
        <v>23945</v>
      </c>
      <c r="C1277" t="s">
        <v>23946</v>
      </c>
    </row>
    <row r="1278" spans="1:3" x14ac:dyDescent="0.25">
      <c r="A1278">
        <v>92102221562</v>
      </c>
      <c r="B1278" t="s">
        <v>25230</v>
      </c>
      <c r="C1278" t="s">
        <v>25231</v>
      </c>
    </row>
    <row r="1279" spans="1:3" x14ac:dyDescent="0.25">
      <c r="A1279">
        <v>92102221564</v>
      </c>
      <c r="B1279" t="s">
        <v>25232</v>
      </c>
      <c r="C1279" t="s">
        <v>25233</v>
      </c>
    </row>
    <row r="1280" spans="1:3" x14ac:dyDescent="0.25">
      <c r="A1280">
        <v>92102221571</v>
      </c>
      <c r="B1280" t="s">
        <v>25234</v>
      </c>
      <c r="C1280" t="s">
        <v>25235</v>
      </c>
    </row>
    <row r="1281" spans="1:3" x14ac:dyDescent="0.25">
      <c r="A1281">
        <v>92102222748</v>
      </c>
      <c r="B1281" t="s">
        <v>25236</v>
      </c>
      <c r="C1281" t="s">
        <v>25237</v>
      </c>
    </row>
    <row r="1282" spans="1:3" x14ac:dyDescent="0.25">
      <c r="A1282">
        <v>92102222749</v>
      </c>
      <c r="B1282" t="s">
        <v>23628</v>
      </c>
      <c r="C1282" t="s">
        <v>23629</v>
      </c>
    </row>
    <row r="1283" spans="1:3" x14ac:dyDescent="0.25">
      <c r="A1283">
        <v>92102223273</v>
      </c>
      <c r="B1283" t="s">
        <v>23630</v>
      </c>
      <c r="C1283" t="s">
        <v>23631</v>
      </c>
    </row>
    <row r="1284" spans="1:3" x14ac:dyDescent="0.25">
      <c r="A1284">
        <v>92102224401</v>
      </c>
      <c r="B1284" t="s">
        <v>20925</v>
      </c>
      <c r="C1284" t="s">
        <v>20924</v>
      </c>
    </row>
    <row r="1285" spans="1:3" x14ac:dyDescent="0.25">
      <c r="A1285">
        <v>92102225856</v>
      </c>
      <c r="B1285" t="s">
        <v>23947</v>
      </c>
      <c r="C1285" t="s">
        <v>23948</v>
      </c>
    </row>
    <row r="1286" spans="1:3" x14ac:dyDescent="0.25">
      <c r="A1286">
        <v>92102388538</v>
      </c>
      <c r="B1286" t="s">
        <v>20787</v>
      </c>
      <c r="C1286" t="s">
        <v>20786</v>
      </c>
    </row>
    <row r="1287" spans="1:3" x14ac:dyDescent="0.25">
      <c r="A1287">
        <v>92102408617</v>
      </c>
      <c r="B1287" t="s">
        <v>25238</v>
      </c>
      <c r="C1287" t="s">
        <v>25239</v>
      </c>
    </row>
    <row r="1288" spans="1:3" x14ac:dyDescent="0.25">
      <c r="A1288">
        <v>92102461479</v>
      </c>
      <c r="B1288" t="s">
        <v>25240</v>
      </c>
      <c r="C1288" t="s">
        <v>25241</v>
      </c>
    </row>
    <row r="1289" spans="1:3" x14ac:dyDescent="0.25">
      <c r="A1289">
        <v>92102626395</v>
      </c>
      <c r="B1289" t="s">
        <v>21069</v>
      </c>
      <c r="C1289" t="s">
        <v>21068</v>
      </c>
    </row>
    <row r="1290" spans="1:3" x14ac:dyDescent="0.25">
      <c r="A1290">
        <v>92102628604</v>
      </c>
      <c r="B1290" t="s">
        <v>22466</v>
      </c>
      <c r="C1290" t="s">
        <v>22467</v>
      </c>
    </row>
    <row r="1291" spans="1:3" x14ac:dyDescent="0.25">
      <c r="A1291">
        <v>92102769859</v>
      </c>
      <c r="B1291" t="s">
        <v>22551</v>
      </c>
      <c r="C1291" t="s">
        <v>22552</v>
      </c>
    </row>
    <row r="1292" spans="1:3" x14ac:dyDescent="0.25">
      <c r="A1292">
        <v>92102868562</v>
      </c>
      <c r="B1292" t="s">
        <v>25242</v>
      </c>
      <c r="C1292" t="s">
        <v>21029</v>
      </c>
    </row>
    <row r="1293" spans="1:3" x14ac:dyDescent="0.25">
      <c r="A1293">
        <v>92102868565</v>
      </c>
      <c r="B1293" t="s">
        <v>25243</v>
      </c>
      <c r="C1293" t="s">
        <v>21031</v>
      </c>
    </row>
    <row r="1294" spans="1:3" x14ac:dyDescent="0.25">
      <c r="A1294">
        <v>92103030437</v>
      </c>
      <c r="B1294" t="s">
        <v>22780</v>
      </c>
      <c r="C1294" t="s">
        <v>22781</v>
      </c>
    </row>
    <row r="1295" spans="1:3" x14ac:dyDescent="0.25">
      <c r="A1295">
        <v>92103069294</v>
      </c>
      <c r="B1295" t="s">
        <v>20879</v>
      </c>
      <c r="C1295" t="s">
        <v>20878</v>
      </c>
    </row>
    <row r="1296" spans="1:3" x14ac:dyDescent="0.25">
      <c r="A1296">
        <v>92103177961</v>
      </c>
      <c r="B1296" t="s">
        <v>23272</v>
      </c>
      <c r="C1296" t="s">
        <v>23273</v>
      </c>
    </row>
    <row r="1297" spans="1:3" x14ac:dyDescent="0.25">
      <c r="A1297">
        <v>92104030438</v>
      </c>
      <c r="B1297" t="s">
        <v>25244</v>
      </c>
      <c r="C1297" t="s">
        <v>21102</v>
      </c>
    </row>
    <row r="1298" spans="1:3" x14ac:dyDescent="0.25">
      <c r="A1298">
        <v>92104032519</v>
      </c>
      <c r="B1298" t="s">
        <v>20843</v>
      </c>
      <c r="C1298" t="s">
        <v>20842</v>
      </c>
    </row>
    <row r="1299" spans="1:3" x14ac:dyDescent="0.25">
      <c r="A1299">
        <v>92104051541</v>
      </c>
      <c r="B1299" t="s">
        <v>25245</v>
      </c>
      <c r="C1299" t="s">
        <v>25246</v>
      </c>
    </row>
    <row r="1300" spans="1:3" x14ac:dyDescent="0.25">
      <c r="A1300">
        <v>92104060733</v>
      </c>
      <c r="B1300" t="s">
        <v>25247</v>
      </c>
      <c r="C1300" t="s">
        <v>25248</v>
      </c>
    </row>
    <row r="1301" spans="1:3" x14ac:dyDescent="0.25">
      <c r="A1301">
        <v>92104065539</v>
      </c>
      <c r="B1301" t="s">
        <v>22468</v>
      </c>
      <c r="C1301" t="s">
        <v>22469</v>
      </c>
    </row>
    <row r="1302" spans="1:3" x14ac:dyDescent="0.25">
      <c r="A1302">
        <v>92104104000</v>
      </c>
      <c r="B1302" t="s">
        <v>20807</v>
      </c>
      <c r="C1302" t="s">
        <v>20806</v>
      </c>
    </row>
    <row r="1303" spans="1:3" x14ac:dyDescent="0.25">
      <c r="A1303">
        <v>92104105945</v>
      </c>
      <c r="B1303" t="s">
        <v>22169</v>
      </c>
      <c r="C1303" t="s">
        <v>22170</v>
      </c>
    </row>
    <row r="1304" spans="1:3" x14ac:dyDescent="0.25">
      <c r="A1304">
        <v>92104107588</v>
      </c>
      <c r="B1304" t="s">
        <v>25249</v>
      </c>
      <c r="C1304" t="s">
        <v>23001</v>
      </c>
    </row>
    <row r="1305" spans="1:3" x14ac:dyDescent="0.25">
      <c r="A1305">
        <v>92104142469</v>
      </c>
      <c r="B1305" t="s">
        <v>25250</v>
      </c>
      <c r="C1305" t="s">
        <v>25251</v>
      </c>
    </row>
    <row r="1306" spans="1:3" x14ac:dyDescent="0.25">
      <c r="A1306">
        <v>92104156036</v>
      </c>
      <c r="B1306" t="s">
        <v>20517</v>
      </c>
      <c r="C1306" t="s">
        <v>20516</v>
      </c>
    </row>
    <row r="1307" spans="1:3" x14ac:dyDescent="0.25">
      <c r="A1307">
        <v>92104211563</v>
      </c>
      <c r="B1307" t="s">
        <v>25252</v>
      </c>
      <c r="C1307" t="s">
        <v>25253</v>
      </c>
    </row>
    <row r="1308" spans="1:3" x14ac:dyDescent="0.25">
      <c r="A1308">
        <v>92104476208</v>
      </c>
      <c r="B1308" t="s">
        <v>21710</v>
      </c>
      <c r="C1308" t="s">
        <v>22171</v>
      </c>
    </row>
    <row r="1309" spans="1:3" x14ac:dyDescent="0.25">
      <c r="A1309">
        <v>92104741028</v>
      </c>
      <c r="B1309" t="s">
        <v>23274</v>
      </c>
      <c r="C1309" t="s">
        <v>23275</v>
      </c>
    </row>
    <row r="1310" spans="1:3" x14ac:dyDescent="0.25">
      <c r="A1310">
        <v>92104861371</v>
      </c>
      <c r="B1310" t="s">
        <v>25254</v>
      </c>
      <c r="C1310" t="s">
        <v>25255</v>
      </c>
    </row>
    <row r="1311" spans="1:3" x14ac:dyDescent="0.25">
      <c r="A1311">
        <v>92104868377</v>
      </c>
      <c r="B1311" t="s">
        <v>22172</v>
      </c>
      <c r="C1311" t="s">
        <v>22173</v>
      </c>
    </row>
    <row r="1312" spans="1:3" x14ac:dyDescent="0.25">
      <c r="A1312">
        <v>92105021460</v>
      </c>
      <c r="B1312" t="s">
        <v>25256</v>
      </c>
      <c r="C1312" t="s">
        <v>25257</v>
      </c>
    </row>
    <row r="1313" spans="1:3" x14ac:dyDescent="0.25">
      <c r="A1313">
        <v>92105021461</v>
      </c>
      <c r="B1313" t="s">
        <v>25258</v>
      </c>
      <c r="C1313" t="s">
        <v>25259</v>
      </c>
    </row>
    <row r="1314" spans="1:3" x14ac:dyDescent="0.25">
      <c r="A1314">
        <v>92105029730</v>
      </c>
      <c r="B1314" t="s">
        <v>21422</v>
      </c>
      <c r="C1314" t="s">
        <v>21423</v>
      </c>
    </row>
    <row r="1315" spans="1:3" x14ac:dyDescent="0.25">
      <c r="A1315">
        <v>92105030439</v>
      </c>
      <c r="B1315" t="s">
        <v>20966</v>
      </c>
      <c r="C1315" t="s">
        <v>20965</v>
      </c>
    </row>
    <row r="1316" spans="1:3" x14ac:dyDescent="0.25">
      <c r="A1316">
        <v>92105103272</v>
      </c>
      <c r="B1316" t="s">
        <v>20789</v>
      </c>
      <c r="C1316" t="s">
        <v>20788</v>
      </c>
    </row>
    <row r="1317" spans="1:3" x14ac:dyDescent="0.25">
      <c r="A1317">
        <v>92105153932</v>
      </c>
      <c r="B1317" t="s">
        <v>25260</v>
      </c>
      <c r="C1317" t="s">
        <v>21007</v>
      </c>
    </row>
    <row r="1318" spans="1:3" x14ac:dyDescent="0.25">
      <c r="A1318">
        <v>92105225860</v>
      </c>
      <c r="B1318" t="s">
        <v>20927</v>
      </c>
      <c r="C1318" t="s">
        <v>20926</v>
      </c>
    </row>
    <row r="1319" spans="1:3" x14ac:dyDescent="0.25">
      <c r="A1319">
        <v>92105232467</v>
      </c>
      <c r="B1319" t="s">
        <v>23949</v>
      </c>
      <c r="C1319" t="s">
        <v>21033</v>
      </c>
    </row>
    <row r="1320" spans="1:3" x14ac:dyDescent="0.25">
      <c r="A1320">
        <v>92105268542</v>
      </c>
      <c r="B1320" t="s">
        <v>20968</v>
      </c>
      <c r="C1320" t="s">
        <v>20967</v>
      </c>
    </row>
    <row r="1321" spans="1:3" x14ac:dyDescent="0.25">
      <c r="A1321">
        <v>92105268543</v>
      </c>
      <c r="B1321" t="s">
        <v>20970</v>
      </c>
      <c r="C1321" t="s">
        <v>20969</v>
      </c>
    </row>
    <row r="1322" spans="1:3" x14ac:dyDescent="0.25">
      <c r="A1322">
        <v>92107349031</v>
      </c>
      <c r="B1322" t="s">
        <v>20877</v>
      </c>
      <c r="C1322" t="s">
        <v>20876</v>
      </c>
    </row>
    <row r="1323" spans="1:3" x14ac:dyDescent="0.25">
      <c r="A1323">
        <v>92108274001</v>
      </c>
      <c r="B1323" t="s">
        <v>20805</v>
      </c>
      <c r="C1323" t="s">
        <v>20804</v>
      </c>
    </row>
    <row r="1324" spans="1:3" x14ac:dyDescent="0.25">
      <c r="A1324">
        <v>92108276037</v>
      </c>
      <c r="B1324" t="s">
        <v>20515</v>
      </c>
      <c r="C1324" t="s">
        <v>20514</v>
      </c>
    </row>
    <row r="1325" spans="1:3" x14ac:dyDescent="0.25">
      <c r="A1325">
        <v>92108303842</v>
      </c>
      <c r="B1325" t="s">
        <v>20723</v>
      </c>
      <c r="C1325" t="s">
        <v>20722</v>
      </c>
    </row>
    <row r="1326" spans="1:3" x14ac:dyDescent="0.25">
      <c r="A1326">
        <v>92108305292</v>
      </c>
      <c r="B1326" t="s">
        <v>22174</v>
      </c>
      <c r="C1326" t="s">
        <v>22175</v>
      </c>
    </row>
    <row r="1327" spans="1:3" x14ac:dyDescent="0.25">
      <c r="A1327">
        <v>92108305867</v>
      </c>
      <c r="B1327" t="s">
        <v>22176</v>
      </c>
      <c r="C1327" t="s">
        <v>22177</v>
      </c>
    </row>
    <row r="1328" spans="1:3" x14ac:dyDescent="0.25">
      <c r="A1328">
        <v>92108341082</v>
      </c>
      <c r="B1328" t="s">
        <v>23002</v>
      </c>
      <c r="C1328" t="s">
        <v>23003</v>
      </c>
    </row>
    <row r="1329" spans="1:3" x14ac:dyDescent="0.25">
      <c r="A1329">
        <v>92108861372</v>
      </c>
      <c r="B1329" t="s">
        <v>25261</v>
      </c>
      <c r="C1329" t="s">
        <v>25262</v>
      </c>
    </row>
    <row r="1330" spans="1:3" x14ac:dyDescent="0.25">
      <c r="A1330">
        <v>92109289836</v>
      </c>
      <c r="B1330" t="s">
        <v>22845</v>
      </c>
      <c r="C1330" t="s">
        <v>22370</v>
      </c>
    </row>
    <row r="1331" spans="1:3" x14ac:dyDescent="0.25">
      <c r="A1331">
        <v>92109349023</v>
      </c>
      <c r="B1331" t="s">
        <v>20875</v>
      </c>
      <c r="C1331" t="s">
        <v>20874</v>
      </c>
    </row>
    <row r="1332" spans="1:3" x14ac:dyDescent="0.25">
      <c r="A1332">
        <v>92110300739</v>
      </c>
      <c r="B1332" t="s">
        <v>21424</v>
      </c>
      <c r="C1332" t="s">
        <v>21425</v>
      </c>
    </row>
    <row r="1333" spans="1:3" x14ac:dyDescent="0.25">
      <c r="A1333">
        <v>92110309903</v>
      </c>
      <c r="B1333" t="s">
        <v>22694</v>
      </c>
      <c r="C1333" t="s">
        <v>22695</v>
      </c>
    </row>
    <row r="1334" spans="1:3" x14ac:dyDescent="0.25">
      <c r="A1334">
        <v>92110341323</v>
      </c>
      <c r="B1334" t="s">
        <v>24059</v>
      </c>
      <c r="C1334" t="s">
        <v>24110</v>
      </c>
    </row>
    <row r="1335" spans="1:3" x14ac:dyDescent="0.25">
      <c r="A1335">
        <v>92110341324</v>
      </c>
      <c r="B1335" t="s">
        <v>24061</v>
      </c>
      <c r="C1335" t="s">
        <v>24111</v>
      </c>
    </row>
    <row r="1336" spans="1:3" x14ac:dyDescent="0.25">
      <c r="A1336">
        <v>92110341325</v>
      </c>
      <c r="B1336" t="s">
        <v>24063</v>
      </c>
      <c r="C1336" t="s">
        <v>24112</v>
      </c>
    </row>
    <row r="1337" spans="1:3" x14ac:dyDescent="0.25">
      <c r="A1337">
        <v>92110349027</v>
      </c>
      <c r="B1337" t="s">
        <v>20873</v>
      </c>
      <c r="C1337" t="s">
        <v>20872</v>
      </c>
    </row>
    <row r="1338" spans="1:3" x14ac:dyDescent="0.25">
      <c r="A1338">
        <v>92110349032</v>
      </c>
      <c r="B1338" t="s">
        <v>20871</v>
      </c>
      <c r="C1338" t="s">
        <v>20870</v>
      </c>
    </row>
    <row r="1339" spans="1:3" x14ac:dyDescent="0.25">
      <c r="A1339">
        <v>92111016797</v>
      </c>
      <c r="B1339" t="s">
        <v>24511</v>
      </c>
      <c r="C1339" t="s">
        <v>25263</v>
      </c>
    </row>
    <row r="1340" spans="1:3" x14ac:dyDescent="0.25">
      <c r="A1340">
        <v>92111051310</v>
      </c>
      <c r="B1340" t="s">
        <v>24065</v>
      </c>
      <c r="C1340" t="s">
        <v>25264</v>
      </c>
    </row>
    <row r="1341" spans="1:3" x14ac:dyDescent="0.25">
      <c r="A1341">
        <v>92111239728</v>
      </c>
      <c r="B1341" t="s">
        <v>21426</v>
      </c>
      <c r="C1341" t="s">
        <v>21427</v>
      </c>
    </row>
    <row r="1342" spans="1:3" x14ac:dyDescent="0.25">
      <c r="A1342">
        <v>92112029729</v>
      </c>
      <c r="B1342" t="s">
        <v>22553</v>
      </c>
      <c r="C1342" t="s">
        <v>21428</v>
      </c>
    </row>
    <row r="1343" spans="1:3" x14ac:dyDescent="0.25">
      <c r="A1343">
        <v>92115011196</v>
      </c>
      <c r="B1343" t="s">
        <v>23950</v>
      </c>
      <c r="C1343" t="s">
        <v>23951</v>
      </c>
    </row>
    <row r="1344" spans="1:3" x14ac:dyDescent="0.25">
      <c r="A1344">
        <v>92115011197</v>
      </c>
      <c r="B1344" t="s">
        <v>23952</v>
      </c>
      <c r="C1344" t="s">
        <v>23953</v>
      </c>
    </row>
    <row r="1345" spans="1:3" x14ac:dyDescent="0.25">
      <c r="A1345">
        <v>92115012380</v>
      </c>
      <c r="B1345" t="s">
        <v>25265</v>
      </c>
      <c r="C1345" t="s">
        <v>25266</v>
      </c>
    </row>
    <row r="1346" spans="1:3" x14ac:dyDescent="0.25">
      <c r="A1346">
        <v>92115017839</v>
      </c>
      <c r="B1346" t="s">
        <v>20954</v>
      </c>
      <c r="C1346" t="s">
        <v>20953</v>
      </c>
    </row>
    <row r="1347" spans="1:3" x14ac:dyDescent="0.25">
      <c r="A1347">
        <v>92115019755</v>
      </c>
      <c r="B1347" t="s">
        <v>22371</v>
      </c>
      <c r="C1347" t="s">
        <v>22372</v>
      </c>
    </row>
    <row r="1348" spans="1:3" x14ac:dyDescent="0.25">
      <c r="A1348">
        <v>92115021017</v>
      </c>
      <c r="B1348" t="s">
        <v>25267</v>
      </c>
      <c r="C1348" t="s">
        <v>25268</v>
      </c>
    </row>
    <row r="1349" spans="1:3" x14ac:dyDescent="0.25">
      <c r="A1349">
        <v>92115022043</v>
      </c>
      <c r="B1349" t="s">
        <v>22178</v>
      </c>
      <c r="C1349" t="s">
        <v>22179</v>
      </c>
    </row>
    <row r="1350" spans="1:3" x14ac:dyDescent="0.25">
      <c r="A1350">
        <v>92115026552</v>
      </c>
      <c r="B1350" t="s">
        <v>25269</v>
      </c>
      <c r="C1350" t="s">
        <v>25270</v>
      </c>
    </row>
    <row r="1351" spans="1:3" x14ac:dyDescent="0.25">
      <c r="A1351">
        <v>92115027838</v>
      </c>
      <c r="B1351" t="s">
        <v>20956</v>
      </c>
      <c r="C1351" t="s">
        <v>20955</v>
      </c>
    </row>
    <row r="1352" spans="1:3" x14ac:dyDescent="0.25">
      <c r="A1352">
        <v>92115029024</v>
      </c>
      <c r="B1352" t="s">
        <v>20853</v>
      </c>
      <c r="C1352" t="s">
        <v>20852</v>
      </c>
    </row>
    <row r="1353" spans="1:3" x14ac:dyDescent="0.25">
      <c r="A1353">
        <v>92115029937</v>
      </c>
      <c r="B1353" t="s">
        <v>22782</v>
      </c>
      <c r="C1353" t="s">
        <v>22783</v>
      </c>
    </row>
    <row r="1354" spans="1:3" x14ac:dyDescent="0.25">
      <c r="A1354">
        <v>92115031230</v>
      </c>
      <c r="B1354" t="s">
        <v>23954</v>
      </c>
      <c r="C1354" t="s">
        <v>23955</v>
      </c>
    </row>
    <row r="1355" spans="1:3" x14ac:dyDescent="0.25">
      <c r="A1355">
        <v>92115033023</v>
      </c>
      <c r="B1355" t="s">
        <v>23956</v>
      </c>
      <c r="C1355" t="s">
        <v>23957</v>
      </c>
    </row>
    <row r="1356" spans="1:3" x14ac:dyDescent="0.25">
      <c r="A1356">
        <v>92115039919</v>
      </c>
      <c r="B1356" t="s">
        <v>23004</v>
      </c>
      <c r="C1356" t="s">
        <v>23005</v>
      </c>
    </row>
    <row r="1357" spans="1:3" x14ac:dyDescent="0.25">
      <c r="A1357">
        <v>92115039920</v>
      </c>
      <c r="B1357" t="s">
        <v>23006</v>
      </c>
      <c r="C1357" t="s">
        <v>23007</v>
      </c>
    </row>
    <row r="1358" spans="1:3" x14ac:dyDescent="0.25">
      <c r="A1358">
        <v>92115049028</v>
      </c>
      <c r="B1358" t="s">
        <v>20851</v>
      </c>
      <c r="C1358" t="s">
        <v>20850</v>
      </c>
    </row>
    <row r="1359" spans="1:3" x14ac:dyDescent="0.25">
      <c r="A1359">
        <v>92115061459</v>
      </c>
      <c r="B1359" t="s">
        <v>25271</v>
      </c>
      <c r="C1359" t="s">
        <v>25272</v>
      </c>
    </row>
    <row r="1360" spans="1:3" x14ac:dyDescent="0.25">
      <c r="A1360">
        <v>92115068916</v>
      </c>
      <c r="B1360" t="s">
        <v>22470</v>
      </c>
      <c r="C1360" t="s">
        <v>22471</v>
      </c>
    </row>
    <row r="1361" spans="1:3" x14ac:dyDescent="0.25">
      <c r="A1361">
        <v>92115069902</v>
      </c>
      <c r="B1361" t="s">
        <v>22696</v>
      </c>
      <c r="C1361" t="s">
        <v>22697</v>
      </c>
    </row>
    <row r="1362" spans="1:3" x14ac:dyDescent="0.25">
      <c r="A1362">
        <v>92115069906</v>
      </c>
      <c r="B1362" t="s">
        <v>22698</v>
      </c>
      <c r="C1362" t="s">
        <v>22699</v>
      </c>
    </row>
    <row r="1363" spans="1:3" x14ac:dyDescent="0.25">
      <c r="A1363">
        <v>92115101374</v>
      </c>
      <c r="B1363" t="s">
        <v>25273</v>
      </c>
      <c r="C1363" t="s">
        <v>25274</v>
      </c>
    </row>
    <row r="1364" spans="1:3" x14ac:dyDescent="0.25">
      <c r="A1364">
        <v>92115101375</v>
      </c>
      <c r="B1364" t="s">
        <v>25275</v>
      </c>
      <c r="C1364" t="s">
        <v>25276</v>
      </c>
    </row>
    <row r="1365" spans="1:3" x14ac:dyDescent="0.25">
      <c r="A1365">
        <v>92115101376</v>
      </c>
      <c r="B1365" t="s">
        <v>25277</v>
      </c>
      <c r="C1365" t="s">
        <v>25278</v>
      </c>
    </row>
    <row r="1366" spans="1:3" x14ac:dyDescent="0.25">
      <c r="A1366">
        <v>92115105214</v>
      </c>
      <c r="B1366" t="s">
        <v>24113</v>
      </c>
      <c r="C1366" t="s">
        <v>24114</v>
      </c>
    </row>
    <row r="1367" spans="1:3" x14ac:dyDescent="0.25">
      <c r="A1367">
        <v>92115105215</v>
      </c>
      <c r="B1367" t="s">
        <v>24115</v>
      </c>
      <c r="C1367" t="s">
        <v>24116</v>
      </c>
    </row>
    <row r="1368" spans="1:3" x14ac:dyDescent="0.25">
      <c r="A1368">
        <v>92115108563</v>
      </c>
      <c r="B1368" t="s">
        <v>21023</v>
      </c>
      <c r="C1368" t="s">
        <v>21022</v>
      </c>
    </row>
    <row r="1369" spans="1:3" x14ac:dyDescent="0.25">
      <c r="A1369">
        <v>92115108584</v>
      </c>
      <c r="B1369" t="s">
        <v>21065</v>
      </c>
      <c r="C1369" t="s">
        <v>21064</v>
      </c>
    </row>
    <row r="1370" spans="1:3" x14ac:dyDescent="0.25">
      <c r="A1370">
        <v>92115111609</v>
      </c>
      <c r="B1370" t="s">
        <v>20783</v>
      </c>
      <c r="C1370" t="s">
        <v>20782</v>
      </c>
    </row>
    <row r="1371" spans="1:3" x14ac:dyDescent="0.25">
      <c r="A1371">
        <v>92115158605</v>
      </c>
      <c r="B1371" t="s">
        <v>22472</v>
      </c>
      <c r="C1371" t="s">
        <v>22473</v>
      </c>
    </row>
    <row r="1372" spans="1:3" x14ac:dyDescent="0.25">
      <c r="A1372">
        <v>92115170167</v>
      </c>
      <c r="B1372" t="s">
        <v>24458</v>
      </c>
      <c r="C1372" t="s">
        <v>25279</v>
      </c>
    </row>
    <row r="1373" spans="1:3" x14ac:dyDescent="0.25">
      <c r="A1373">
        <v>92115188608</v>
      </c>
      <c r="B1373" t="s">
        <v>22474</v>
      </c>
      <c r="C1373" t="s">
        <v>22475</v>
      </c>
    </row>
    <row r="1374" spans="1:3" x14ac:dyDescent="0.25">
      <c r="A1374">
        <v>92115472176</v>
      </c>
      <c r="B1374" t="s">
        <v>20503</v>
      </c>
      <c r="C1374" t="s">
        <v>20502</v>
      </c>
    </row>
    <row r="1375" spans="1:3" x14ac:dyDescent="0.25">
      <c r="A1375">
        <v>92115476413</v>
      </c>
      <c r="B1375" t="s">
        <v>20505</v>
      </c>
      <c r="C1375" t="s">
        <v>20504</v>
      </c>
    </row>
    <row r="1376" spans="1:3" x14ac:dyDescent="0.25">
      <c r="A1376">
        <v>92115476972</v>
      </c>
      <c r="B1376" t="s">
        <v>22180</v>
      </c>
      <c r="C1376" t="s">
        <v>22181</v>
      </c>
    </row>
    <row r="1377" spans="1:3" x14ac:dyDescent="0.25">
      <c r="A1377">
        <v>92115706142</v>
      </c>
      <c r="B1377" t="s">
        <v>20945</v>
      </c>
      <c r="C1377" t="s">
        <v>20944</v>
      </c>
    </row>
    <row r="1378" spans="1:3" x14ac:dyDescent="0.25">
      <c r="A1378">
        <v>92115859033</v>
      </c>
      <c r="B1378" t="s">
        <v>20849</v>
      </c>
      <c r="C1378" t="s">
        <v>20848</v>
      </c>
    </row>
    <row r="1379" spans="1:3" x14ac:dyDescent="0.25">
      <c r="A1379">
        <v>92115864092</v>
      </c>
      <c r="B1379" t="s">
        <v>24492</v>
      </c>
      <c r="C1379" t="s">
        <v>25280</v>
      </c>
    </row>
    <row r="1380" spans="1:3" x14ac:dyDescent="0.25">
      <c r="A1380">
        <v>92115864093</v>
      </c>
      <c r="B1380" t="s">
        <v>25281</v>
      </c>
      <c r="C1380" t="s">
        <v>25282</v>
      </c>
    </row>
    <row r="1381" spans="1:3" x14ac:dyDescent="0.25">
      <c r="A1381">
        <v>92115864094</v>
      </c>
      <c r="B1381" t="s">
        <v>25283</v>
      </c>
      <c r="C1381" t="s">
        <v>25284</v>
      </c>
    </row>
    <row r="1382" spans="1:3" x14ac:dyDescent="0.25">
      <c r="A1382">
        <v>93101029897</v>
      </c>
      <c r="B1382" t="s">
        <v>22700</v>
      </c>
      <c r="C1382" t="s">
        <v>22701</v>
      </c>
    </row>
    <row r="1383" spans="1:3" x14ac:dyDescent="0.25">
      <c r="A1383">
        <v>93103071198</v>
      </c>
      <c r="B1383" t="s">
        <v>23958</v>
      </c>
      <c r="C1383" t="s">
        <v>23959</v>
      </c>
    </row>
    <row r="1384" spans="1:3" x14ac:dyDescent="0.25">
      <c r="A1384">
        <v>93103071199</v>
      </c>
      <c r="B1384" t="s">
        <v>23960</v>
      </c>
      <c r="C1384" t="s">
        <v>23961</v>
      </c>
    </row>
    <row r="1385" spans="1:3" x14ac:dyDescent="0.25">
      <c r="A1385">
        <v>93103079861</v>
      </c>
      <c r="B1385" t="s">
        <v>22554</v>
      </c>
      <c r="C1385" t="s">
        <v>22555</v>
      </c>
    </row>
    <row r="1386" spans="1:3" x14ac:dyDescent="0.25">
      <c r="A1386">
        <v>93105012478</v>
      </c>
      <c r="B1386" t="s">
        <v>23632</v>
      </c>
      <c r="C1386" t="s">
        <v>23633</v>
      </c>
    </row>
    <row r="1387" spans="1:3" x14ac:dyDescent="0.25">
      <c r="A1387">
        <v>93110019727</v>
      </c>
      <c r="B1387" t="s">
        <v>21429</v>
      </c>
      <c r="C1387" t="s">
        <v>22182</v>
      </c>
    </row>
    <row r="1388" spans="1:3" x14ac:dyDescent="0.25">
      <c r="A1388">
        <v>93111019860</v>
      </c>
      <c r="B1388" t="s">
        <v>22556</v>
      </c>
      <c r="C1388" t="s">
        <v>22557</v>
      </c>
    </row>
    <row r="1389" spans="1:3" x14ac:dyDescent="0.25">
      <c r="A1389">
        <v>93111019868</v>
      </c>
      <c r="B1389" t="s">
        <v>22558</v>
      </c>
      <c r="C1389" t="s">
        <v>22559</v>
      </c>
    </row>
    <row r="1390" spans="1:3" x14ac:dyDescent="0.25">
      <c r="A1390">
        <v>93161095337</v>
      </c>
      <c r="B1390" t="s">
        <v>21554</v>
      </c>
      <c r="C1390" t="s">
        <v>21555</v>
      </c>
    </row>
    <row r="1391" spans="1:3" x14ac:dyDescent="0.25">
      <c r="A1391">
        <v>93161099734</v>
      </c>
      <c r="B1391" t="s">
        <v>21556</v>
      </c>
      <c r="C1391" t="s">
        <v>21557</v>
      </c>
    </row>
    <row r="1392" spans="1:3" x14ac:dyDescent="0.25">
      <c r="A1392">
        <v>93161099735</v>
      </c>
      <c r="B1392" t="s">
        <v>21558</v>
      </c>
      <c r="C1392" t="s">
        <v>21559</v>
      </c>
    </row>
    <row r="1393" spans="1:3" x14ac:dyDescent="0.25">
      <c r="A1393">
        <v>93161099736</v>
      </c>
      <c r="B1393" t="s">
        <v>21560</v>
      </c>
      <c r="C1393" t="s">
        <v>21561</v>
      </c>
    </row>
    <row r="1394" spans="1:3" x14ac:dyDescent="0.25">
      <c r="A1394">
        <v>93161099737</v>
      </c>
      <c r="B1394" t="s">
        <v>21493</v>
      </c>
      <c r="C1394" t="s">
        <v>22183</v>
      </c>
    </row>
    <row r="1395" spans="1:3" x14ac:dyDescent="0.25">
      <c r="A1395">
        <v>93161099738</v>
      </c>
      <c r="B1395" t="s">
        <v>21562</v>
      </c>
      <c r="C1395" t="s">
        <v>21563</v>
      </c>
    </row>
    <row r="1396" spans="1:3" x14ac:dyDescent="0.25">
      <c r="A1396">
        <v>93402028510</v>
      </c>
      <c r="B1396" t="s">
        <v>20958</v>
      </c>
      <c r="C1396" t="s">
        <v>20957</v>
      </c>
    </row>
    <row r="1397" spans="1:3" x14ac:dyDescent="0.25">
      <c r="A1397">
        <v>93402028511</v>
      </c>
      <c r="B1397" t="s">
        <v>20952</v>
      </c>
      <c r="C1397" t="s">
        <v>20951</v>
      </c>
    </row>
    <row r="1398" spans="1:3" x14ac:dyDescent="0.25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A1042682"/>
  <sheetViews>
    <sheetView tabSelected="1" topLeftCell="B1240" zoomScaleNormal="100" zoomScaleSheetLayoutView="40" workbookViewId="0">
      <selection activeCell="C1253" sqref="C1253"/>
    </sheetView>
  </sheetViews>
  <sheetFormatPr defaultColWidth="9.140625" defaultRowHeight="15" x14ac:dyDescent="0.25"/>
  <cols>
    <col min="1" max="1" width="2" bestFit="1" customWidth="1"/>
    <col min="2" max="2" width="39.5703125" bestFit="1" customWidth="1"/>
    <col min="3" max="3" width="13.140625" style="28" bestFit="1" customWidth="1"/>
    <col min="4" max="4" width="8.85546875" style="5" customWidth="1"/>
    <col min="5" max="5" width="9.28515625" style="5" customWidth="1"/>
    <col min="6" max="6" width="39.7109375" style="28" customWidth="1"/>
    <col min="7" max="7" width="21.85546875" style="2" customWidth="1"/>
    <col min="8" max="8" width="17.85546875" style="5" customWidth="1"/>
    <col min="9" max="9" width="87.7109375" style="28" customWidth="1"/>
    <col min="10" max="10" width="9.42578125" style="10" customWidth="1"/>
    <col min="11" max="11" width="16.7109375" style="6" customWidth="1"/>
    <col min="12" max="12" width="12.5703125" style="9" customWidth="1"/>
    <col min="13" max="13" width="15.140625" style="6" customWidth="1"/>
    <col min="14" max="14" width="13.140625" style="6" customWidth="1"/>
    <col min="15" max="15" width="11.85546875" style="18" customWidth="1"/>
    <col min="16" max="16" width="18.7109375" bestFit="1" customWidth="1"/>
    <col min="17" max="17" width="19.5703125" style="20" customWidth="1"/>
    <col min="18" max="18" width="12.28515625" style="8" customWidth="1"/>
    <col min="19" max="19" width="10.85546875" style="5" customWidth="1"/>
    <col min="20" max="20" width="14" style="5" customWidth="1"/>
    <col min="21" max="21" width="12" style="2" customWidth="1"/>
    <col min="22" max="22" width="13.28515625" style="11" customWidth="1"/>
    <col min="23" max="23" width="16.7109375" style="22" customWidth="1"/>
    <col min="24" max="24" width="11" style="17" customWidth="1"/>
    <col min="25" max="25" width="17.28515625" style="5" customWidth="1"/>
    <col min="26" max="26" width="22" style="27" customWidth="1"/>
    <col min="27" max="27" width="23.42578125" bestFit="1" customWidth="1"/>
  </cols>
  <sheetData>
    <row r="4" spans="2:27" ht="45" x14ac:dyDescent="0.2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x14ac:dyDescent="0.25">
      <c r="B5" s="12"/>
      <c r="C5" s="28" t="str">
        <f t="array" aca="1" ref="C5" ca="1">IFERROR(_xlfn._xlws.FILTER(TAB_OFICINAS[],TAB_OFICINAS[NF OFICINA]=B5)," ")</f>
        <v>Keyborder</v>
      </c>
    </row>
    <row r="6" spans="2:27" x14ac:dyDescent="0.25">
      <c r="C6" s="2"/>
      <c r="I6" s="2"/>
    </row>
    <row r="7" spans="2:27" x14ac:dyDescent="0.25">
      <c r="C7" s="2"/>
      <c r="I7" s="2"/>
    </row>
    <row r="15" spans="2:27" x14ac:dyDescent="0.25">
      <c r="D15" s="5" t="s">
        <v>21395</v>
      </c>
    </row>
    <row r="20" spans="2:26" ht="30" x14ac:dyDescent="0.2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ht="14.25" customHeight="1" x14ac:dyDescent="0.25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t="14.25" customHeight="1" x14ac:dyDescent="0.25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28.5" customHeight="1" x14ac:dyDescent="0.25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customHeight="1" x14ac:dyDescent="0.2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customHeight="1" x14ac:dyDescent="0.25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1007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0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" spans="2:26" ht="14.25" customHeight="1" x14ac:dyDescent="0.25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v>46129</v>
      </c>
      <c r="O26" s="19">
        <f>TAB_OFICINAS[[#This Row],[Data Retorno Produção]]-TAB_OFICINAS[[#This Row],[Data Prometida  Entrega]]</f>
        <v>0</v>
      </c>
      <c r="P26" s="40" t="str">
        <f>IF(TAB_OFICINAS[[#This Row],[Dias Para Entrega]]&lt;=0,"Em dia","Dia de Atrasado")</f>
        <v>Em dia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t="14.25" customHeight="1" x14ac:dyDescent="0.25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t="14.25" customHeight="1" x14ac:dyDescent="0.25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 ht="14.25" customHeight="1" x14ac:dyDescent="0.25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t="14.25" customHeight="1" x14ac:dyDescent="0.25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 ht="14.25" customHeight="1" x14ac:dyDescent="0.25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customHeight="1" x14ac:dyDescent="0.2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customHeight="1" x14ac:dyDescent="0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customHeight="1" x14ac:dyDescent="0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ht="14.25" customHeight="1" x14ac:dyDescent="0.25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t="14.25" customHeight="1" x14ac:dyDescent="0.25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t="14.25" customHeight="1" x14ac:dyDescent="0.25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ht="14.25" customHeight="1" x14ac:dyDescent="0.25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 ht="14.25" customHeight="1" x14ac:dyDescent="0.25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customHeight="1" x14ac:dyDescent="0.2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customHeight="1" x14ac:dyDescent="0.25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t="14.25" customHeight="1" x14ac:dyDescent="0.25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t="14.25" customHeight="1" x14ac:dyDescent="0.25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 ht="14.25" customHeight="1" x14ac:dyDescent="0.25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t="14.25" customHeight="1" x14ac:dyDescent="0.25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>
        <v>100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>
        <f>IFERROR(TAB_OFICINAS[[#This Row],[Qtd pçs Enviadas]]-TAB_OFICINAS[[#This Row],[Qtd pçs Retornadas ]]," ")</f>
        <v>0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" spans="3:26" ht="28.5" customHeight="1" x14ac:dyDescent="0.2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t="14.25" customHeight="1" x14ac:dyDescent="0.25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customHeight="1" x14ac:dyDescent="0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customHeight="1" x14ac:dyDescent="0.2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t="14.25" customHeight="1" x14ac:dyDescent="0.25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t="14.25" customHeight="1" x14ac:dyDescent="0.25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t="14.25" customHeight="1" x14ac:dyDescent="0.25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customHeight="1" x14ac:dyDescent="0.25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t="14.25" customHeight="1" x14ac:dyDescent="0.25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customHeight="1" x14ac:dyDescent="0.25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customHeight="1" x14ac:dyDescent="0.2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t="14.25" customHeight="1" x14ac:dyDescent="0.25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customHeight="1" x14ac:dyDescent="0.2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t="14.25" customHeight="1" x14ac:dyDescent="0.25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t="14.25" customHeight="1" x14ac:dyDescent="0.25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ht="14.25" customHeight="1" x14ac:dyDescent="0.25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ht="14.25" customHeight="1" x14ac:dyDescent="0.25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t="14.25" customHeight="1" x14ac:dyDescent="0.25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t="14.25" customHeight="1" x14ac:dyDescent="0.25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 ht="14.25" customHeight="1" x14ac:dyDescent="0.25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t="14.25" customHeight="1" x14ac:dyDescent="0.25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ht="14.25" customHeight="1" x14ac:dyDescent="0.25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t="14.25" customHeight="1" x14ac:dyDescent="0.25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v>46119</v>
      </c>
      <c r="O68" s="19">
        <f>TAB_OFICINAS[[#This Row],[Data Retorno Produção]]-TAB_OFICINAS[[#This Row],[Data Prometida  Entrega]]</f>
        <v>0</v>
      </c>
      <c r="P68" s="40" t="str">
        <f>IF(TAB_OFICINAS[[#This Row],[Dias Para Entrega]]&lt;=0,"Em dia","Dia de Atrasado")</f>
        <v>Em dia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t="14.25" customHeight="1" x14ac:dyDescent="0.25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customHeight="1" x14ac:dyDescent="0.2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 ht="14.25" customHeight="1" x14ac:dyDescent="0.25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t="14.25" customHeight="1" x14ac:dyDescent="0.25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t="14.25" customHeight="1" x14ac:dyDescent="0.25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t="14.25" customHeight="1" x14ac:dyDescent="0.25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t="14.25" customHeight="1" x14ac:dyDescent="0.25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t="14.25" customHeight="1" x14ac:dyDescent="0.25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customHeight="1" x14ac:dyDescent="0.2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t="14.25" customHeight="1" x14ac:dyDescent="0.25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t="14.25" customHeight="1" x14ac:dyDescent="0.25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ht="14.25" customHeight="1" x14ac:dyDescent="0.25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t="14.25" customHeight="1" x14ac:dyDescent="0.25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t="14.25" customHeight="1" x14ac:dyDescent="0.25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customHeight="1" x14ac:dyDescent="0.2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 ht="14.25" customHeight="1" x14ac:dyDescent="0.25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t="14.25" customHeight="1" x14ac:dyDescent="0.25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ht="14.25" customHeight="1" x14ac:dyDescent="0.25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t="14.25" customHeight="1" x14ac:dyDescent="0.25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t="14.25" customHeight="1" x14ac:dyDescent="0.25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customHeight="1" x14ac:dyDescent="0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t="14.25" customHeight="1" x14ac:dyDescent="0.25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 ht="14.25" customHeight="1" x14ac:dyDescent="0.25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 ht="14.25" customHeight="1" x14ac:dyDescent="0.25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 customHeight="1" x14ac:dyDescent="0.25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t="14.25" customHeight="1" x14ac:dyDescent="0.25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t="14.25" customHeight="1" x14ac:dyDescent="0.25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t="14.25" customHeight="1" x14ac:dyDescent="0.25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 ht="14.25" customHeight="1" x14ac:dyDescent="0.25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t="14.25" customHeight="1" x14ac:dyDescent="0.25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ht="14.25" customHeight="1" x14ac:dyDescent="0.25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t="14.25" customHeight="1" x14ac:dyDescent="0.25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t="14.25" customHeight="1" x14ac:dyDescent="0.25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t="14.25" customHeight="1" x14ac:dyDescent="0.25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t="14.25" customHeight="1" x14ac:dyDescent="0.25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t="14.25" customHeight="1" x14ac:dyDescent="0.25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ht="14.25" customHeight="1" x14ac:dyDescent="0.25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t="14.25" customHeight="1" x14ac:dyDescent="0.25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customHeight="1" x14ac:dyDescent="0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t="14.25" customHeight="1" x14ac:dyDescent="0.25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customHeight="1" x14ac:dyDescent="0.25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t="14.25" customHeight="1" x14ac:dyDescent="0.25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t="14.25" customHeight="1" x14ac:dyDescent="0.25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customHeight="1" x14ac:dyDescent="0.2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ht="14.25" customHeight="1" x14ac:dyDescent="0.25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t="14.25" customHeight="1" x14ac:dyDescent="0.25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t="14.25" customHeight="1" x14ac:dyDescent="0.25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t="14.25" customHeight="1" x14ac:dyDescent="0.25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t="14.25" customHeight="1" x14ac:dyDescent="0.25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 ht="14.25" customHeight="1" x14ac:dyDescent="0.25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t="14.25" customHeight="1" x14ac:dyDescent="0.25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customHeight="1" x14ac:dyDescent="0.2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t="14.25" customHeight="1" x14ac:dyDescent="0.25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t="14.25" customHeight="1" x14ac:dyDescent="0.25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customHeight="1" x14ac:dyDescent="0.2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t="14.25" customHeight="1" x14ac:dyDescent="0.25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t="14.25" customHeight="1" x14ac:dyDescent="0.25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t="14.25" customHeight="1" x14ac:dyDescent="0.25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t="14.25" customHeight="1" x14ac:dyDescent="0.25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t="14.25" customHeight="1" x14ac:dyDescent="0.25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t="14.25" customHeight="1" x14ac:dyDescent="0.25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t="14.25" customHeight="1" x14ac:dyDescent="0.25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t="14.25" customHeight="1" x14ac:dyDescent="0.25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t="14.25" customHeight="1" x14ac:dyDescent="0.25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28.5" customHeight="1" x14ac:dyDescent="0.25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t="14.25" customHeight="1" x14ac:dyDescent="0.25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t="14.25" customHeight="1" x14ac:dyDescent="0.25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t="14.25" customHeight="1" x14ac:dyDescent="0.25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ht="14.25" customHeight="1" x14ac:dyDescent="0.25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t="14.25" customHeight="1" x14ac:dyDescent="0.25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ht="14.25" customHeight="1" x14ac:dyDescent="0.25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t="14.25" customHeight="1" x14ac:dyDescent="0.25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t="14.25" customHeight="1" x14ac:dyDescent="0.25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t="14.25" customHeight="1" x14ac:dyDescent="0.25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t="14.25" customHeight="1" x14ac:dyDescent="0.25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>
        <v>46219</v>
      </c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t="14.25" customHeight="1" x14ac:dyDescent="0.25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>
        <v>46219</v>
      </c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customHeight="1" x14ac:dyDescent="0.25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t="14.25" customHeight="1" x14ac:dyDescent="0.25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customHeight="1" x14ac:dyDescent="0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t="14.25" customHeight="1" x14ac:dyDescent="0.25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t="14.25" customHeight="1" x14ac:dyDescent="0.25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t="14.25" customHeight="1" x14ac:dyDescent="0.25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t="14.25" customHeight="1" x14ac:dyDescent="0.25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t="14.25" customHeight="1" x14ac:dyDescent="0.25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t="14.25" customHeight="1" x14ac:dyDescent="0.25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t="14.25" customHeight="1" x14ac:dyDescent="0.25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t="14.25" customHeight="1" x14ac:dyDescent="0.25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 ht="14.25" customHeight="1" x14ac:dyDescent="0.25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t="14.25" customHeight="1" x14ac:dyDescent="0.25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t="14.25" customHeight="1" x14ac:dyDescent="0.25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t="14.25" customHeight="1" x14ac:dyDescent="0.25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t="14.25" customHeight="1" x14ac:dyDescent="0.25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t="14.25" customHeight="1" x14ac:dyDescent="0.25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t="14.25" customHeight="1" x14ac:dyDescent="0.25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t="14.25" customHeight="1" x14ac:dyDescent="0.25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t="14.25" customHeight="1" x14ac:dyDescent="0.25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t="14.25" customHeight="1" x14ac:dyDescent="0.25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t="14.25" customHeight="1" x14ac:dyDescent="0.25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t="14.25" customHeight="1" x14ac:dyDescent="0.25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t="14.25" customHeight="1" x14ac:dyDescent="0.25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t="14.25" customHeight="1" x14ac:dyDescent="0.25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t="14.25" customHeight="1" x14ac:dyDescent="0.25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t="14.25" customHeight="1" x14ac:dyDescent="0.25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t="14.25" customHeight="1" x14ac:dyDescent="0.25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customHeight="1" x14ac:dyDescent="0.2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t="14.25" customHeight="1" x14ac:dyDescent="0.25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customHeight="1" x14ac:dyDescent="0.2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t="14.25" customHeight="1" x14ac:dyDescent="0.25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t="14.25" customHeight="1" x14ac:dyDescent="0.25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t="14.25" customHeight="1" x14ac:dyDescent="0.25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customHeight="1" x14ac:dyDescent="0.2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ht="14.25" customHeight="1" x14ac:dyDescent="0.25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t="14.25" customHeight="1" x14ac:dyDescent="0.25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t="14.25" customHeight="1" x14ac:dyDescent="0.25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t="14.25" customHeight="1" x14ac:dyDescent="0.25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t="14.25" customHeight="1" x14ac:dyDescent="0.25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t="14.25" customHeight="1" x14ac:dyDescent="0.25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t="14.25" customHeight="1" x14ac:dyDescent="0.25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t="14.25" customHeight="1" x14ac:dyDescent="0.25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t="14.25" customHeight="1" x14ac:dyDescent="0.25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t="14.25" customHeight="1" x14ac:dyDescent="0.25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t="14.25" customHeight="1" x14ac:dyDescent="0.25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t="14.25" customHeight="1" x14ac:dyDescent="0.25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t="14.25" customHeight="1" x14ac:dyDescent="0.25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t="14.25" customHeight="1" x14ac:dyDescent="0.25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t="14.25" customHeight="1" x14ac:dyDescent="0.25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>
        <v>46219</v>
      </c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t="14.25" customHeight="1" x14ac:dyDescent="0.25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t="14.25" customHeight="1" x14ac:dyDescent="0.25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t="14.25" customHeight="1" x14ac:dyDescent="0.25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t="14.25" customHeight="1" x14ac:dyDescent="0.25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t="14.25" customHeight="1" x14ac:dyDescent="0.25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t="14.25" customHeight="1" x14ac:dyDescent="0.25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customHeight="1" x14ac:dyDescent="0.2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t="14.25" customHeight="1" x14ac:dyDescent="0.25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t="14.25" customHeight="1" x14ac:dyDescent="0.25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t="14.25" customHeight="1" x14ac:dyDescent="0.25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v>46114</v>
      </c>
      <c r="O204" s="19">
        <f>TAB_OFICINAS[[#This Row],[Data Retorno Produção]]-TAB_OFICINAS[[#This Row],[Data Prometida  Entrega]]</f>
        <v>0</v>
      </c>
      <c r="P204" s="40" t="str">
        <f>IF(TAB_OFICINAS[[#This Row],[Dias Para Entrega]]&lt;=0,"Em dia","Dia de Atrasado")</f>
        <v>Em dia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customHeight="1" x14ac:dyDescent="0.2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t="14.25" customHeight="1" x14ac:dyDescent="0.25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t="14.25" customHeight="1" x14ac:dyDescent="0.25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t="14.25" customHeight="1" x14ac:dyDescent="0.25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t="14.25" customHeight="1" x14ac:dyDescent="0.25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t="14.25" customHeight="1" x14ac:dyDescent="0.25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t="14.25" customHeight="1" x14ac:dyDescent="0.25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t="14.25" customHeight="1" x14ac:dyDescent="0.25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t="14.25" customHeight="1" x14ac:dyDescent="0.25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t="14.25" customHeight="1" x14ac:dyDescent="0.25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t="14.25" customHeight="1" x14ac:dyDescent="0.25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ht="14.25" customHeight="1" x14ac:dyDescent="0.25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t="14.25" customHeight="1" x14ac:dyDescent="0.25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customHeight="1" x14ac:dyDescent="0.2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t="14.25" customHeight="1" x14ac:dyDescent="0.25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t="14.25" customHeight="1" x14ac:dyDescent="0.25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t="14.25" customHeight="1" x14ac:dyDescent="0.25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t="14.25" customHeight="1" x14ac:dyDescent="0.25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t="14.25" customHeight="1" x14ac:dyDescent="0.25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t="14.25" customHeight="1" x14ac:dyDescent="0.25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v>46114</v>
      </c>
      <c r="O224" s="19">
        <f>TAB_OFICINAS[[#This Row],[Data Retorno Produção]]-TAB_OFICINAS[[#This Row],[Data Prometida  Entrega]]</f>
        <v>0</v>
      </c>
      <c r="P224" s="40" t="str">
        <f>IF(TAB_OFICINAS[[#This Row],[Dias Para Entrega]]&lt;=0,"Em dia","Dia de Atrasado")</f>
        <v>Em dia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t="14.25" customHeight="1" x14ac:dyDescent="0.25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t="14.25" customHeight="1" x14ac:dyDescent="0.25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t="14.25" customHeight="1" x14ac:dyDescent="0.25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t="14.25" customHeight="1" x14ac:dyDescent="0.25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t="14.25" customHeight="1" x14ac:dyDescent="0.25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ht="14.25" customHeight="1" x14ac:dyDescent="0.25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ht="14.25" customHeight="1" x14ac:dyDescent="0.25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t="14.25" customHeight="1" x14ac:dyDescent="0.25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t="14.25" customHeight="1" x14ac:dyDescent="0.25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t="14.25" customHeight="1" x14ac:dyDescent="0.25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t="14.25" customHeight="1" x14ac:dyDescent="0.25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ht="14.25" customHeight="1" x14ac:dyDescent="0.25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ht="14.25" customHeight="1" x14ac:dyDescent="0.25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t="14.25" customHeight="1" x14ac:dyDescent="0.25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t="14.25" customHeight="1" x14ac:dyDescent="0.25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t="14.25" customHeight="1" x14ac:dyDescent="0.25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t="14.25" customHeight="1" x14ac:dyDescent="0.25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t="14.25" customHeight="1" x14ac:dyDescent="0.25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t="14.25" customHeight="1" x14ac:dyDescent="0.25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t="14.25" customHeight="1" x14ac:dyDescent="0.25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t="14.25" customHeight="1" x14ac:dyDescent="0.25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customHeight="1" x14ac:dyDescent="0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t="14.25" customHeight="1" x14ac:dyDescent="0.25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t="14.25" customHeight="1" x14ac:dyDescent="0.25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t="14.25" customHeight="1" x14ac:dyDescent="0.25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t="14.25" customHeight="1" x14ac:dyDescent="0.25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t="14.25" customHeight="1" x14ac:dyDescent="0.25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customHeight="1" x14ac:dyDescent="0.2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t="14.25" customHeight="1" x14ac:dyDescent="0.25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t="14.25" customHeight="1" x14ac:dyDescent="0.25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t="14.25" customHeight="1" x14ac:dyDescent="0.25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t="14.25" customHeight="1" x14ac:dyDescent="0.25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t="14.25" customHeight="1" x14ac:dyDescent="0.25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t="14.25" customHeight="1" x14ac:dyDescent="0.25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t="14.25" customHeight="1" x14ac:dyDescent="0.25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ht="14.25" customHeight="1" x14ac:dyDescent="0.25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t="14.25" customHeight="1" x14ac:dyDescent="0.25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x14ac:dyDescent="0.25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t="14.25" customHeight="1" x14ac:dyDescent="0.25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customHeight="1" x14ac:dyDescent="0.25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t="14.25" customHeight="1" x14ac:dyDescent="0.25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t="14.25" customHeight="1" x14ac:dyDescent="0.25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46317</v>
      </c>
      <c r="O266" s="19">
        <f ca="1">TAB_OFICINAS[[#This Row],[Data Retorno Produção]]-TAB_OFICINAS[[#This Row],[Data Prometida  Entrega]]</f>
        <v>122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t="14.25" customHeight="1" x14ac:dyDescent="0.25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t="14.25" customHeight="1" x14ac:dyDescent="0.25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t="14.25" customHeight="1" x14ac:dyDescent="0.25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t="14.25" customHeight="1" x14ac:dyDescent="0.25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t="14.25" customHeight="1" x14ac:dyDescent="0.25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t="14.25" customHeight="1" x14ac:dyDescent="0.25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t="14.25" customHeight="1" x14ac:dyDescent="0.25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t="14.25" customHeight="1" x14ac:dyDescent="0.25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customHeight="1" x14ac:dyDescent="0.2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customHeight="1" x14ac:dyDescent="0.2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customHeight="1" x14ac:dyDescent="0.25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t="14.25" customHeight="1" x14ac:dyDescent="0.25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t="14.25" customHeight="1" x14ac:dyDescent="0.25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t="14.25" customHeight="1" x14ac:dyDescent="0.25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t="14.25" customHeight="1" x14ac:dyDescent="0.25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t="14.25" customHeight="1" x14ac:dyDescent="0.25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customHeight="1" x14ac:dyDescent="0.2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t="14.25" customHeight="1" x14ac:dyDescent="0.25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t="14.25" customHeight="1" x14ac:dyDescent="0.25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t="14.25" customHeight="1" x14ac:dyDescent="0.25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t="14.25" customHeight="1" x14ac:dyDescent="0.25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customHeight="1" x14ac:dyDescent="0.2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customHeight="1" x14ac:dyDescent="0.2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t="14.25" customHeight="1" x14ac:dyDescent="0.25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t="14.25" customHeight="1" x14ac:dyDescent="0.25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t="14.25" customHeight="1" x14ac:dyDescent="0.25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t="14.25" customHeight="1" x14ac:dyDescent="0.25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t="14.25" customHeight="1" x14ac:dyDescent="0.25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t="14.25" customHeight="1" x14ac:dyDescent="0.25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46317</v>
      </c>
      <c r="O295" s="19">
        <f ca="1">TAB_OFICINAS[[#This Row],[Data Retorno Produção]]-TAB_OFICINAS[[#This Row],[Data Prometida  Entrega]]</f>
        <v>122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t="14.25" customHeight="1" x14ac:dyDescent="0.25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ht="14.25" customHeight="1" x14ac:dyDescent="0.25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ht="14.25" customHeight="1" x14ac:dyDescent="0.25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ht="14.25" customHeight="1" x14ac:dyDescent="0.25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t="14.25" customHeight="1" x14ac:dyDescent="0.25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customHeight="1" x14ac:dyDescent="0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t="14.25" customHeight="1" x14ac:dyDescent="0.25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customHeight="1" x14ac:dyDescent="0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customHeight="1" x14ac:dyDescent="0.2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t="14.25" customHeight="1" x14ac:dyDescent="0.25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t="14.25" customHeight="1" x14ac:dyDescent="0.25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t="14.25" customHeight="1" x14ac:dyDescent="0.25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t="14.25" customHeight="1" x14ac:dyDescent="0.25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x14ac:dyDescent="0.25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t="14.25" customHeight="1" x14ac:dyDescent="0.25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t="14.25" customHeight="1" x14ac:dyDescent="0.25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t="14.25" customHeight="1" x14ac:dyDescent="0.25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t="14.25" customHeight="1" x14ac:dyDescent="0.25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t="14.25" customHeight="1" x14ac:dyDescent="0.25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v>46153</v>
      </c>
      <c r="O314" s="19">
        <f>TAB_OFICINAS[[#This Row],[Data Retorno Produção]]-TAB_OFICINAS[[#This Row],[Data Prometida  Entrega]]</f>
        <v>0</v>
      </c>
      <c r="P314" s="40" t="str">
        <f>IF(TAB_OFICINAS[[#This Row],[Dias Para Entrega]]&lt;=0,"Em dia","Dia de Atrasado")</f>
        <v>Em dia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t="14.25" customHeight="1" x14ac:dyDescent="0.25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t="14.25" customHeight="1" x14ac:dyDescent="0.25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customHeight="1" x14ac:dyDescent="0.2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t="14.25" customHeight="1" x14ac:dyDescent="0.25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t="14.25" customHeight="1" x14ac:dyDescent="0.25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customHeight="1" x14ac:dyDescent="0.2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t="14.25" customHeight="1" x14ac:dyDescent="0.25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t="14.25" customHeight="1" x14ac:dyDescent="0.25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t="14.25" customHeight="1" x14ac:dyDescent="0.25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t="14.25" customHeight="1" x14ac:dyDescent="0.25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customHeight="1" x14ac:dyDescent="0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t="14.25" customHeight="1" x14ac:dyDescent="0.25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t="14.25" customHeight="1" x14ac:dyDescent="0.25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customHeight="1" x14ac:dyDescent="0.25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customHeight="1" x14ac:dyDescent="0.25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customHeight="1" x14ac:dyDescent="0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t="14.25" customHeight="1" x14ac:dyDescent="0.25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t="14.25" customHeight="1" x14ac:dyDescent="0.25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customHeight="1" x14ac:dyDescent="0.2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t="14.25" customHeight="1" x14ac:dyDescent="0.25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t="14.25" customHeight="1" x14ac:dyDescent="0.25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t="14.25" customHeight="1" x14ac:dyDescent="0.25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t="14.25" customHeight="1" x14ac:dyDescent="0.25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t="14.25" customHeight="1" x14ac:dyDescent="0.25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t="14.25" customHeight="1" x14ac:dyDescent="0.25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t="14.25" customHeight="1" x14ac:dyDescent="0.25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t="14.25" customHeight="1" x14ac:dyDescent="0.25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t="14.25" customHeight="1" x14ac:dyDescent="0.25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t="14.25" customHeight="1" x14ac:dyDescent="0.25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t="14.25" customHeight="1" x14ac:dyDescent="0.25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t="14.25" customHeight="1" x14ac:dyDescent="0.25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t="14.25" customHeight="1" x14ac:dyDescent="0.25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t="14.25" customHeight="1" x14ac:dyDescent="0.25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t="14.25" customHeight="1" x14ac:dyDescent="0.25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customHeight="1" x14ac:dyDescent="0.25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t="14.25" customHeight="1" x14ac:dyDescent="0.25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t="14.25" customHeight="1" x14ac:dyDescent="0.25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t="14.25" customHeight="1" x14ac:dyDescent="0.25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t="14.25" customHeight="1" x14ac:dyDescent="0.25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ht="14.25" customHeight="1" x14ac:dyDescent="0.25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t="14.25" customHeight="1" x14ac:dyDescent="0.25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t="14.25" customHeight="1" x14ac:dyDescent="0.25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t="14.25" customHeight="1" x14ac:dyDescent="0.25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t="14.25" customHeight="1" x14ac:dyDescent="0.25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t="14.25" customHeight="1" x14ac:dyDescent="0.25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t="14.25" customHeight="1" x14ac:dyDescent="0.25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t="14.25" customHeight="1" x14ac:dyDescent="0.25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customHeight="1" x14ac:dyDescent="0.2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t="14.25" customHeight="1" x14ac:dyDescent="0.25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customHeight="1" x14ac:dyDescent="0.25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t="14.25" customHeight="1" x14ac:dyDescent="0.25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t="14.25" customHeight="1" x14ac:dyDescent="0.25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 ht="14.25" customHeight="1" x14ac:dyDescent="0.25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 ht="14.25" customHeight="1" x14ac:dyDescent="0.25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 ht="14.25" customHeight="1" x14ac:dyDescent="0.25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t="14.25" customHeight="1" x14ac:dyDescent="0.25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customHeight="1" x14ac:dyDescent="0.2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t="14.25" customHeight="1" x14ac:dyDescent="0.25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t="14.25" customHeight="1" x14ac:dyDescent="0.25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t="14.25" customHeight="1" x14ac:dyDescent="0.25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customHeight="1" x14ac:dyDescent="0.2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ht="14.25" customHeight="1" x14ac:dyDescent="0.25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t="14.25" customHeight="1" x14ac:dyDescent="0.25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t="14.25" customHeight="1" x14ac:dyDescent="0.25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t="14.25" customHeight="1" x14ac:dyDescent="0.25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t="14.25" customHeight="1" x14ac:dyDescent="0.25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t="14.25" customHeight="1" x14ac:dyDescent="0.25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customHeight="1" x14ac:dyDescent="0.2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t="14.25" customHeight="1" x14ac:dyDescent="0.25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ht="14.25" customHeight="1" x14ac:dyDescent="0.25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customHeight="1" x14ac:dyDescent="0.2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t="14.25" customHeight="1" x14ac:dyDescent="0.25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t="14.25" customHeight="1" x14ac:dyDescent="0.25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t="14.25" customHeight="1" x14ac:dyDescent="0.25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t="14.25" customHeight="1" x14ac:dyDescent="0.25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t="14.25" customHeight="1" x14ac:dyDescent="0.25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customHeight="1" x14ac:dyDescent="0.25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customHeight="1" x14ac:dyDescent="0.25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t="14.25" customHeight="1" x14ac:dyDescent="0.25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t="14.25" customHeight="1" x14ac:dyDescent="0.25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t="14.25" customHeight="1" x14ac:dyDescent="0.25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t="14.25" customHeight="1" x14ac:dyDescent="0.25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t="14.25" customHeight="1" x14ac:dyDescent="0.25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t="14.25" customHeight="1" x14ac:dyDescent="0.25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customHeight="1" x14ac:dyDescent="0.2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customHeight="1" x14ac:dyDescent="0.25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v>46198</v>
      </c>
      <c r="O400" s="23">
        <f>TAB_OFICINAS[[#This Row],[Data Retorno Produção]]-TAB_OFICINAS[[#This Row],[Data Prometida  Entrega]]</f>
        <v>0</v>
      </c>
      <c r="P400" s="98" t="str">
        <f>IF(TAB_OFICINAS[[#This Row],[Dias Para Entrega]]&lt;=0,"Em dia","Dia de Atrasado")</f>
        <v>Em dia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t="14.25" customHeight="1" x14ac:dyDescent="0.25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t="14.25" customHeight="1" x14ac:dyDescent="0.25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t="14.25" customHeight="1" x14ac:dyDescent="0.25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t="14.25" customHeight="1" x14ac:dyDescent="0.25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customHeight="1" x14ac:dyDescent="0.25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t="14.25" customHeight="1" x14ac:dyDescent="0.25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t="14.25" customHeight="1" x14ac:dyDescent="0.25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t="14.25" customHeight="1" x14ac:dyDescent="0.25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t="14.25" customHeight="1" x14ac:dyDescent="0.25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ht="14.25" customHeight="1" x14ac:dyDescent="0.25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ht="14.25" customHeight="1" x14ac:dyDescent="0.25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ht="14.25" customHeight="1" x14ac:dyDescent="0.25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t="14.25" customHeight="1" x14ac:dyDescent="0.25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t="14.25" customHeight="1" x14ac:dyDescent="0.25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customHeight="1" x14ac:dyDescent="0.25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t="14.25" customHeight="1" x14ac:dyDescent="0.25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t="14.25" customHeight="1" x14ac:dyDescent="0.25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t="14.25" customHeight="1" x14ac:dyDescent="0.25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t="14.25" customHeight="1" x14ac:dyDescent="0.25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t="14.25" customHeight="1" x14ac:dyDescent="0.25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t="14.25" customHeight="1" x14ac:dyDescent="0.25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customHeight="1" x14ac:dyDescent="0.25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t="14.25" customHeight="1" x14ac:dyDescent="0.25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t="14.25" customHeight="1" x14ac:dyDescent="0.25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t="14.25" customHeight="1" x14ac:dyDescent="0.25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 ht="14.25" customHeight="1" x14ac:dyDescent="0.25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 ht="14.25" customHeight="1" x14ac:dyDescent="0.25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t="14.25" customHeight="1" x14ac:dyDescent="0.25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t="14.25" customHeight="1" x14ac:dyDescent="0.25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customHeight="1" x14ac:dyDescent="0.25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t="14.25" customHeight="1" x14ac:dyDescent="0.25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t="14.25" customHeight="1" x14ac:dyDescent="0.25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t="14.25" customHeight="1" x14ac:dyDescent="0.25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t="14.25" customHeight="1" x14ac:dyDescent="0.25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customHeight="1" x14ac:dyDescent="0.2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customHeight="1" x14ac:dyDescent="0.2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t="14.25" customHeight="1" x14ac:dyDescent="0.25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t="14.25" customHeight="1" x14ac:dyDescent="0.25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t="14.25" customHeight="1" x14ac:dyDescent="0.25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t="14.25" customHeight="1" x14ac:dyDescent="0.25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t="14.25" customHeight="1" x14ac:dyDescent="0.25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v>46198</v>
      </c>
      <c r="O441" s="23">
        <f>TAB_OFICINAS[[#This Row],[Data Retorno Produção]]-TAB_OFICINAS[[#This Row],[Data Prometida  Entrega]]</f>
        <v>0</v>
      </c>
      <c r="P441" s="98" t="str">
        <f>IF(TAB_OFICINAS[[#This Row],[Dias Para Entrega]]&lt;=0,"Em dia","Dia de Atrasado")</f>
        <v>Em dia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t="14.25" customHeight="1" x14ac:dyDescent="0.25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t="14.25" customHeight="1" x14ac:dyDescent="0.25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t="14.25" customHeight="1" x14ac:dyDescent="0.25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t="14.25" customHeight="1" x14ac:dyDescent="0.25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t="14.25" customHeight="1" x14ac:dyDescent="0.25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customHeight="1" x14ac:dyDescent="0.2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v>46094</v>
      </c>
      <c r="O447" s="19">
        <f>TAB_OFICINAS[[#This Row],[Data Retorno Produção]]-TAB_OFICINAS[[#This Row],[Data Prometida  Entrega]]</f>
        <v>0</v>
      </c>
      <c r="P447" s="40" t="str">
        <f>IF(TAB_OFICINAS[[#This Row],[Dias Para Entrega]]&lt;=0,"Em dia","Dia de Atrasado")</f>
        <v>Em dia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customHeight="1" x14ac:dyDescent="0.2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customHeight="1" x14ac:dyDescent="0.2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t="14.25" customHeight="1" x14ac:dyDescent="0.25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customHeight="1" x14ac:dyDescent="0.2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t="14.25" customHeight="1" x14ac:dyDescent="0.25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t="14.25" customHeight="1" x14ac:dyDescent="0.25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t="14.25" customHeight="1" x14ac:dyDescent="0.25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v>46198</v>
      </c>
      <c r="O454" s="23">
        <f>TAB_OFICINAS[[#This Row],[Data Retorno Produção]]-TAB_OFICINAS[[#This Row],[Data Prometida  Entrega]]</f>
        <v>0</v>
      </c>
      <c r="P454" s="98" t="str">
        <f>IF(TAB_OFICINAS[[#This Row],[Dias Para Entrega]]&lt;=0,"Em dia","Dia de Atrasado")</f>
        <v>Em dia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ht="14.25" customHeight="1" x14ac:dyDescent="0.25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 customHeight="1" x14ac:dyDescent="0.2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ht="14.25" customHeight="1" x14ac:dyDescent="0.25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150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8" spans="3:26" ht="14.25" customHeight="1" x14ac:dyDescent="0.25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>
        <v>75</v>
      </c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9" spans="3:26" ht="14.25" customHeight="1" x14ac:dyDescent="0.25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t="14.25" customHeight="1" x14ac:dyDescent="0.25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t="14.25" customHeight="1" x14ac:dyDescent="0.25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t="14.25" customHeight="1" x14ac:dyDescent="0.25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t="14.25" customHeight="1" x14ac:dyDescent="0.25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customHeight="1" x14ac:dyDescent="0.2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t="14.25" customHeight="1" x14ac:dyDescent="0.25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t="14.25" customHeight="1" x14ac:dyDescent="0.25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t="14.25" customHeight="1" x14ac:dyDescent="0.25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t="14.25" customHeight="1" x14ac:dyDescent="0.25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200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9" spans="3:26" ht="14.25" customHeight="1" x14ac:dyDescent="0.25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ht="14.25" customHeight="1" x14ac:dyDescent="0.25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>
        <v>100</v>
      </c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1" spans="3:26" ht="14.25" customHeight="1" x14ac:dyDescent="0.25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t="14.25" customHeight="1" x14ac:dyDescent="0.25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t="14.25" customHeight="1" x14ac:dyDescent="0.25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t="14.25" customHeight="1" x14ac:dyDescent="0.25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customHeight="1" x14ac:dyDescent="0.2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t="14.25" customHeight="1" x14ac:dyDescent="0.25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t="14.25" customHeight="1" x14ac:dyDescent="0.25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t="14.25" customHeight="1" x14ac:dyDescent="0.25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t="14.25" customHeight="1" x14ac:dyDescent="0.25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t="14.25" customHeight="1" x14ac:dyDescent="0.25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customHeight="1" x14ac:dyDescent="0.2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t="14.25" customHeight="1" x14ac:dyDescent="0.25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t="14.25" customHeight="1" x14ac:dyDescent="0.25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t="14.25" customHeight="1" x14ac:dyDescent="0.25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t="14.25" customHeight="1" x14ac:dyDescent="0.25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customHeight="1" x14ac:dyDescent="0.2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customHeight="1" x14ac:dyDescent="0.2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t="14.25" customHeight="1" x14ac:dyDescent="0.25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200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9" spans="3:26" ht="14.25" customHeight="1" x14ac:dyDescent="0.25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7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0" spans="3:26" ht="14.25" customHeight="1" x14ac:dyDescent="0.25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5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0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1" spans="3:26" x14ac:dyDescent="0.25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9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2" spans="3:26" x14ac:dyDescent="0.25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9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3" spans="3:26" x14ac:dyDescent="0.25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20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4" spans="3:26" x14ac:dyDescent="0.25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7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5" spans="3:26" x14ac:dyDescent="0.25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30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6" spans="3:26" ht="71.25" customHeight="1" x14ac:dyDescent="0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t="14.25" customHeight="1" x14ac:dyDescent="0.25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t="14.25" customHeight="1" x14ac:dyDescent="0.25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t="14.25" customHeight="1" x14ac:dyDescent="0.25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t="14.25" customHeight="1" x14ac:dyDescent="0.25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t="14.25" customHeight="1" x14ac:dyDescent="0.25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t="14.25" customHeight="1" x14ac:dyDescent="0.25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x14ac:dyDescent="0.25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145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4" spans="3:26" ht="14.25" customHeight="1" x14ac:dyDescent="0.25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t="14.25" customHeight="1" x14ac:dyDescent="0.25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t="14.25" customHeight="1" x14ac:dyDescent="0.25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t="14.25" customHeight="1" x14ac:dyDescent="0.25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t="14.25" customHeight="1" x14ac:dyDescent="0.25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t="14.25" customHeight="1" x14ac:dyDescent="0.25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t="14.25" customHeight="1" x14ac:dyDescent="0.25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t="14.25" customHeight="1" x14ac:dyDescent="0.25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t="14.25" customHeight="1" x14ac:dyDescent="0.25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t="14.25" customHeight="1" x14ac:dyDescent="0.25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ht="14.25" customHeight="1" x14ac:dyDescent="0.25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>
        <v>250</v>
      </c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5" spans="3:26" ht="14.25" customHeight="1" x14ac:dyDescent="0.25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ht="14.25" customHeight="1" x14ac:dyDescent="0.25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ht="14.25" customHeight="1" x14ac:dyDescent="0.25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t="14.25" customHeight="1" x14ac:dyDescent="0.25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t="14.25" customHeight="1" x14ac:dyDescent="0.25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t="14.25" customHeight="1" x14ac:dyDescent="0.25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customHeight="1" x14ac:dyDescent="0.2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t="14.25" customHeight="1" x14ac:dyDescent="0.25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customHeight="1" x14ac:dyDescent="0.2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customHeight="1" x14ac:dyDescent="0.2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customHeight="1" x14ac:dyDescent="0.2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customHeight="1" x14ac:dyDescent="0.2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customHeight="1" x14ac:dyDescent="0.2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customHeight="1" x14ac:dyDescent="0.2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x14ac:dyDescent="0.25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100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0" spans="3:26" x14ac:dyDescent="0.25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100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1" spans="3:26" ht="14.25" customHeight="1" x14ac:dyDescent="0.25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t="14.25" customHeight="1" x14ac:dyDescent="0.25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t="14.25" customHeight="1" x14ac:dyDescent="0.25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t="14.25" customHeight="1" x14ac:dyDescent="0.25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t="14.25" customHeight="1" x14ac:dyDescent="0.25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t="14.25" customHeight="1" x14ac:dyDescent="0.25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t="14.25" customHeight="1" x14ac:dyDescent="0.25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t="14.25" customHeight="1" x14ac:dyDescent="0.25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t="14.25" customHeight="1" x14ac:dyDescent="0.25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customHeight="1" x14ac:dyDescent="0.2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customHeight="1" x14ac:dyDescent="0.2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customHeight="1" x14ac:dyDescent="0.2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customHeight="1" x14ac:dyDescent="0.2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customHeight="1" x14ac:dyDescent="0.2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customHeight="1" x14ac:dyDescent="0.2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customHeight="1" x14ac:dyDescent="0.2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customHeight="1" x14ac:dyDescent="0.2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customHeight="1" x14ac:dyDescent="0.2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customHeight="1" x14ac:dyDescent="0.2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t="14.25" customHeight="1" x14ac:dyDescent="0.25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t="14.25" customHeight="1" x14ac:dyDescent="0.25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t="14.25" customHeight="1" x14ac:dyDescent="0.25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t="14.25" customHeight="1" x14ac:dyDescent="0.25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t="14.25" customHeight="1" x14ac:dyDescent="0.25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t="14.25" customHeight="1" x14ac:dyDescent="0.25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t="14.25" customHeight="1" x14ac:dyDescent="0.25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t="14.25" customHeight="1" x14ac:dyDescent="0.25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t="14.25" customHeight="1" x14ac:dyDescent="0.25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t="14.25" customHeight="1" x14ac:dyDescent="0.25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customHeight="1" x14ac:dyDescent="0.25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t="14.25" customHeight="1" x14ac:dyDescent="0.25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t="14.25" customHeight="1" x14ac:dyDescent="0.25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t="14.25" customHeight="1" x14ac:dyDescent="0.25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customHeight="1" x14ac:dyDescent="0.25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customHeight="1" x14ac:dyDescent="0.2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customHeight="1" x14ac:dyDescent="0.2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customHeight="1" x14ac:dyDescent="0.2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t="14.25" customHeight="1" x14ac:dyDescent="0.25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t="14.25" customHeight="1" x14ac:dyDescent="0.25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t="14.25" customHeight="1" x14ac:dyDescent="0.25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t="14.25" customHeight="1" x14ac:dyDescent="0.25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t="14.25" customHeight="1" x14ac:dyDescent="0.25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t="14.25" customHeight="1" x14ac:dyDescent="0.25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t="14.25" customHeight="1" x14ac:dyDescent="0.25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t="14.25" customHeight="1" x14ac:dyDescent="0.25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t="14.25" customHeight="1" x14ac:dyDescent="0.25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t="14.25" customHeight="1" x14ac:dyDescent="0.25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t="14.25" customHeight="1" x14ac:dyDescent="0.25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t="14.25" customHeight="1" x14ac:dyDescent="0.25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t="14.25" customHeight="1" x14ac:dyDescent="0.25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t="14.25" customHeight="1" x14ac:dyDescent="0.25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t="14.25" customHeight="1" x14ac:dyDescent="0.25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t="14.25" customHeight="1" x14ac:dyDescent="0.25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t="14.25" customHeight="1" x14ac:dyDescent="0.25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t="14.25" customHeight="1" x14ac:dyDescent="0.25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t="14.25" customHeight="1" x14ac:dyDescent="0.25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t="14.25" customHeight="1" x14ac:dyDescent="0.25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t="14.25" customHeight="1" x14ac:dyDescent="0.25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t="14.25" customHeight="1" x14ac:dyDescent="0.25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t="14.25" customHeight="1" x14ac:dyDescent="0.25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t="14.25" customHeight="1" x14ac:dyDescent="0.25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t="14.25" customHeight="1" x14ac:dyDescent="0.25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t="14.25" customHeight="1" x14ac:dyDescent="0.25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t="14.25" customHeight="1" x14ac:dyDescent="0.25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t="14.25" customHeight="1" x14ac:dyDescent="0.25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t="14.25" customHeight="1" x14ac:dyDescent="0.25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t="14.25" customHeight="1" x14ac:dyDescent="0.25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t="14.25" customHeight="1" x14ac:dyDescent="0.25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t="14.25" customHeight="1" x14ac:dyDescent="0.25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t="14.25" customHeight="1" x14ac:dyDescent="0.25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t="14.25" customHeight="1" x14ac:dyDescent="0.25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t="14.25" customHeight="1" x14ac:dyDescent="0.25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t="14.25" customHeight="1" x14ac:dyDescent="0.25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t="14.25" customHeight="1" x14ac:dyDescent="0.25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t="14.25" customHeight="1" x14ac:dyDescent="0.25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t="14.25" customHeight="1" x14ac:dyDescent="0.25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t="14.25" customHeight="1" x14ac:dyDescent="0.25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t="14.25" customHeight="1" x14ac:dyDescent="0.25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t="14.25" customHeight="1" x14ac:dyDescent="0.25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t="14.25" customHeight="1" x14ac:dyDescent="0.25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t="14.25" customHeight="1" x14ac:dyDescent="0.25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t="14.25" customHeight="1" x14ac:dyDescent="0.25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t="14.25" customHeight="1" x14ac:dyDescent="0.25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t="14.25" customHeight="1" x14ac:dyDescent="0.25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t="14.25" customHeight="1" x14ac:dyDescent="0.25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t="14.25" customHeight="1" x14ac:dyDescent="0.25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customHeight="1" x14ac:dyDescent="0.25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t="14.25" customHeight="1" x14ac:dyDescent="0.25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t="14.25" customHeight="1" x14ac:dyDescent="0.25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t="14.25" customHeight="1" x14ac:dyDescent="0.25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t="14.25" customHeight="1" x14ac:dyDescent="0.25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t="14.25" customHeight="1" x14ac:dyDescent="0.25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t="14.25" customHeight="1" x14ac:dyDescent="0.25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t="14.25" customHeight="1" x14ac:dyDescent="0.25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t="14.25" customHeight="1" x14ac:dyDescent="0.25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t="14.25" customHeight="1" x14ac:dyDescent="0.25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t="14.25" customHeight="1" x14ac:dyDescent="0.25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t="14.25" customHeight="1" x14ac:dyDescent="0.25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t="14.25" customHeight="1" x14ac:dyDescent="0.25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t="14.25" customHeight="1" x14ac:dyDescent="0.25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t="14.25" customHeight="1" x14ac:dyDescent="0.25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t="14.25" customHeight="1" x14ac:dyDescent="0.25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t="14.25" customHeight="1" x14ac:dyDescent="0.25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t="14.25" customHeight="1" x14ac:dyDescent="0.25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t="14.25" customHeight="1" x14ac:dyDescent="0.25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t="14.25" customHeight="1" x14ac:dyDescent="0.25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t="14.25" customHeight="1" x14ac:dyDescent="0.25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t="14.25" customHeight="1" x14ac:dyDescent="0.25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t="14.25" customHeight="1" x14ac:dyDescent="0.25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t="14.25" customHeight="1" x14ac:dyDescent="0.25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t="14.25" customHeight="1" x14ac:dyDescent="0.25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t="14.25" customHeight="1" x14ac:dyDescent="0.25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t="14.25" customHeight="1" x14ac:dyDescent="0.25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t="14.25" customHeight="1" x14ac:dyDescent="0.25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t="14.25" customHeight="1" x14ac:dyDescent="0.25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t="14.25" customHeight="1" x14ac:dyDescent="0.25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t="14.25" customHeight="1" x14ac:dyDescent="0.25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t="14.25" customHeight="1" x14ac:dyDescent="0.25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t="14.25" customHeight="1" x14ac:dyDescent="0.25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t="14.25" customHeight="1" x14ac:dyDescent="0.25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t="14.25" customHeight="1" x14ac:dyDescent="0.25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t="14.25" customHeight="1" x14ac:dyDescent="0.25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t="14.25" customHeight="1" x14ac:dyDescent="0.25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t="14.25" customHeight="1" x14ac:dyDescent="0.25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t="14.25" customHeight="1" x14ac:dyDescent="0.25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t="14.25" customHeight="1" x14ac:dyDescent="0.25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t="14.25" customHeight="1" x14ac:dyDescent="0.25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t="14.25" customHeight="1" x14ac:dyDescent="0.25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t="14.25" customHeight="1" x14ac:dyDescent="0.25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t="14.25" customHeight="1" x14ac:dyDescent="0.25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t="14.25" customHeight="1" x14ac:dyDescent="0.25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t="14.25" customHeight="1" x14ac:dyDescent="0.25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t="14.25" customHeight="1" x14ac:dyDescent="0.25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 x14ac:dyDescent="0.25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t="14.25" customHeight="1" x14ac:dyDescent="0.25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t="14.25" customHeight="1" x14ac:dyDescent="0.25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t="14.25" customHeight="1" x14ac:dyDescent="0.25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t="14.25" customHeight="1" x14ac:dyDescent="0.25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t="14.25" customHeight="1" x14ac:dyDescent="0.25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t="14.25" customHeight="1" x14ac:dyDescent="0.25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t="14.25" customHeight="1" x14ac:dyDescent="0.25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t="14.25" customHeight="1" x14ac:dyDescent="0.25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t="14.25" customHeight="1" x14ac:dyDescent="0.25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t="14.25" customHeight="1" x14ac:dyDescent="0.25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t="14.25" customHeight="1" x14ac:dyDescent="0.25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t="14.25" customHeight="1" x14ac:dyDescent="0.25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t="14.25" customHeight="1" x14ac:dyDescent="0.25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t="14.25" customHeight="1" x14ac:dyDescent="0.25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t="14.25" customHeight="1" x14ac:dyDescent="0.25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t="14.25" customHeight="1" x14ac:dyDescent="0.25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customHeight="1" x14ac:dyDescent="0.2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customHeight="1" x14ac:dyDescent="0.2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customHeight="1" x14ac:dyDescent="0.25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t="14.25" customHeight="1" x14ac:dyDescent="0.25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t="14.25" customHeight="1" x14ac:dyDescent="0.25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t="14.25" customHeight="1" x14ac:dyDescent="0.25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customHeight="1" x14ac:dyDescent="0.2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t="14.25" customHeight="1" x14ac:dyDescent="0.25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t="14.25" customHeight="1" x14ac:dyDescent="0.25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t="14.25" customHeight="1" x14ac:dyDescent="0.25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t="14.25" customHeight="1" x14ac:dyDescent="0.25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t="14.25" customHeight="1" x14ac:dyDescent="0.25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customHeight="1" x14ac:dyDescent="0.2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customHeight="1" x14ac:dyDescent="0.25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t="14.25" customHeight="1" x14ac:dyDescent="0.25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t="14.25" customHeight="1" x14ac:dyDescent="0.25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customHeight="1" x14ac:dyDescent="0.2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customHeight="1" x14ac:dyDescent="0.2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t="14.25" customHeight="1" x14ac:dyDescent="0.25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customHeight="1" x14ac:dyDescent="0.2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customHeight="1" x14ac:dyDescent="0.2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t="14.25" customHeight="1" x14ac:dyDescent="0.25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customHeight="1" x14ac:dyDescent="0.2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customHeight="1" x14ac:dyDescent="0.2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t="14.25" customHeight="1" x14ac:dyDescent="0.25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customHeight="1" x14ac:dyDescent="0.2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customHeight="1" x14ac:dyDescent="0.2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customHeight="1" x14ac:dyDescent="0.2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customHeight="1" x14ac:dyDescent="0.2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customHeight="1" x14ac:dyDescent="0.25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customHeight="1" x14ac:dyDescent="0.2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t="14.25" customHeight="1" x14ac:dyDescent="0.25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t="14.25" customHeight="1" x14ac:dyDescent="0.25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t="14.25" customHeight="1" x14ac:dyDescent="0.25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t="14.25" customHeight="1" x14ac:dyDescent="0.25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t="14.25" customHeight="1" x14ac:dyDescent="0.25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t="14.25" customHeight="1" x14ac:dyDescent="0.25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t="14.25" customHeight="1" x14ac:dyDescent="0.25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t="14.25" customHeight="1" x14ac:dyDescent="0.25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t="14.25" customHeight="1" x14ac:dyDescent="0.25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customHeight="1" x14ac:dyDescent="0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t="14.25" customHeight="1" x14ac:dyDescent="0.25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46317</v>
      </c>
      <c r="O722" s="19">
        <f ca="1">TAB_OFICINAS[[#This Row],[Data Retorno Produção]]-TAB_OFICINAS[[#This Row],[Data Prometida  Entrega]]</f>
        <v>126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t="14.25" customHeight="1" x14ac:dyDescent="0.25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46317</v>
      </c>
      <c r="O723" s="19">
        <f ca="1">TAB_OFICINAS[[#This Row],[Data Retorno Produção]]-TAB_OFICINAS[[#This Row],[Data Prometida  Entrega]]</f>
        <v>136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t="14.25" customHeight="1" x14ac:dyDescent="0.25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46317</v>
      </c>
      <c r="O724" s="19">
        <f ca="1">TAB_OFICINAS[[#This Row],[Data Retorno Produção]]-TAB_OFICINAS[[#This Row],[Data Prometida  Entrega]]</f>
        <v>133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customHeight="1" x14ac:dyDescent="0.2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t="14.25" customHeight="1" x14ac:dyDescent="0.25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t="14.25" customHeight="1" x14ac:dyDescent="0.25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t="14.25" customHeight="1" x14ac:dyDescent="0.25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t="14.25" customHeight="1" x14ac:dyDescent="0.25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t="14.25" customHeight="1" x14ac:dyDescent="0.25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t="14.25" customHeight="1" x14ac:dyDescent="0.25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v>46150</v>
      </c>
      <c r="O731" s="19">
        <f>TAB_OFICINAS[[#This Row],[Data Retorno Produção]]-TAB_OFICINAS[[#This Row],[Data Prometida  Entrega]]</f>
        <v>0</v>
      </c>
      <c r="P731" s="40" t="str">
        <f>IF(TAB_OFICINAS[[#This Row],[Dias Para Entrega]]&lt;=0,"Em dia","Dia de Atrasado")</f>
        <v>Em dia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t="14.25" customHeight="1" x14ac:dyDescent="0.25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v>46150</v>
      </c>
      <c r="O732" s="19">
        <f>TAB_OFICINAS[[#This Row],[Data Retorno Produção]]-TAB_OFICINAS[[#This Row],[Data Prometida  Entrega]]</f>
        <v>0</v>
      </c>
      <c r="P732" s="40" t="str">
        <f>IF(TAB_OFICINAS[[#This Row],[Dias Para Entrega]]&lt;=0,"Em dia","Dia de Atrasado")</f>
        <v>Em dia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t="14.25" customHeight="1" x14ac:dyDescent="0.25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t="14.25" customHeight="1" x14ac:dyDescent="0.25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t="14.25" customHeight="1" x14ac:dyDescent="0.25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t="14.25" customHeight="1" x14ac:dyDescent="0.25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t="14.25" customHeight="1" x14ac:dyDescent="0.25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t="14.25" customHeight="1" x14ac:dyDescent="0.25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t="14.25" customHeight="1" x14ac:dyDescent="0.25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t="14.25" customHeight="1" x14ac:dyDescent="0.25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t="14.25" customHeight="1" x14ac:dyDescent="0.25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t="14.25" customHeight="1" x14ac:dyDescent="0.25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t="14.25" customHeight="1" x14ac:dyDescent="0.25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t="14.25" customHeight="1" x14ac:dyDescent="0.25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t="14.25" customHeight="1" x14ac:dyDescent="0.25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t="14.25" customHeight="1" x14ac:dyDescent="0.25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t="14.25" customHeight="1" x14ac:dyDescent="0.25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customHeight="1" x14ac:dyDescent="0.2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customHeight="1" x14ac:dyDescent="0.2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t="14.25" customHeight="1" x14ac:dyDescent="0.25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t="14.25" customHeight="1" x14ac:dyDescent="0.25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customHeight="1" x14ac:dyDescent="0.2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customHeight="1" x14ac:dyDescent="0.2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customHeight="1" x14ac:dyDescent="0.2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customHeight="1" x14ac:dyDescent="0.2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t="14.25" customHeight="1" x14ac:dyDescent="0.25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t="14.25" customHeight="1" x14ac:dyDescent="0.25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t="14.25" customHeight="1" x14ac:dyDescent="0.25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t="14.25" customHeight="1" x14ac:dyDescent="0.25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t="14.25" customHeight="1" x14ac:dyDescent="0.25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t="14.25" customHeight="1" x14ac:dyDescent="0.25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t="14.25" customHeight="1" x14ac:dyDescent="0.25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t="14.25" customHeight="1" x14ac:dyDescent="0.25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t="14.25" customHeight="1" x14ac:dyDescent="0.25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684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5" spans="3:26" ht="76.5" customHeight="1" x14ac:dyDescent="0.25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85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6" spans="3:26" ht="14.25" customHeight="1" x14ac:dyDescent="0.25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ht="14.25" customHeight="1" x14ac:dyDescent="0.25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t="14.25" customHeight="1" x14ac:dyDescent="0.25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46317</v>
      </c>
      <c r="O768" s="19">
        <f ca="1">TAB_OFICINAS[[#This Row],[Data Retorno Produção]]-TAB_OFICINAS[[#This Row],[Data Prometida  Entrega]]</f>
        <v>136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t="14.25" customHeight="1" x14ac:dyDescent="0.25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46317</v>
      </c>
      <c r="O769" s="19">
        <f ca="1">TAB_OFICINAS[[#This Row],[Data Retorno Produção]]-TAB_OFICINAS[[#This Row],[Data Prometida  Entrega]]</f>
        <v>136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 ht="14.25" customHeight="1" x14ac:dyDescent="0.25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t="14.25" customHeight="1" x14ac:dyDescent="0.25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46317</v>
      </c>
      <c r="O771" s="19">
        <f ca="1">TAB_OFICINAS[[#This Row],[Data Retorno Produção]]-TAB_OFICINAS[[#This Row],[Data Prometida  Entrega]]</f>
        <v>133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t="14.25" customHeight="1" x14ac:dyDescent="0.25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46317</v>
      </c>
      <c r="O772" s="19">
        <f ca="1">TAB_OFICINAS[[#This Row],[Data Retorno Produção]]-TAB_OFICINAS[[#This Row],[Data Prometida  Entrega]]</f>
        <v>133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t="14.25" customHeight="1" x14ac:dyDescent="0.25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46317</v>
      </c>
      <c r="O773" s="19">
        <f ca="1">TAB_OFICINAS[[#This Row],[Data Retorno Produção]]-TAB_OFICINAS[[#This Row],[Data Prometida  Entrega]]</f>
        <v>133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t="14.25" customHeight="1" x14ac:dyDescent="0.25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46317</v>
      </c>
      <c r="O774" s="19">
        <f ca="1">TAB_OFICINAS[[#This Row],[Data Retorno Produção]]-TAB_OFICINAS[[#This Row],[Data Prometida  Entrega]]</f>
        <v>136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t="14.25" customHeight="1" x14ac:dyDescent="0.25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46317</v>
      </c>
      <c r="O775" s="19">
        <f ca="1">TAB_OFICINAS[[#This Row],[Data Retorno Produção]]-TAB_OFICINAS[[#This Row],[Data Prometida  Entrega]]</f>
        <v>136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t="14.25" customHeight="1" x14ac:dyDescent="0.25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46317</v>
      </c>
      <c r="O776" s="19">
        <f ca="1">TAB_OFICINAS[[#This Row],[Data Retorno Produção]]-TAB_OFICINAS[[#This Row],[Data Prometida  Entrega]]</f>
        <v>133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t="14.25" customHeight="1" x14ac:dyDescent="0.25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46317</v>
      </c>
      <c r="O777" s="19">
        <f ca="1">TAB_OFICINAS[[#This Row],[Data Retorno Produção]]-TAB_OFICINAS[[#This Row],[Data Prometida  Entrega]]</f>
        <v>133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t="14.25" customHeight="1" x14ac:dyDescent="0.25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46317</v>
      </c>
      <c r="O778" s="19">
        <f ca="1">TAB_OFICINAS[[#This Row],[Data Retorno Produção]]-TAB_OFICINAS[[#This Row],[Data Prometida  Entrega]]</f>
        <v>133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t="14.25" customHeight="1" x14ac:dyDescent="0.25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46317</v>
      </c>
      <c r="O779" s="19">
        <f ca="1">TAB_OFICINAS[[#This Row],[Data Retorno Produção]]-TAB_OFICINAS[[#This Row],[Data Prometida  Entrega]]</f>
        <v>133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t="14.25" customHeight="1" x14ac:dyDescent="0.25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 customHeight="1" x14ac:dyDescent="0.25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t="14.25" customHeight="1" x14ac:dyDescent="0.25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t="14.25" customHeight="1" x14ac:dyDescent="0.25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t="14.25" customHeight="1" x14ac:dyDescent="0.25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t="14.25" customHeight="1" x14ac:dyDescent="0.25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t="14.25" customHeight="1" x14ac:dyDescent="0.25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t="14.25" customHeight="1" x14ac:dyDescent="0.25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t="14.25" customHeight="1" x14ac:dyDescent="0.25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46317</v>
      </c>
      <c r="O788" s="23">
        <f ca="1">TAB_OFICINAS[[#This Row],[Data Retorno Produção]]-TAB_OFICINAS[[#This Row],[Data Prometida  Entrega]]</f>
        <v>106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46328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 customHeight="1" x14ac:dyDescent="0.25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ht="14.25" customHeight="1" x14ac:dyDescent="0.25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t="14.25" customHeight="1" x14ac:dyDescent="0.25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46317</v>
      </c>
      <c r="O791" s="19">
        <f ca="1">TAB_OFICINAS[[#This Row],[Data Retorno Produção]]-TAB_OFICINAS[[#This Row],[Data Prometida  Entrega]]</f>
        <v>184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ht="14.25" customHeight="1" x14ac:dyDescent="0.25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>
        <v>500</v>
      </c>
      <c r="M792" s="6">
        <v>46140</v>
      </c>
      <c r="N792" s="6">
        <v>46146</v>
      </c>
      <c r="O792" s="19">
        <f>TAB_OFICINAS[[#This Row],[Data Retorno Produção]]-TAB_OFICINAS[[#This Row],[Data Prometida  Entrega]]</f>
        <v>6</v>
      </c>
      <c r="P792" s="40" t="str">
        <f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0</v>
      </c>
      <c r="R792" s="10"/>
      <c r="S792" s="5">
        <v>765</v>
      </c>
      <c r="T792" s="5">
        <v>103</v>
      </c>
      <c r="U792" s="52">
        <v>5.15</v>
      </c>
      <c r="V792" s="44">
        <f>IFERROR(TAB_OFICINAS[[#This Row],[Valor Unit]]*TAB_OFICINAS[[#This Row],[Qtd pçs Enviadas]]," ")</f>
        <v>2575</v>
      </c>
      <c r="W792" s="17">
        <f>TAB_OFICINAS[[#This Row],[Data Retorno Produção]]+10</f>
        <v>46156</v>
      </c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3" spans="3:26" ht="14.25" customHeight="1" x14ac:dyDescent="0.25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ht="14.25" customHeight="1" x14ac:dyDescent="0.25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ht="14.25" customHeight="1" x14ac:dyDescent="0.25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ht="14.25" customHeight="1" x14ac:dyDescent="0.25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ht="14.25" customHeight="1" x14ac:dyDescent="0.25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ht="14.25" customHeight="1" x14ac:dyDescent="0.25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ht="14.25" customHeight="1" x14ac:dyDescent="0.25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ht="14.25" customHeight="1" x14ac:dyDescent="0.25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ht="14.25" customHeight="1" x14ac:dyDescent="0.25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ht="14.25" customHeight="1" x14ac:dyDescent="0.25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ht="14.25" customHeight="1" x14ac:dyDescent="0.25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ht="14.25" customHeight="1" x14ac:dyDescent="0.25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ht="14.25" customHeight="1" x14ac:dyDescent="0.25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ht="14.25" customHeight="1" x14ac:dyDescent="0.25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>
        <v>200</v>
      </c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7" spans="3:26" ht="14.25" customHeight="1" x14ac:dyDescent="0.25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ht="14.25" customHeight="1" x14ac:dyDescent="0.25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t="14.25" customHeight="1" x14ac:dyDescent="0.25">
      <c r="C809" s="28" t="s">
        <v>22914</v>
      </c>
      <c r="D809" s="5">
        <v>943</v>
      </c>
      <c r="E809" s="5">
        <v>23090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>
        <v>708</v>
      </c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0" spans="3:26" ht="14.25" customHeight="1" x14ac:dyDescent="0.25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ht="14.25" customHeight="1" x14ac:dyDescent="0.25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 customHeight="1" x14ac:dyDescent="0.25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 customHeight="1" x14ac:dyDescent="0.2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 customHeight="1" x14ac:dyDescent="0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t="14.25" customHeight="1" x14ac:dyDescent="0.25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t="14.25" customHeight="1" x14ac:dyDescent="0.25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t="14.25" customHeight="1" x14ac:dyDescent="0.25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 customHeight="1" x14ac:dyDescent="0.25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 customHeight="1" x14ac:dyDescent="0.25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 customHeight="1" x14ac:dyDescent="0.25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t="14.25" customHeight="1" x14ac:dyDescent="0.25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t="14.25" customHeight="1" x14ac:dyDescent="0.25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t="14.25" customHeight="1" x14ac:dyDescent="0.25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t="14.25" customHeight="1" x14ac:dyDescent="0.25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t="14.25" customHeight="1" x14ac:dyDescent="0.25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v>46216</v>
      </c>
      <c r="O825" s="23">
        <f>TAB_OFICINAS[[#This Row],[Data Retorno Produção]]-TAB_OFICINAS[[#This Row],[Data Prometida  Entrega]]</f>
        <v>0</v>
      </c>
      <c r="P825" s="98" t="str">
        <f>IF(TAB_OFICINAS[[#This Row],[Dias Para Entrega]]&lt;=0,"Em dia","Dia de Atrasado")</f>
        <v>Em dia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 customHeight="1" x14ac:dyDescent="0.25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ht="14.25" customHeight="1" x14ac:dyDescent="0.25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 ht="14.25" customHeight="1" x14ac:dyDescent="0.25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 ht="14.25" customHeight="1" x14ac:dyDescent="0.25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ht="14.25" customHeight="1" x14ac:dyDescent="0.25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 customHeight="1" x14ac:dyDescent="0.25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v>46218</v>
      </c>
      <c r="O831" s="23">
        <f>TAB_OFICINAS[[#This Row],[Data Retorno Produção]]-TAB_OFICINAS[[#This Row],[Data Prometida  Entrega]]</f>
        <v>0</v>
      </c>
      <c r="P831" s="98" t="str">
        <f>IF(TAB_OFICINAS[[#This Row],[Dias Para Entrega]]&lt;=0,"Em dia","Dia de Atrasado")</f>
        <v>Em dia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 customHeight="1" x14ac:dyDescent="0.25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 customHeight="1" x14ac:dyDescent="0.25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51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4" spans="3:26" ht="14.25" customHeight="1" x14ac:dyDescent="0.25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L834" s="9">
        <v>9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5" spans="3:26" ht="14.25" customHeight="1" x14ac:dyDescent="0.25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t="14.25" customHeight="1" x14ac:dyDescent="0.25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t="14.25" customHeight="1" x14ac:dyDescent="0.25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N1600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t="14.25" customHeight="1" x14ac:dyDescent="0.25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t="14.25" customHeight="1" x14ac:dyDescent="0.25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t="14.25" customHeight="1" x14ac:dyDescent="0.25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t="14.25" customHeight="1" x14ac:dyDescent="0.25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v>46220</v>
      </c>
      <c r="O841" s="23">
        <f>TAB_OFICINAS[[#This Row],[Data Retorno Produção]]-TAB_OFICINAS[[#This Row],[Data Prometida  Entrega]]</f>
        <v>0</v>
      </c>
      <c r="P841" s="98" t="str">
        <f>IF(TAB_OFICINAS[[#This Row],[Dias Para Entrega]]&lt;=0,"Em dia","Dia de Atrasado")</f>
        <v>Em dia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t="14.25" customHeight="1" x14ac:dyDescent="0.25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t="14.25" customHeight="1" x14ac:dyDescent="0.25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 customHeight="1" x14ac:dyDescent="0.25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v>46225</v>
      </c>
      <c r="O844" s="23">
        <f>TAB_OFICINAS[[#This Row],[Data Retorno Produção]]-TAB_OFICINAS[[#This Row],[Data Prometida  Entrega]]</f>
        <v>0</v>
      </c>
      <c r="P844" s="98" t="str">
        <f>IF(TAB_OFICINAS[[#This Row],[Dias Para Entrega]]&lt;=0,"Em dia","Dia de Atrasado")</f>
        <v>Em dia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t="14.25" customHeight="1" x14ac:dyDescent="0.25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t="14.25" customHeight="1" x14ac:dyDescent="0.25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t="14.25" customHeight="1" x14ac:dyDescent="0.25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t="14.25" customHeight="1" x14ac:dyDescent="0.25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t="14.25" customHeight="1" x14ac:dyDescent="0.25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t="14.25" customHeight="1" x14ac:dyDescent="0.25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ht="14.25" customHeight="1" x14ac:dyDescent="0.25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ht="14.25" customHeight="1" x14ac:dyDescent="0.25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ht="14.25" customHeight="1" x14ac:dyDescent="0.25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ht="14.25" customHeight="1" x14ac:dyDescent="0.25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 customHeight="1" x14ac:dyDescent="0.25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t="14.25" customHeight="1" x14ac:dyDescent="0.25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t="14.25" customHeight="1" x14ac:dyDescent="0.25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t="14.25" customHeight="1" x14ac:dyDescent="0.25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t="14.25" customHeight="1" x14ac:dyDescent="0.25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t="14.25" customHeight="1" x14ac:dyDescent="0.25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t="14.25" customHeight="1" x14ac:dyDescent="0.25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t="14.25" customHeight="1" x14ac:dyDescent="0.25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t="14.25" customHeight="1" x14ac:dyDescent="0.25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 customHeight="1" x14ac:dyDescent="0.25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t="14.25" customHeight="1" x14ac:dyDescent="0.25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t="14.25" customHeight="1" x14ac:dyDescent="0.25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t="14.25" customHeight="1" x14ac:dyDescent="0.25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85.5" customHeight="1" x14ac:dyDescent="0.25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25286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t="14.25" customHeight="1" x14ac:dyDescent="0.25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t="14.25" customHeight="1" x14ac:dyDescent="0.25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t="14.25" customHeight="1" x14ac:dyDescent="0.25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t="14.25" customHeight="1" x14ac:dyDescent="0.25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t="14.25" customHeight="1" x14ac:dyDescent="0.25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t="14.25" customHeight="1" x14ac:dyDescent="0.25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t="14.25" customHeight="1" x14ac:dyDescent="0.25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t="14.25" customHeight="1" x14ac:dyDescent="0.25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t="14.25" customHeight="1" x14ac:dyDescent="0.25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t="14.25" customHeight="1" x14ac:dyDescent="0.25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t="14.25" customHeight="1" x14ac:dyDescent="0.25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t="14.25" customHeight="1" x14ac:dyDescent="0.25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t="14.25" customHeight="1" x14ac:dyDescent="0.25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t="14.25" customHeight="1" x14ac:dyDescent="0.25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t="14.25" customHeight="1" x14ac:dyDescent="0.25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t="14.25" customHeight="1" x14ac:dyDescent="0.25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t="14.25" customHeight="1" x14ac:dyDescent="0.25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t="14.25" customHeight="1" x14ac:dyDescent="0.25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t="14.25" customHeight="1" x14ac:dyDescent="0.25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L887" s="9">
        <v>183</v>
      </c>
      <c r="M887" s="6">
        <v>46287</v>
      </c>
      <c r="N887" s="6">
        <v>46279</v>
      </c>
      <c r="O887" s="23">
        <f>TAB_OFICINAS[[#This Row],[Data Retorno Produção]]-TAB_OFICINAS[[#This Row],[Data Prometida  Entrega]]</f>
        <v>-8</v>
      </c>
      <c r="P887" s="98" t="str">
        <f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0</v>
      </c>
      <c r="R887" s="24"/>
      <c r="S887" s="5">
        <v>3336</v>
      </c>
      <c r="T887" s="5">
        <v>12</v>
      </c>
      <c r="U887" s="11">
        <v>16</v>
      </c>
      <c r="V887" s="25">
        <f>IFERROR(TAB_OFICINAS[[#This Row],[Valor Unit]]*TAB_OFICINAS[[#This Row],[Qtd pçs Enviadas]]," ")</f>
        <v>2928</v>
      </c>
      <c r="W887" s="26">
        <v>46289</v>
      </c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8" spans="3:26" ht="14.25" customHeight="1" x14ac:dyDescent="0.25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L888" s="9">
        <v>184</v>
      </c>
      <c r="M888" s="6">
        <v>46287</v>
      </c>
      <c r="N888" s="6">
        <v>46279</v>
      </c>
      <c r="O888" s="23">
        <f>TAB_OFICINAS[[#This Row],[Data Retorno Produção]]-TAB_OFICINAS[[#This Row],[Data Prometida  Entrega]]</f>
        <v>-8</v>
      </c>
      <c r="P888" s="98" t="str">
        <f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0</v>
      </c>
      <c r="R888" s="24"/>
      <c r="S888" s="5">
        <v>3336</v>
      </c>
      <c r="T888" s="5">
        <v>12</v>
      </c>
      <c r="U888" s="11">
        <v>16</v>
      </c>
      <c r="V888" s="25">
        <f>IFERROR(TAB_OFICINAS[[#This Row],[Valor Unit]]*TAB_OFICINAS[[#This Row],[Qtd pçs Enviadas]]," ")</f>
        <v>2944</v>
      </c>
      <c r="W888" s="26">
        <v>46289</v>
      </c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9" spans="3:26" ht="42.75" customHeight="1" x14ac:dyDescent="0.25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 customHeight="1" x14ac:dyDescent="0.2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t="14.25" customHeight="1" x14ac:dyDescent="0.25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t="14.25" customHeight="1" x14ac:dyDescent="0.25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t="14.25" customHeight="1" x14ac:dyDescent="0.25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t="14.25" customHeight="1" x14ac:dyDescent="0.25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t="14.25" customHeight="1" x14ac:dyDescent="0.25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t="14.25" customHeight="1" x14ac:dyDescent="0.25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t="14.25" customHeight="1" x14ac:dyDescent="0.25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t="14.25" customHeight="1" x14ac:dyDescent="0.25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t="14.25" customHeight="1" x14ac:dyDescent="0.25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t="14.25" customHeight="1" x14ac:dyDescent="0.25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t="14.25" customHeight="1" x14ac:dyDescent="0.25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t="14.25" customHeight="1" x14ac:dyDescent="0.25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t="14.25" customHeight="1" x14ac:dyDescent="0.25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t="14.25" customHeight="1" x14ac:dyDescent="0.25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 customHeight="1" x14ac:dyDescent="0.25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t="14.25" customHeight="1" x14ac:dyDescent="0.25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t="14.25" customHeight="1" x14ac:dyDescent="0.25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t="14.25" customHeight="1" x14ac:dyDescent="0.25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t="14.25" customHeight="1" x14ac:dyDescent="0.25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t="14.25" customHeight="1" x14ac:dyDescent="0.25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t="14.25" customHeight="1" x14ac:dyDescent="0.25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t="14.25" customHeight="1" x14ac:dyDescent="0.25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 customHeight="1" x14ac:dyDescent="0.25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t="14.25" customHeight="1" x14ac:dyDescent="0.25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t="14.25" customHeight="1" x14ac:dyDescent="0.25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 customHeight="1" x14ac:dyDescent="0.25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t="14.25" customHeight="1" x14ac:dyDescent="0.25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customHeight="1" x14ac:dyDescent="0.25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 customHeight="1" x14ac:dyDescent="0.25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t="14.25" customHeight="1" x14ac:dyDescent="0.25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t="14.25" customHeight="1" x14ac:dyDescent="0.25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t="14.25" customHeight="1" x14ac:dyDescent="0.25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t="14.25" customHeight="1" x14ac:dyDescent="0.25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t="14.25" customHeight="1" x14ac:dyDescent="0.25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 customHeight="1" x14ac:dyDescent="0.25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ca="1">TODAY()</f>
        <v>46317</v>
      </c>
      <c r="O925" s="23">
        <f ca="1">TAB_OFICINAS[[#This Row],[Data Retorno Produção]]-TAB_OFICINAS[[#This Row],[Data Prometida  Entrega]]</f>
        <v>83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t="14.25" customHeight="1" x14ac:dyDescent="0.25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t="14.25" customHeight="1" x14ac:dyDescent="0.25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t="14.25" customHeight="1" x14ac:dyDescent="0.25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t="14.25" customHeight="1" x14ac:dyDescent="0.25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t="14.25" customHeight="1" x14ac:dyDescent="0.25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ht="14.25" customHeight="1" x14ac:dyDescent="0.25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ht="14.25" customHeight="1" x14ac:dyDescent="0.25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 customHeight="1" x14ac:dyDescent="0.25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t="14.25" customHeight="1" x14ac:dyDescent="0.25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customHeight="1" x14ac:dyDescent="0.25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customHeight="1" x14ac:dyDescent="0.2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 customHeight="1" x14ac:dyDescent="0.25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t="14.25" customHeight="1" x14ac:dyDescent="0.25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t="14.25" customHeight="1" x14ac:dyDescent="0.25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ht="14.25" customHeight="1" x14ac:dyDescent="0.25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ht="14.25" customHeight="1" x14ac:dyDescent="0.25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t="14.25" customHeight="1" x14ac:dyDescent="0.25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t="14.25" customHeight="1" x14ac:dyDescent="0.25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t="14.25" customHeight="1" x14ac:dyDescent="0.25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t="14.25" customHeight="1" x14ac:dyDescent="0.25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t="14.25" customHeight="1" x14ac:dyDescent="0.25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t="14.25" customHeight="1" x14ac:dyDescent="0.25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ht="14.25" customHeight="1" x14ac:dyDescent="0.25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ht="14.25" customHeight="1" x14ac:dyDescent="0.25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ht="14.25" customHeight="1" x14ac:dyDescent="0.25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t="14.25" customHeight="1" x14ac:dyDescent="0.25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t="14.25" customHeight="1" x14ac:dyDescent="0.25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t="14.25" customHeight="1" x14ac:dyDescent="0.25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t="14.25" customHeight="1" x14ac:dyDescent="0.25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t="14.25" customHeight="1" x14ac:dyDescent="0.25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t="14.25" customHeight="1" x14ac:dyDescent="0.25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ht="14.25" customHeight="1" x14ac:dyDescent="0.25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t="14.25" customHeight="1" x14ac:dyDescent="0.25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L958" s="9">
        <v>620</v>
      </c>
      <c r="M958" s="6">
        <v>46262</v>
      </c>
      <c r="N958" s="6">
        <v>46266</v>
      </c>
      <c r="O958" s="23">
        <f>TAB_OFICINAS[[#This Row],[Data Retorno Produção]]-TAB_OFICINAS[[#This Row],[Data Prometida  Entrega]]</f>
        <v>4</v>
      </c>
      <c r="P958" s="98" t="str">
        <f>IF(TAB_OFICINAS[[#This Row],[Dias Para Entrega]]&lt;=0,"Em dia","Dia de Atrasado")</f>
        <v>Dia de Atrasado</v>
      </c>
      <c r="Q958" s="24">
        <v>0</v>
      </c>
      <c r="R958" s="24"/>
      <c r="S958" s="5">
        <v>3360</v>
      </c>
      <c r="T958" s="5" t="s">
        <v>25313</v>
      </c>
      <c r="U958" s="11">
        <v>5.95</v>
      </c>
      <c r="V958" s="25">
        <f>IFERROR(TAB_OFICINAS[[#This Row],[Valor Unit]]*TAB_OFICINAS[[#This Row],[Qtd pçs Enviadas]]," ")</f>
        <v>3689</v>
      </c>
      <c r="W958" s="26">
        <v>46276</v>
      </c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9" spans="3:26" ht="14.25" customHeight="1" x14ac:dyDescent="0.25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ht="14.25" customHeight="1" x14ac:dyDescent="0.25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ref="N960:N963" ca="1" si="1">TODAY()</f>
        <v>46317</v>
      </c>
      <c r="O960" s="23">
        <f ca="1">TAB_OFICINAS[[#This Row],[Data Retorno Produção]]-TAB_OFICINAS[[#This Row],[Data Prometida  Entrega]]</f>
        <v>69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ht="14.25" customHeight="1" x14ac:dyDescent="0.25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t="14.25" customHeight="1" x14ac:dyDescent="0.25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1"/>
        <v>46317</v>
      </c>
      <c r="O962" s="23">
        <f ca="1">TAB_OFICINAS[[#This Row],[Data Retorno Produção]]-TAB_OFICINAS[[#This Row],[Data Prometida  Entrega]]</f>
        <v>66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ht="14.25" customHeight="1" x14ac:dyDescent="0.25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1"/>
        <v>46317</v>
      </c>
      <c r="O963" s="23">
        <f ca="1">TAB_OFICINAS[[#This Row],[Data Retorno Produção]]-TAB_OFICINAS[[#This Row],[Data Prometida  Entrega]]</f>
        <v>66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 ht="14.25" customHeight="1" x14ac:dyDescent="0.25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ht="14.25" customHeight="1" x14ac:dyDescent="0.25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t="14.25" customHeight="1" x14ac:dyDescent="0.25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t="14.25" customHeight="1" x14ac:dyDescent="0.25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L967" s="9">
        <v>50</v>
      </c>
      <c r="M967" s="6">
        <v>46265</v>
      </c>
      <c r="N967" s="6">
        <v>46263</v>
      </c>
      <c r="O967" s="23">
        <f>TAB_OFICINAS[[#This Row],[Data Retorno Produção]]-TAB_OFICINAS[[#This Row],[Data Prometida  Entrega]]</f>
        <v>-2</v>
      </c>
      <c r="P967" s="98" t="str">
        <f>IF(TAB_OFICINAS[[#This Row],[Dias Para Entrega]]&lt;=0,"Em dia","Dia de Atrasado")</f>
        <v>Em dia</v>
      </c>
      <c r="Q967" s="24">
        <v>0</v>
      </c>
      <c r="R967" s="24"/>
      <c r="S967" s="5">
        <v>965</v>
      </c>
      <c r="T967" s="5">
        <v>59</v>
      </c>
      <c r="U967" s="11">
        <v>14</v>
      </c>
      <c r="V967" s="25">
        <f>IFERROR(TAB_OFICINAS[[#This Row],[Valor Unit]]*TAB_OFICINAS[[#This Row],[Qtd pçs Enviadas]]," ")</f>
        <v>700</v>
      </c>
      <c r="W967" s="26">
        <f>TAB_OFICINAS[[#This Row],[Data Retorno Produção]]+10</f>
        <v>46273</v>
      </c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8" spans="3:26" ht="14.25" customHeight="1" x14ac:dyDescent="0.25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L968" s="9">
        <v>50</v>
      </c>
      <c r="M968" s="6">
        <v>46265</v>
      </c>
      <c r="N968" s="6">
        <v>46263</v>
      </c>
      <c r="O968" s="23">
        <f>TAB_OFICINAS[[#This Row],[Data Retorno Produção]]-TAB_OFICINAS[[#This Row],[Data Prometida  Entrega]]</f>
        <v>-2</v>
      </c>
      <c r="P968" s="98" t="str">
        <f>IF(TAB_OFICINAS[[#This Row],[Dias Para Entrega]]&lt;=0,"Em dia","Dia de Atrasado")</f>
        <v>Em dia</v>
      </c>
      <c r="Q968" s="24">
        <v>0</v>
      </c>
      <c r="R968" s="24"/>
      <c r="S968" s="5">
        <v>965</v>
      </c>
      <c r="T968" s="5">
        <v>59</v>
      </c>
      <c r="U968" s="11">
        <v>14</v>
      </c>
      <c r="V968" s="25">
        <f>IFERROR(TAB_OFICINAS[[#This Row],[Valor Unit]]*TAB_OFICINAS[[#This Row],[Qtd pçs Enviadas]]," ")</f>
        <v>700</v>
      </c>
      <c r="W968" s="26">
        <v>46273</v>
      </c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9" spans="3:26" ht="14.25" customHeight="1" x14ac:dyDescent="0.25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L969" s="9">
        <v>50</v>
      </c>
      <c r="M969" s="6">
        <v>46265</v>
      </c>
      <c r="N969" s="6">
        <v>46263</v>
      </c>
      <c r="O969" s="23">
        <f>TAB_OFICINAS[[#This Row],[Data Retorno Produção]]-TAB_OFICINAS[[#This Row],[Data Prometida  Entrega]]</f>
        <v>-2</v>
      </c>
      <c r="P969" s="98" t="str">
        <f>IF(TAB_OFICINAS[[#This Row],[Dias Para Entrega]]&lt;=0,"Em dia","Dia de Atrasado")</f>
        <v>Em dia</v>
      </c>
      <c r="Q969" s="24">
        <v>0</v>
      </c>
      <c r="R969" s="24"/>
      <c r="S969" s="5">
        <v>965</v>
      </c>
      <c r="T969" s="5">
        <v>59</v>
      </c>
      <c r="U969" s="11">
        <v>14</v>
      </c>
      <c r="V969" s="25">
        <f>IFERROR(TAB_OFICINAS[[#This Row],[Valor Unit]]*TAB_OFICINAS[[#This Row],[Qtd pçs Enviadas]]," ")</f>
        <v>700</v>
      </c>
      <c r="W969" s="26">
        <v>46273</v>
      </c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0" spans="3:26" ht="14.25" customHeight="1" x14ac:dyDescent="0.25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t="14.25" customHeight="1" x14ac:dyDescent="0.25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t="14.25" customHeight="1" x14ac:dyDescent="0.25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t="14.25" customHeight="1" x14ac:dyDescent="0.25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t="14.25" customHeight="1" x14ac:dyDescent="0.25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t="14.25" customHeight="1" x14ac:dyDescent="0.25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t="14.25" customHeight="1" x14ac:dyDescent="0.25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t="14.25" customHeight="1" x14ac:dyDescent="0.25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t="14.25" customHeight="1" x14ac:dyDescent="0.25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t="14.25" customHeight="1" x14ac:dyDescent="0.25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t="14.25" customHeight="1" x14ac:dyDescent="0.25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t="14.25" customHeight="1" x14ac:dyDescent="0.25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customHeight="1" x14ac:dyDescent="0.2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 customHeight="1" x14ac:dyDescent="0.2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t="14.25" customHeight="1" x14ac:dyDescent="0.25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t="14.25" customHeight="1" x14ac:dyDescent="0.25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t="14.25" customHeight="1" x14ac:dyDescent="0.25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t="14.25" customHeight="1" x14ac:dyDescent="0.25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t="14.25" customHeight="1" x14ac:dyDescent="0.25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t="14.25" customHeight="1" x14ac:dyDescent="0.25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t="14.25" customHeight="1" x14ac:dyDescent="0.25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28.5" customHeight="1" x14ac:dyDescent="0.25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t="14.25" customHeight="1" x14ac:dyDescent="0.25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t="14.25" customHeight="1" x14ac:dyDescent="0.25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t="14.25" customHeight="1" x14ac:dyDescent="0.25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t="14.25" customHeight="1" x14ac:dyDescent="0.25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t="14.25" customHeight="1" x14ac:dyDescent="0.25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t="14.25" customHeight="1" x14ac:dyDescent="0.25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t="14.25" customHeight="1" x14ac:dyDescent="0.25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t="14.25" customHeight="1" x14ac:dyDescent="0.25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ca="1">TODAY()</f>
        <v>46317</v>
      </c>
      <c r="O999" s="23">
        <f ca="1">TAB_OFICINAS[[#This Row],[Data Retorno Produção]]-TAB_OFICINAS[[#This Row],[Data Prometida  Entrega]]</f>
        <v>62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t="14.25" customHeight="1" x14ac:dyDescent="0.25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t="14.25" customHeight="1" x14ac:dyDescent="0.25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t="14.25" customHeight="1" x14ac:dyDescent="0.25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t="14.25" customHeight="1" x14ac:dyDescent="0.25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ht="14.25" customHeight="1" x14ac:dyDescent="0.25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L1004" s="9">
        <v>1000</v>
      </c>
      <c r="M1004" s="6">
        <v>46258</v>
      </c>
      <c r="N1004" s="6">
        <v>46262</v>
      </c>
      <c r="O1004" s="23">
        <f>TAB_OFICINAS[[#This Row],[Data Retorno Produção]]-TAB_OFICINAS[[#This Row],[Data Prometida  Entrega]]</f>
        <v>4</v>
      </c>
      <c r="P1004" s="98" t="str">
        <f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0</v>
      </c>
      <c r="R1004" s="24"/>
      <c r="S1004" s="5">
        <v>968</v>
      </c>
      <c r="T1004" s="5">
        <v>63</v>
      </c>
      <c r="U1004" s="11">
        <v>7</v>
      </c>
      <c r="V1004" s="25">
        <f>IFERROR(TAB_OFICINAS[[#This Row],[Valor Unit]]*TAB_OFICINAS[[#This Row],[Qtd pçs Enviadas]]," ")</f>
        <v>7000</v>
      </c>
      <c r="W1004" s="26">
        <f>TAB_OFICINAS[[#This Row],[Data Retorno Produção]]+10</f>
        <v>46272</v>
      </c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t="14.25" customHeight="1" x14ac:dyDescent="0.25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 customHeight="1" x14ac:dyDescent="0.25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 customHeight="1" x14ac:dyDescent="0.25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t="14.25" customHeight="1" x14ac:dyDescent="0.25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t="14.25" customHeight="1" x14ac:dyDescent="0.25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t="14.25" customHeight="1" x14ac:dyDescent="0.25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t="14.25" customHeight="1" x14ac:dyDescent="0.25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t="14.25" customHeight="1" x14ac:dyDescent="0.25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t="14.25" customHeight="1" x14ac:dyDescent="0.25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t="14.25" customHeight="1" x14ac:dyDescent="0.25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t="14.25" customHeight="1" x14ac:dyDescent="0.25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t="14.25" customHeight="1" x14ac:dyDescent="0.25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t="14.25" customHeight="1" x14ac:dyDescent="0.25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t="14.25" customHeight="1" x14ac:dyDescent="0.25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t="14.25" customHeight="1" x14ac:dyDescent="0.25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t="14.25" customHeight="1" x14ac:dyDescent="0.25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t="14.25" customHeight="1" x14ac:dyDescent="0.25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t="14.25" customHeight="1" x14ac:dyDescent="0.25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t="14.25" customHeight="1" x14ac:dyDescent="0.25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t="14.25" customHeight="1" x14ac:dyDescent="0.25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t="14.25" customHeight="1" x14ac:dyDescent="0.25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t="14.25" customHeight="1" x14ac:dyDescent="0.25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t="14.25" customHeight="1" x14ac:dyDescent="0.25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t="14.25" customHeight="1" x14ac:dyDescent="0.25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t="14.25" customHeight="1" x14ac:dyDescent="0.25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28.5" customHeight="1" x14ac:dyDescent="0.2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t="14.25" customHeight="1" x14ac:dyDescent="0.25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t="14.25" customHeight="1" x14ac:dyDescent="0.25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customHeight="1" x14ac:dyDescent="0.2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28.5" customHeight="1" x14ac:dyDescent="0.2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t="14.25" customHeight="1" x14ac:dyDescent="0.25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t="14.25" customHeight="1" x14ac:dyDescent="0.25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ht="14.25" customHeight="1" x14ac:dyDescent="0.25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ht="14.25" customHeight="1" x14ac:dyDescent="0.25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L1038" s="9">
        <v>7</v>
      </c>
      <c r="M1038" s="6">
        <v>46273</v>
      </c>
      <c r="N1038" s="6">
        <v>46273</v>
      </c>
      <c r="O1038" s="23">
        <f>TAB_OFICINAS[[#This Row],[Data Retorno Produção]]-TAB_OFICINAS[[#This Row],[Data Prometida  Entrega]]</f>
        <v>0</v>
      </c>
      <c r="P1038" s="98" t="str">
        <f>IF(TAB_OFICINAS[[#This Row],[Dias Para Entrega]]&lt;=0,"Em dia","Dia de Atrasado")</f>
        <v>Em dia</v>
      </c>
      <c r="Q1038" s="24">
        <f>IFERROR(TAB_OFICINAS[[#This Row],[Qtd pçs Enviadas]]-TAB_OFICINAS[[#This Row],[Qtd pçs Retornadas ]],"N/D ")</f>
        <v>0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>
        <v>46283</v>
      </c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9" spans="3:26" ht="14.25" customHeight="1" x14ac:dyDescent="0.25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L1039" s="9">
        <v>20</v>
      </c>
      <c r="M1039" s="6">
        <v>46273</v>
      </c>
      <c r="N1039" s="6">
        <v>46273</v>
      </c>
      <c r="O1039" s="23">
        <f>TAB_OFICINAS[[#This Row],[Data Retorno Produção]]-TAB_OFICINAS[[#This Row],[Data Prometida  Entrega]]</f>
        <v>0</v>
      </c>
      <c r="P1039" s="98" t="str">
        <f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>
        <v>46283</v>
      </c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0" spans="3:26" ht="14.25" customHeight="1" x14ac:dyDescent="0.25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L1040" s="9">
        <v>6</v>
      </c>
      <c r="M1040" s="6">
        <v>46273</v>
      </c>
      <c r="N1040" s="6">
        <v>46273</v>
      </c>
      <c r="O1040" s="23">
        <f>TAB_OFICINAS[[#This Row],[Data Retorno Produção]]-TAB_OFICINAS[[#This Row],[Data Prometida  Entrega]]</f>
        <v>0</v>
      </c>
      <c r="P1040" s="98" t="str">
        <f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0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>
        <v>46283</v>
      </c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1" spans="3:26" ht="14.25" customHeight="1" x14ac:dyDescent="0.25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L1041" s="9">
        <v>16</v>
      </c>
      <c r="M1041" s="6">
        <v>46273</v>
      </c>
      <c r="N1041" s="6">
        <v>46273</v>
      </c>
      <c r="O1041" s="23">
        <f>TAB_OFICINAS[[#This Row],[Data Retorno Produção]]-TAB_OFICINAS[[#This Row],[Data Prometida  Entrega]]</f>
        <v>0</v>
      </c>
      <c r="P1041" s="98" t="str">
        <f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0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>
        <v>46283</v>
      </c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2" spans="3:26" ht="14.25" customHeight="1" x14ac:dyDescent="0.25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ca="1">TODAY()</f>
        <v>46317</v>
      </c>
      <c r="O1042" s="23">
        <f ca="1">TAB_OFICINAS[[#This Row],[Data Retorno Produção]]-TAB_OFICINAS[[#This Row],[Data Prometida  Entrega]]</f>
        <v>56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 ht="14.25" customHeight="1" x14ac:dyDescent="0.25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t="14.25" customHeight="1" x14ac:dyDescent="0.25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24423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24425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t="14.25" customHeight="1" x14ac:dyDescent="0.25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24424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t="14.25" customHeight="1" x14ac:dyDescent="0.25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L1046" s="9">
        <v>3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>
        <v>46265</v>
      </c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7" spans="3:26" ht="14.25" customHeight="1" x14ac:dyDescent="0.25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L1047" s="9">
        <v>9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>
        <v>46265</v>
      </c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8" spans="3:26" ht="14.25" customHeight="1" x14ac:dyDescent="0.25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L1048" s="9">
        <v>2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>
        <v>46265</v>
      </c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9" spans="3:26" ht="14.25" customHeight="1" x14ac:dyDescent="0.25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L1049" s="9">
        <v>9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>
        <v>46235</v>
      </c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0" spans="3:26" ht="14.25" customHeight="1" x14ac:dyDescent="0.25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L1050" s="9">
        <v>3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>
        <v>46265</v>
      </c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1" spans="3:26" ht="14.25" customHeight="1" x14ac:dyDescent="0.25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L1051" s="9">
        <v>9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>
        <v>46265</v>
      </c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2" spans="3:26" ht="14.25" customHeight="1" x14ac:dyDescent="0.25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L1052" s="9">
        <v>2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>
        <v>46265</v>
      </c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3" spans="3:26" ht="14.25" customHeight="1" x14ac:dyDescent="0.25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L1053" s="9">
        <v>9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>
        <v>46265</v>
      </c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4" spans="3:26" ht="14.25" customHeight="1" x14ac:dyDescent="0.25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L1054" s="9">
        <v>37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>
        <v>46265</v>
      </c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5" spans="3:26" ht="14.25" customHeight="1" x14ac:dyDescent="0.25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L1055" s="9">
        <v>24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>
        <v>46265</v>
      </c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6" spans="3:26" ht="14.25" customHeight="1" x14ac:dyDescent="0.25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ca="1">TODAY()</f>
        <v>46317</v>
      </c>
      <c r="O1056" s="23">
        <f ca="1">TAB_OFICINAS[[#This Row],[Data Retorno Produção]]-TAB_OFICINAS[[#This Row],[Data Prometida  Entrega]]</f>
        <v>55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 ht="14.25" customHeight="1" x14ac:dyDescent="0.25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ca="1">TODAY()</f>
        <v>46317</v>
      </c>
      <c r="O1057" s="23">
        <f ca="1">TAB_OFICINAS[[#This Row],[Data Retorno Produção]]-TAB_OFICINAS[[#This Row],[Data Prometida  Entrega]]</f>
        <v>55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 ht="14.25" customHeight="1" x14ac:dyDescent="0.25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ca="1">TODAY()</f>
        <v>46317</v>
      </c>
      <c r="O1058" s="23">
        <f ca="1">TAB_OFICINAS[[#This Row],[Data Retorno Produção]]-TAB_OFICINAS[[#This Row],[Data Prometida  Entrega]]</f>
        <v>56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 ht="14.25" customHeight="1" x14ac:dyDescent="0.25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2">TODAY()</f>
        <v>46317</v>
      </c>
      <c r="O1059" s="23">
        <f ca="1">TAB_OFICINAS[[#This Row],[Data Retorno Produção]]-TAB_OFICINAS[[#This Row],[Data Prometida  Entrega]]</f>
        <v>55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 ht="14.25" customHeight="1" x14ac:dyDescent="0.25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2"/>
        <v>46317</v>
      </c>
      <c r="O1060" s="23">
        <f ca="1">TAB_OFICINAS[[#This Row],[Data Retorno Produção]]-TAB_OFICINAS[[#This Row],[Data Prometida  Entrega]]</f>
        <v>55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 ht="14.25" customHeight="1" x14ac:dyDescent="0.25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2"/>
        <v>46317</v>
      </c>
      <c r="O1061" s="23">
        <f ca="1">TAB_OFICINAS[[#This Row],[Data Retorno Produção]]-TAB_OFICINAS[[#This Row],[Data Prometida  Entrega]]</f>
        <v>55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 ht="14.25" customHeight="1" x14ac:dyDescent="0.25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2"/>
        <v>46317</v>
      </c>
      <c r="O1062" s="23">
        <f ca="1">TAB_OFICINAS[[#This Row],[Data Retorno Produção]]-TAB_OFICINAS[[#This Row],[Data Prometida  Entrega]]</f>
        <v>55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 ht="14.25" customHeight="1" x14ac:dyDescent="0.25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2"/>
        <v>46317</v>
      </c>
      <c r="O1063" s="23">
        <f ca="1">TAB_OFICINAS[[#This Row],[Data Retorno Produção]]-TAB_OFICINAS[[#This Row],[Data Prometida  Entrega]]</f>
        <v>55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 ht="14.25" customHeight="1" x14ac:dyDescent="0.25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2"/>
        <v>46317</v>
      </c>
      <c r="O1064" s="23">
        <f ca="1">TAB_OFICINAS[[#This Row],[Data Retorno Produção]]-TAB_OFICINAS[[#This Row],[Data Prometida  Entrega]]</f>
        <v>55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 ht="14.25" customHeight="1" x14ac:dyDescent="0.25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2"/>
        <v>46317</v>
      </c>
      <c r="O1065" s="23">
        <f ca="1">TAB_OFICINAS[[#This Row],[Data Retorno Produção]]-TAB_OFICINAS[[#This Row],[Data Prometida  Entrega]]</f>
        <v>55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 ht="14.25" customHeight="1" x14ac:dyDescent="0.25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2"/>
        <v>46317</v>
      </c>
      <c r="O1066" s="23">
        <f ca="1">TAB_OFICINAS[[#This Row],[Data Retorno Produção]]-TAB_OFICINAS[[#This Row],[Data Prometida  Entrega]]</f>
        <v>55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 ht="14.25" customHeight="1" x14ac:dyDescent="0.25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2"/>
        <v>46317</v>
      </c>
      <c r="O1067" s="23">
        <f ca="1">TAB_OFICINAS[[#This Row],[Data Retorno Produção]]-TAB_OFICINAS[[#This Row],[Data Prometida  Entrega]]</f>
        <v>55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 ht="14.25" customHeight="1" x14ac:dyDescent="0.25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24426</v>
      </c>
      <c r="Q1068" s="24" t="s">
        <v>24427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24428</v>
      </c>
    </row>
    <row r="1069" spans="3:26" ht="14.25" customHeight="1" x14ac:dyDescent="0.25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24429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24428</v>
      </c>
    </row>
    <row r="1070" spans="3:26" ht="14.25" customHeight="1" x14ac:dyDescent="0.25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24430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24427</v>
      </c>
      <c r="P1070" s="98" t="s">
        <v>24429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24428</v>
      </c>
    </row>
    <row r="1071" spans="3:26" ht="85.5" customHeight="1" x14ac:dyDescent="0.25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24429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25293</v>
      </c>
      <c r="Z1071" s="90" t="s">
        <v>24428</v>
      </c>
    </row>
    <row r="1072" spans="3:26" ht="14.25" customHeight="1" x14ac:dyDescent="0.25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24429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24428</v>
      </c>
    </row>
    <row r="1073" spans="3:26" ht="14.25" customHeight="1" x14ac:dyDescent="0.25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24429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24431</v>
      </c>
      <c r="Z1073" s="90" t="s">
        <v>24428</v>
      </c>
    </row>
    <row r="1074" spans="3:26" ht="14.25" customHeight="1" x14ac:dyDescent="0.25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24429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24432</v>
      </c>
      <c r="Z1074" s="90" t="s">
        <v>24428</v>
      </c>
    </row>
    <row r="1075" spans="3:26" ht="14.25" customHeight="1" x14ac:dyDescent="0.25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24429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24428</v>
      </c>
    </row>
    <row r="1076" spans="3:26" ht="14.25" customHeight="1" x14ac:dyDescent="0.25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24433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24427</v>
      </c>
      <c r="P1076" s="98" t="s">
        <v>24429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24428</v>
      </c>
    </row>
    <row r="1077" spans="3:26" ht="14.25" customHeight="1" x14ac:dyDescent="0.25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24434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24427</v>
      </c>
      <c r="P1077" s="98" t="s">
        <v>24429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24428</v>
      </c>
    </row>
    <row r="1078" spans="3:26" ht="14.25" customHeight="1" x14ac:dyDescent="0.25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24435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24427</v>
      </c>
      <c r="P1078" s="98" t="s">
        <v>24429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24428</v>
      </c>
    </row>
    <row r="1079" spans="3:26" ht="14.25" customHeight="1" x14ac:dyDescent="0.25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24436</v>
      </c>
      <c r="I1079" s="28" t="s">
        <v>24437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24427</v>
      </c>
      <c r="P1079" s="98" t="s">
        <v>24429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24438</v>
      </c>
      <c r="Z1079" s="90" t="s">
        <v>24428</v>
      </c>
    </row>
    <row r="1080" spans="3:26" ht="14.25" customHeight="1" x14ac:dyDescent="0.25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24427</v>
      </c>
      <c r="P1080" s="98" t="s">
        <v>24429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24439</v>
      </c>
      <c r="Z1080" s="90" t="s">
        <v>24428</v>
      </c>
    </row>
    <row r="1081" spans="3:26" ht="14.25" customHeight="1" x14ac:dyDescent="0.25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24440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24427</v>
      </c>
      <c r="P1081" s="98" t="s">
        <v>24429</v>
      </c>
      <c r="Q1081" s="24" t="s">
        <v>24427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24441</v>
      </c>
      <c r="Z1081" s="90" t="s">
        <v>24428</v>
      </c>
    </row>
    <row r="1082" spans="3:26" ht="14.25" customHeight="1" x14ac:dyDescent="0.25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24442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24427</v>
      </c>
      <c r="P1082" s="98" t="s">
        <v>24429</v>
      </c>
      <c r="Q1082" s="24" t="s">
        <v>24427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24441</v>
      </c>
      <c r="Z1082" s="90" t="s">
        <v>24428</v>
      </c>
    </row>
    <row r="1083" spans="3:26" ht="14.25" customHeight="1" x14ac:dyDescent="0.25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24443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24427</v>
      </c>
      <c r="P1083" s="98" t="s">
        <v>24429</v>
      </c>
      <c r="Q1083" s="24" t="s">
        <v>24427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24444</v>
      </c>
      <c r="Z1083" s="90" t="s">
        <v>24428</v>
      </c>
    </row>
    <row r="1084" spans="3:26" ht="14.25" customHeight="1" x14ac:dyDescent="0.25">
      <c r="C1084" s="28" t="s">
        <v>7</v>
      </c>
      <c r="H1084" s="51" t="s">
        <v>23962</v>
      </c>
      <c r="I1084" s="28" t="s">
        <v>24445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24427</v>
      </c>
      <c r="P1084" s="98" t="s">
        <v>24429</v>
      </c>
      <c r="Q1084" s="24" t="s">
        <v>24427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24428</v>
      </c>
    </row>
    <row r="1085" spans="3:26" ht="14.25" customHeight="1" x14ac:dyDescent="0.25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24427</v>
      </c>
      <c r="P1085" s="98" t="s">
        <v>24429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24446</v>
      </c>
      <c r="Z1085" s="90" t="s">
        <v>24428</v>
      </c>
    </row>
    <row r="1086" spans="3:26" ht="14.25" customHeight="1" x14ac:dyDescent="0.25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24430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24426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24446</v>
      </c>
      <c r="Z1086" s="90" t="s">
        <v>24428</v>
      </c>
    </row>
    <row r="1087" spans="3:26" ht="14.25" customHeight="1" x14ac:dyDescent="0.25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24447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24427</v>
      </c>
      <c r="P1087" s="98" t="s">
        <v>24429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24446</v>
      </c>
      <c r="Z1087" s="90" t="s">
        <v>24428</v>
      </c>
    </row>
    <row r="1088" spans="3:26" ht="14.25" customHeight="1" x14ac:dyDescent="0.25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24426</v>
      </c>
      <c r="Q1088" s="24" t="s">
        <v>24427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24428</v>
      </c>
    </row>
    <row r="1089" spans="3:26" ht="14.25" customHeight="1" x14ac:dyDescent="0.25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24448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24426</v>
      </c>
      <c r="Q1089" s="24" t="s">
        <v>24427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24428</v>
      </c>
    </row>
    <row r="1090" spans="3:26" ht="14.25" customHeight="1" x14ac:dyDescent="0.25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24449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24426</v>
      </c>
      <c r="Q1090" s="24" t="s">
        <v>24427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24428</v>
      </c>
    </row>
    <row r="1091" spans="3:26" ht="14.25" customHeight="1" x14ac:dyDescent="0.25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24443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24427</v>
      </c>
      <c r="P1091" s="98" t="s">
        <v>24429</v>
      </c>
      <c r="Q1091" s="24" t="s">
        <v>24427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24450</v>
      </c>
      <c r="Z1091" s="90" t="s">
        <v>24428</v>
      </c>
    </row>
    <row r="1092" spans="3:26" ht="14.25" customHeight="1" x14ac:dyDescent="0.25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24451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24427</v>
      </c>
      <c r="P1092" s="98" t="s">
        <v>24429</v>
      </c>
      <c r="Q1092" s="24" t="s">
        <v>24427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24452</v>
      </c>
      <c r="Z1092" s="90" t="s">
        <v>24428</v>
      </c>
    </row>
    <row r="1093" spans="3:26" ht="14.25" customHeight="1" x14ac:dyDescent="0.25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24453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24427</v>
      </c>
      <c r="P1093" s="98" t="s">
        <v>24429</v>
      </c>
      <c r="Q1093" s="24" t="s">
        <v>24427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24452</v>
      </c>
      <c r="Z1093" s="90" t="s">
        <v>24428</v>
      </c>
    </row>
    <row r="1094" spans="3:26" ht="14.25" customHeight="1" x14ac:dyDescent="0.25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24454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24427</v>
      </c>
      <c r="P1094" s="98" t="s">
        <v>24429</v>
      </c>
      <c r="Q1094" s="24" t="s">
        <v>24427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24450</v>
      </c>
      <c r="Z1094" s="90" t="s">
        <v>24428</v>
      </c>
    </row>
    <row r="1095" spans="3:26" ht="14.25" customHeight="1" x14ac:dyDescent="0.25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24455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24427</v>
      </c>
      <c r="P1095" s="98" t="s">
        <v>24429</v>
      </c>
      <c r="Q1095" s="24" t="s">
        <v>24427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24456</v>
      </c>
      <c r="Z1095" s="90" t="s">
        <v>24428</v>
      </c>
    </row>
    <row r="1096" spans="3:26" ht="14.25" customHeight="1" x14ac:dyDescent="0.25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24429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24428</v>
      </c>
    </row>
    <row r="1097" spans="3:26" ht="14.25" customHeight="1" x14ac:dyDescent="0.25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24429</v>
      </c>
      <c r="Q1097" s="24">
        <v>1</v>
      </c>
      <c r="R1097" s="24"/>
      <c r="S1097" s="5">
        <v>3393</v>
      </c>
      <c r="T1097" s="5">
        <v>66</v>
      </c>
      <c r="U1097" s="137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24457</v>
      </c>
    </row>
    <row r="1098" spans="3:26" ht="14.25" customHeight="1" x14ac:dyDescent="0.25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24458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24429</v>
      </c>
      <c r="Q1098" s="24">
        <v>0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24428</v>
      </c>
    </row>
    <row r="1099" spans="3:26" ht="14.25" customHeight="1" x14ac:dyDescent="0.25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24429</v>
      </c>
      <c r="Q1099" s="24">
        <v>0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24428</v>
      </c>
    </row>
    <row r="1100" spans="3:26" ht="14.25" customHeight="1" x14ac:dyDescent="0.25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24429</v>
      </c>
      <c r="Q1100" s="24">
        <v>0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24428</v>
      </c>
    </row>
    <row r="1101" spans="3:26" ht="14.25" customHeight="1" x14ac:dyDescent="0.25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24426</v>
      </c>
      <c r="Q1101" s="24" t="s">
        <v>24427</v>
      </c>
      <c r="R1101" s="24"/>
      <c r="S1101" s="5">
        <v>1001</v>
      </c>
      <c r="T1101" s="5" t="s">
        <v>24459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24428</v>
      </c>
    </row>
    <row r="1102" spans="3:26" ht="71.25" customHeight="1" x14ac:dyDescent="0.25">
      <c r="C1102" s="28" t="s">
        <v>19</v>
      </c>
      <c r="D1102" s="5">
        <v>5069</v>
      </c>
      <c r="E1102" s="5">
        <v>24232</v>
      </c>
      <c r="F1102" s="28" t="s">
        <v>24460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24429</v>
      </c>
      <c r="Q1102" s="24" t="s">
        <v>24427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24461</v>
      </c>
      <c r="Z1102" s="90" t="s">
        <v>24428</v>
      </c>
    </row>
    <row r="1103" spans="3:26" ht="85.5" customHeight="1" x14ac:dyDescent="0.25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24427</v>
      </c>
      <c r="P1103" s="98" t="s">
        <v>24429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24462</v>
      </c>
      <c r="Z1103" s="90" t="s">
        <v>24428</v>
      </c>
    </row>
    <row r="1104" spans="3:26" ht="14.25" customHeight="1" x14ac:dyDescent="0.25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24463</v>
      </c>
      <c r="I1104" s="28" t="s">
        <v>24464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24427</v>
      </c>
      <c r="P1104" s="98" t="s">
        <v>24429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24465</v>
      </c>
      <c r="Z1104" s="90" t="s">
        <v>24428</v>
      </c>
    </row>
    <row r="1105" spans="3:26" ht="14.25" customHeight="1" x14ac:dyDescent="0.25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24466</v>
      </c>
      <c r="I1105" s="28" t="s">
        <v>24467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24427</v>
      </c>
      <c r="P1105" s="98" t="s">
        <v>24429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24465</v>
      </c>
      <c r="Z1105" s="90" t="s">
        <v>24428</v>
      </c>
    </row>
    <row r="1106" spans="3:26" ht="14.25" customHeight="1" x14ac:dyDescent="0.25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24468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24427</v>
      </c>
      <c r="P1106" s="98" t="s">
        <v>24429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24469</v>
      </c>
      <c r="Z1106" s="90" t="s">
        <v>24428</v>
      </c>
    </row>
    <row r="1107" spans="3:26" ht="14.25" customHeight="1" x14ac:dyDescent="0.25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24470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24427</v>
      </c>
      <c r="P1107" s="98" t="s">
        <v>24429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24469</v>
      </c>
      <c r="Z1107" s="90" t="s">
        <v>24428</v>
      </c>
    </row>
    <row r="1108" spans="3:26" ht="14.25" customHeight="1" x14ac:dyDescent="0.25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24427</v>
      </c>
      <c r="P1108" s="98" t="s">
        <v>24429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24469</v>
      </c>
      <c r="Z1108" s="90" t="s">
        <v>24428</v>
      </c>
    </row>
    <row r="1109" spans="3:26" ht="14.25" customHeight="1" x14ac:dyDescent="0.25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24427</v>
      </c>
      <c r="P1109" s="98" t="s">
        <v>24429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24469</v>
      </c>
      <c r="Z1109" s="90" t="s">
        <v>24428</v>
      </c>
    </row>
    <row r="1110" spans="3:26" ht="14.25" customHeight="1" x14ac:dyDescent="0.25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24427</v>
      </c>
      <c r="P1110" s="98" t="s">
        <v>24429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24469</v>
      </c>
      <c r="Z1110" s="90" t="s">
        <v>24428</v>
      </c>
    </row>
    <row r="1111" spans="3:26" ht="14.25" customHeight="1" x14ac:dyDescent="0.25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24471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24427</v>
      </c>
      <c r="P1111" s="98" t="s">
        <v>24429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24469</v>
      </c>
      <c r="Z1111" s="90" t="s">
        <v>24428</v>
      </c>
    </row>
    <row r="1112" spans="3:26" ht="14.25" customHeight="1" x14ac:dyDescent="0.25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24429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24428</v>
      </c>
    </row>
    <row r="1113" spans="3:26" ht="42.75" customHeight="1" x14ac:dyDescent="0.25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24426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24472</v>
      </c>
      <c r="Z1113" s="90" t="s">
        <v>24428</v>
      </c>
    </row>
    <row r="1114" spans="3:26" ht="14.25" customHeight="1" x14ac:dyDescent="0.25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24458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24426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24473</v>
      </c>
      <c r="Z1114" s="90" t="s">
        <v>24428</v>
      </c>
    </row>
    <row r="1115" spans="3:26" ht="14.25" customHeight="1" x14ac:dyDescent="0.25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24426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24473</v>
      </c>
      <c r="Z1115" s="90" t="s">
        <v>24428</v>
      </c>
    </row>
    <row r="1116" spans="3:26" ht="14.25" customHeight="1" x14ac:dyDescent="0.25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24474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24427</v>
      </c>
      <c r="P1116" s="98" t="s">
        <v>24429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24428</v>
      </c>
    </row>
    <row r="1117" spans="3:26" ht="14.25" customHeight="1" x14ac:dyDescent="0.25">
      <c r="C1117" s="28" t="s">
        <v>15</v>
      </c>
      <c r="D1117" s="5">
        <v>5758</v>
      </c>
      <c r="E1117" s="5">
        <v>24355</v>
      </c>
      <c r="F1117" s="28" t="s">
        <v>24475</v>
      </c>
      <c r="G1117" s="2" t="s">
        <v>24476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 t="s">
        <v>24427</v>
      </c>
      <c r="P1117" s="98" t="s">
        <v>24429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24477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24428</v>
      </c>
    </row>
    <row r="1118" spans="3:26" ht="14.25" customHeight="1" x14ac:dyDescent="0.25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24478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 t="s">
        <v>24427</v>
      </c>
      <c r="P1118" s="98" t="s">
        <v>24429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24477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24428</v>
      </c>
    </row>
    <row r="1119" spans="3:26" ht="14.25" customHeight="1" x14ac:dyDescent="0.25">
      <c r="C1119" s="28" t="s">
        <v>1</v>
      </c>
      <c r="D1119" s="5">
        <v>5756</v>
      </c>
      <c r="E1119" s="5">
        <v>24353</v>
      </c>
      <c r="F1119" s="28" t="s">
        <v>24479</v>
      </c>
      <c r="G1119" s="2" t="s">
        <v>24480</v>
      </c>
      <c r="H1119" s="51">
        <v>92101065362</v>
      </c>
      <c r="I1119" s="28" t="s">
        <v>24481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24429</v>
      </c>
      <c r="Q1119" s="24">
        <v>0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24428</v>
      </c>
    </row>
    <row r="1120" spans="3:26" ht="14.25" customHeight="1" x14ac:dyDescent="0.25">
      <c r="C1120" s="28" t="s">
        <v>1</v>
      </c>
      <c r="D1120" s="5">
        <v>5756</v>
      </c>
      <c r="E1120" s="5">
        <v>24353</v>
      </c>
      <c r="F1120" s="28" t="s">
        <v>24479</v>
      </c>
      <c r="G1120" s="2" t="s">
        <v>24480</v>
      </c>
      <c r="H1120" s="51">
        <v>92101021444</v>
      </c>
      <c r="I1120" s="28" t="s">
        <v>24482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24429</v>
      </c>
      <c r="Q1120" s="24">
        <v>0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24428</v>
      </c>
    </row>
    <row r="1121" spans="3:26" ht="14.25" customHeight="1" x14ac:dyDescent="0.25">
      <c r="C1121" s="28" t="s">
        <v>1</v>
      </c>
      <c r="D1121" s="5">
        <v>5756</v>
      </c>
      <c r="E1121" s="5">
        <v>24353</v>
      </c>
      <c r="F1121" s="28" t="s">
        <v>24479</v>
      </c>
      <c r="G1121" s="2" t="s">
        <v>24480</v>
      </c>
      <c r="H1121" s="51">
        <v>92101021443</v>
      </c>
      <c r="I1121" s="28" t="s">
        <v>24483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24429</v>
      </c>
      <c r="Q1121" s="24">
        <v>0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24428</v>
      </c>
    </row>
    <row r="1122" spans="3:26" ht="14.25" customHeight="1" x14ac:dyDescent="0.25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24484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24427</v>
      </c>
      <c r="P1122" s="98" t="s">
        <v>24429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24428</v>
      </c>
    </row>
    <row r="1123" spans="3:26" ht="14.25" customHeight="1" x14ac:dyDescent="0.25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24485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24427</v>
      </c>
      <c r="P1123" s="98" t="s">
        <v>24429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24428</v>
      </c>
    </row>
    <row r="1124" spans="3:26" ht="14.25" customHeight="1" x14ac:dyDescent="0.25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24486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24427</v>
      </c>
      <c r="P1124" s="98" t="s">
        <v>24429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24469</v>
      </c>
      <c r="Z1124" s="90" t="s">
        <v>24428</v>
      </c>
    </row>
    <row r="1125" spans="3:26" ht="14.25" customHeight="1" x14ac:dyDescent="0.25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24487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24427</v>
      </c>
      <c r="P1125" s="98" t="s">
        <v>24429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24488</v>
      </c>
      <c r="Z1125" s="90" t="s">
        <v>24428</v>
      </c>
    </row>
    <row r="1126" spans="3:26" ht="14.25" customHeight="1" x14ac:dyDescent="0.25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24489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24427</v>
      </c>
      <c r="P1126" s="98" t="s">
        <v>24429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24490</v>
      </c>
      <c r="Z1126" s="90" t="s">
        <v>24428</v>
      </c>
    </row>
    <row r="1127" spans="3:26" ht="14.25" customHeight="1" x14ac:dyDescent="0.25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24491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24427</v>
      </c>
      <c r="P1127" s="98" t="s">
        <v>24429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24428</v>
      </c>
    </row>
    <row r="1128" spans="3:26" ht="14.25" customHeight="1" x14ac:dyDescent="0.25">
      <c r="C1128" s="28" t="s">
        <v>1</v>
      </c>
      <c r="D1128" s="5">
        <v>5756</v>
      </c>
      <c r="E1128" s="5">
        <v>24353</v>
      </c>
      <c r="F1128" s="28" t="s">
        <v>24479</v>
      </c>
      <c r="G1128" s="2" t="s">
        <v>24480</v>
      </c>
      <c r="H1128" s="51">
        <v>92115864092</v>
      </c>
      <c r="I1128" s="28" t="s">
        <v>24492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24429</v>
      </c>
      <c r="Q1128" s="24">
        <v>0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24428</v>
      </c>
    </row>
    <row r="1129" spans="3:26" ht="14.25" customHeight="1" x14ac:dyDescent="0.25">
      <c r="C1129" s="28" t="s">
        <v>1</v>
      </c>
      <c r="D1129" s="5">
        <v>5756</v>
      </c>
      <c r="E1129" s="5">
        <v>24353</v>
      </c>
      <c r="F1129" s="28" t="s">
        <v>24479</v>
      </c>
      <c r="G1129" s="2" t="s">
        <v>24480</v>
      </c>
      <c r="H1129" s="51">
        <v>92102111810</v>
      </c>
      <c r="I1129" s="28" t="s">
        <v>24493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24429</v>
      </c>
      <c r="Q1129" s="24">
        <v>0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24428</v>
      </c>
    </row>
    <row r="1130" spans="3:26" ht="14.25" customHeight="1" x14ac:dyDescent="0.25">
      <c r="C1130" s="28" t="s">
        <v>1</v>
      </c>
      <c r="D1130" s="5">
        <v>5756</v>
      </c>
      <c r="E1130" s="5">
        <v>24353</v>
      </c>
      <c r="F1130" s="28" t="s">
        <v>24479</v>
      </c>
      <c r="G1130" s="2" t="s">
        <v>24480</v>
      </c>
      <c r="H1130" s="51">
        <v>92102030432</v>
      </c>
      <c r="I1130" s="28" t="s">
        <v>24494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24429</v>
      </c>
      <c r="Q1130" s="24">
        <v>0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24428</v>
      </c>
    </row>
    <row r="1131" spans="3:26" ht="14.25" customHeight="1" x14ac:dyDescent="0.25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24429</v>
      </c>
      <c r="Q1131" s="24" t="s">
        <v>24427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2" spans="3:26" ht="14.25" customHeight="1" x14ac:dyDescent="0.25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24429</v>
      </c>
      <c r="Q1132" s="24">
        <v>0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24428</v>
      </c>
    </row>
    <row r="1133" spans="3:26" ht="14.25" customHeight="1" x14ac:dyDescent="0.25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24429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24428</v>
      </c>
    </row>
    <row r="1134" spans="3:26" ht="14.25" customHeight="1" x14ac:dyDescent="0.25">
      <c r="C1134" s="28" t="s">
        <v>15</v>
      </c>
      <c r="D1134" s="5">
        <v>5737</v>
      </c>
      <c r="E1134" s="5">
        <v>24314</v>
      </c>
      <c r="F1134" s="28" t="s">
        <v>24495</v>
      </c>
      <c r="G1134" s="2" t="s">
        <v>24495</v>
      </c>
      <c r="H1134" s="51">
        <v>3161091427</v>
      </c>
      <c r="I1134" s="28" t="s">
        <v>24496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24427</v>
      </c>
      <c r="P1134" s="98" t="s">
        <v>24429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24497</v>
      </c>
      <c r="Z1134" s="90" t="s">
        <v>24428</v>
      </c>
    </row>
    <row r="1135" spans="3:26" ht="14.25" customHeight="1" x14ac:dyDescent="0.25">
      <c r="C1135" s="28" t="s">
        <v>15</v>
      </c>
      <c r="D1135" s="5">
        <v>5737</v>
      </c>
      <c r="E1135" s="5">
        <v>24314</v>
      </c>
      <c r="F1135" s="28" t="s">
        <v>24495</v>
      </c>
      <c r="G1135" s="2" t="s">
        <v>24495</v>
      </c>
      <c r="H1135" s="51">
        <v>3161091426</v>
      </c>
      <c r="I1135" s="28" t="s">
        <v>24498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24427</v>
      </c>
      <c r="P1135" s="98" t="s">
        <v>24429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24499</v>
      </c>
      <c r="Z1135" s="90" t="s">
        <v>24428</v>
      </c>
    </row>
    <row r="1136" spans="3:26" ht="14.25" customHeight="1" x14ac:dyDescent="0.25">
      <c r="C1136" s="28" t="s">
        <v>15</v>
      </c>
      <c r="D1136" s="5">
        <v>5737</v>
      </c>
      <c r="E1136" s="5">
        <v>24314</v>
      </c>
      <c r="F1136" s="28" t="s">
        <v>24495</v>
      </c>
      <c r="G1136" s="2" t="s">
        <v>24495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24427</v>
      </c>
      <c r="P1136" s="98" t="s">
        <v>24429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24500</v>
      </c>
      <c r="Z1136" s="90" t="s">
        <v>24428</v>
      </c>
    </row>
    <row r="1137" spans="3:26" ht="14.25" customHeight="1" x14ac:dyDescent="0.25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24429</v>
      </c>
      <c r="Q1137" s="24" t="s">
        <v>24427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24428</v>
      </c>
    </row>
    <row r="1138" spans="3:26" ht="14.25" customHeight="1" x14ac:dyDescent="0.25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24429</v>
      </c>
      <c r="Q1138" s="24" t="s">
        <v>24427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24428</v>
      </c>
    </row>
    <row r="1139" spans="3:26" ht="14.25" customHeight="1" x14ac:dyDescent="0.25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24429</v>
      </c>
      <c r="Q1139" s="24" t="s">
        <v>24427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24428</v>
      </c>
    </row>
    <row r="1140" spans="3:26" ht="14.25" customHeight="1" x14ac:dyDescent="0.25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24449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24427</v>
      </c>
      <c r="P1140" s="98" t="s">
        <v>24429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24501</v>
      </c>
      <c r="Z1140" s="90" t="s">
        <v>24428</v>
      </c>
    </row>
    <row r="1141" spans="3:26" ht="14.25" customHeight="1" x14ac:dyDescent="0.25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24448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24427</v>
      </c>
      <c r="P1141" s="98" t="s">
        <v>24429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24502</v>
      </c>
      <c r="Z1141" s="90" t="s">
        <v>24428</v>
      </c>
    </row>
    <row r="1142" spans="3:26" ht="14.25" customHeight="1" x14ac:dyDescent="0.25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24503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24427</v>
      </c>
      <c r="P1142" s="98" t="s">
        <v>24429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24428</v>
      </c>
    </row>
    <row r="1143" spans="3:26" ht="14.25" customHeight="1" x14ac:dyDescent="0.25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24504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24427</v>
      </c>
      <c r="P1143" s="98" t="s">
        <v>24429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24428</v>
      </c>
    </row>
    <row r="1144" spans="3:26" ht="14.25" customHeight="1" x14ac:dyDescent="0.25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24505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24427</v>
      </c>
      <c r="P1144" s="98" t="s">
        <v>24429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24428</v>
      </c>
    </row>
    <row r="1145" spans="3:26" ht="28.5" customHeight="1" x14ac:dyDescent="0.25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24506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24427</v>
      </c>
      <c r="P1145" s="98" t="s">
        <v>24429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24428</v>
      </c>
    </row>
    <row r="1146" spans="3:26" ht="14.25" customHeight="1" x14ac:dyDescent="0.25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24427</v>
      </c>
      <c r="P1146" s="98" t="s">
        <v>24429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24428</v>
      </c>
    </row>
    <row r="1147" spans="3:26" ht="14.25" customHeight="1" x14ac:dyDescent="0.25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24427</v>
      </c>
      <c r="P1147" s="98" t="s">
        <v>24429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24428</v>
      </c>
    </row>
    <row r="1148" spans="3:26" ht="14.25" customHeight="1" x14ac:dyDescent="0.25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 t="s">
        <v>24427</v>
      </c>
      <c r="P1148" s="98" t="s">
        <v>24429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24428</v>
      </c>
    </row>
    <row r="1149" spans="3:26" ht="71.25" customHeight="1" x14ac:dyDescent="0.25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24426</v>
      </c>
      <c r="Q1149" s="24" t="s">
        <v>24427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24507</v>
      </c>
      <c r="Z1149" s="90" t="s">
        <v>24428</v>
      </c>
    </row>
    <row r="1150" spans="3:26" ht="14.25" customHeight="1" x14ac:dyDescent="0.25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24426</v>
      </c>
      <c r="Q1150" s="24" t="s">
        <v>24427</v>
      </c>
      <c r="R1150" s="24"/>
      <c r="S1150" s="5">
        <v>1008</v>
      </c>
      <c r="T1150" s="5" t="s">
        <v>24508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24428</v>
      </c>
    </row>
    <row r="1151" spans="3:26" ht="14.25" customHeight="1" x14ac:dyDescent="0.25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24429</v>
      </c>
      <c r="Q1151" s="24" t="s">
        <v>24427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24428</v>
      </c>
    </row>
    <row r="1152" spans="3:26" ht="14.25" customHeight="1" x14ac:dyDescent="0.25">
      <c r="C1152" s="28" t="s">
        <v>15</v>
      </c>
      <c r="D1152" s="5">
        <v>5737</v>
      </c>
      <c r="E1152" s="5">
        <v>24314</v>
      </c>
      <c r="F1152" s="28" t="s">
        <v>24495</v>
      </c>
      <c r="G1152" s="2" t="s">
        <v>24495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24429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24428</v>
      </c>
    </row>
    <row r="1153" spans="3:26" ht="14.25" customHeight="1" x14ac:dyDescent="0.25">
      <c r="C1153" s="28" t="s">
        <v>15</v>
      </c>
      <c r="D1153" s="5">
        <v>5737</v>
      </c>
      <c r="E1153" s="5">
        <v>24314</v>
      </c>
      <c r="F1153" s="28" t="s">
        <v>24495</v>
      </c>
      <c r="G1153" s="2" t="s">
        <v>24495</v>
      </c>
      <c r="H1153" s="51">
        <v>3161091427</v>
      </c>
      <c r="I1153" s="28" t="s">
        <v>24509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24429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24428</v>
      </c>
    </row>
    <row r="1154" spans="3:26" ht="14.25" customHeight="1" x14ac:dyDescent="0.25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24429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24428</v>
      </c>
    </row>
    <row r="1155" spans="3:26" ht="14.25" customHeight="1" x14ac:dyDescent="0.25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24429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24428</v>
      </c>
    </row>
    <row r="1156" spans="3:26" ht="14.25" customHeight="1" x14ac:dyDescent="0.25">
      <c r="C1156" s="28" t="s">
        <v>15</v>
      </c>
      <c r="D1156" s="5">
        <v>4422</v>
      </c>
      <c r="E1156" s="5">
        <v>24319</v>
      </c>
      <c r="F1156" s="28" t="s">
        <v>24510</v>
      </c>
      <c r="G1156" s="2" t="s">
        <v>6139</v>
      </c>
      <c r="H1156" s="51">
        <v>92111016797</v>
      </c>
      <c r="I1156" s="28" t="s">
        <v>24511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24429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24512</v>
      </c>
      <c r="Z1156" s="90" t="s">
        <v>24428</v>
      </c>
    </row>
    <row r="1157" spans="3:26" ht="42.75" customHeight="1" x14ac:dyDescent="0.25">
      <c r="C1157" s="28" t="s">
        <v>15</v>
      </c>
      <c r="E1157" s="5">
        <v>45</v>
      </c>
      <c r="F1157" s="28" t="s">
        <v>24513</v>
      </c>
      <c r="G1157" s="2" t="s">
        <v>24513</v>
      </c>
      <c r="H1157" s="51">
        <v>2111021228</v>
      </c>
      <c r="I1157" s="28" t="s">
        <v>24514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24429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24515</v>
      </c>
      <c r="Z1157" s="90" t="s">
        <v>24428</v>
      </c>
    </row>
    <row r="1158" spans="3:26" ht="14.25" customHeight="1" x14ac:dyDescent="0.25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24505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24429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24428</v>
      </c>
    </row>
    <row r="1159" spans="3:26" ht="14.25" customHeight="1" x14ac:dyDescent="0.25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24504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24429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24428</v>
      </c>
    </row>
    <row r="1160" spans="3:26" ht="14.25" customHeight="1" x14ac:dyDescent="0.25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24503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24429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24428</v>
      </c>
    </row>
    <row r="1161" spans="3:26" ht="14.25" customHeight="1" x14ac:dyDescent="0.25">
      <c r="C1161" s="28" t="s">
        <v>15</v>
      </c>
      <c r="D1161" s="5">
        <v>5762</v>
      </c>
      <c r="E1161" s="5">
        <v>24366</v>
      </c>
      <c r="F1161" s="28" t="s">
        <v>24516</v>
      </c>
      <c r="G1161" s="2" t="s">
        <v>24517</v>
      </c>
      <c r="H1161" s="51">
        <v>2161221453</v>
      </c>
      <c r="I1161" s="28" t="s">
        <v>24518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24429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24519</v>
      </c>
      <c r="Z1161" s="90" t="s">
        <v>24428</v>
      </c>
    </row>
    <row r="1162" spans="3:26" ht="14.25" customHeight="1" x14ac:dyDescent="0.25">
      <c r="C1162" s="28" t="s">
        <v>15</v>
      </c>
      <c r="D1162" s="5">
        <v>5762</v>
      </c>
      <c r="E1162" s="5">
        <v>24366</v>
      </c>
      <c r="F1162" s="28" t="s">
        <v>24516</v>
      </c>
      <c r="G1162" s="2" t="s">
        <v>24517</v>
      </c>
      <c r="H1162" s="51">
        <v>2161221352</v>
      </c>
      <c r="I1162" s="28" t="s">
        <v>24520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24429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24519</v>
      </c>
      <c r="Z1162" s="90" t="s">
        <v>24428</v>
      </c>
    </row>
    <row r="1163" spans="3:26" ht="14.25" customHeight="1" x14ac:dyDescent="0.25">
      <c r="C1163" s="28" t="s">
        <v>15</v>
      </c>
      <c r="D1163" s="5">
        <v>5762</v>
      </c>
      <c r="E1163" s="5">
        <v>24366</v>
      </c>
      <c r="F1163" s="28" t="s">
        <v>24516</v>
      </c>
      <c r="G1163" s="2" t="s">
        <v>24517</v>
      </c>
      <c r="H1163" s="51">
        <v>3161091452</v>
      </c>
      <c r="I1163" s="28" t="s">
        <v>24521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24429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24522</v>
      </c>
      <c r="Z1163" s="90" t="s">
        <v>24428</v>
      </c>
    </row>
    <row r="1164" spans="3:26" ht="14.25" customHeight="1" x14ac:dyDescent="0.25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-2</v>
      </c>
      <c r="P1164" s="98" t="s">
        <v>24429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24428</v>
      </c>
    </row>
    <row r="1165" spans="3:26" ht="14.25" customHeight="1" x14ac:dyDescent="0.25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-2</v>
      </c>
      <c r="P1165" s="98" t="s">
        <v>24429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24428</v>
      </c>
    </row>
    <row r="1166" spans="3:26" ht="14.25" customHeight="1" x14ac:dyDescent="0.25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24429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24428</v>
      </c>
    </row>
    <row r="1167" spans="3:26" ht="14.25" customHeight="1" x14ac:dyDescent="0.25">
      <c r="C1167" s="28" t="s">
        <v>16</v>
      </c>
      <c r="D1167" s="5">
        <v>4422</v>
      </c>
      <c r="E1167" s="5">
        <v>24319</v>
      </c>
      <c r="F1167" s="28" t="s">
        <v>24510</v>
      </c>
      <c r="G1167" s="2" t="s">
        <v>6139</v>
      </c>
      <c r="H1167" s="51">
        <v>92111016797</v>
      </c>
      <c r="I1167" s="28" t="s">
        <v>24511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24427</v>
      </c>
      <c r="P1167" s="98" t="s">
        <v>24429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24428</v>
      </c>
    </row>
    <row r="1168" spans="3:26" ht="14.25" customHeight="1" x14ac:dyDescent="0.25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24429</v>
      </c>
      <c r="Q1168" s="24">
        <v>0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24428</v>
      </c>
    </row>
    <row r="1169" spans="3:26" ht="14.25" customHeight="1" x14ac:dyDescent="0.25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24523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24429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24524</v>
      </c>
      <c r="Z1169" s="90" t="s">
        <v>24428</v>
      </c>
    </row>
    <row r="1170" spans="3:26" ht="14.25" customHeight="1" x14ac:dyDescent="0.25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24525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24429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24524</v>
      </c>
      <c r="Z1170" s="90" t="s">
        <v>24428</v>
      </c>
    </row>
    <row r="1171" spans="3:26" ht="57" customHeight="1" x14ac:dyDescent="0.25">
      <c r="C1171" s="28" t="s">
        <v>15</v>
      </c>
      <c r="D1171" s="5">
        <v>5796</v>
      </c>
      <c r="E1171" s="5">
        <v>24472</v>
      </c>
      <c r="F1171" s="28" t="s">
        <v>24526</v>
      </c>
      <c r="G1171" s="2" t="s">
        <v>24526</v>
      </c>
      <c r="H1171" s="51">
        <v>2161221507</v>
      </c>
      <c r="I1171" s="28" t="s">
        <v>24527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24429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24528</v>
      </c>
      <c r="Z1171" s="90" t="s">
        <v>24428</v>
      </c>
    </row>
    <row r="1172" spans="3:26" ht="57" customHeight="1" x14ac:dyDescent="0.25">
      <c r="C1172" s="28" t="s">
        <v>15</v>
      </c>
      <c r="D1172" s="5">
        <v>5796</v>
      </c>
      <c r="E1172" s="5">
        <v>24472</v>
      </c>
      <c r="F1172" s="28" t="s">
        <v>24526</v>
      </c>
      <c r="G1172" s="2" t="s">
        <v>24526</v>
      </c>
      <c r="H1172" s="51">
        <v>2161221506</v>
      </c>
      <c r="I1172" s="28" t="s">
        <v>24518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24429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24528</v>
      </c>
      <c r="Z1172" s="90" t="s">
        <v>24428</v>
      </c>
    </row>
    <row r="1173" spans="3:26" ht="57" customHeight="1" x14ac:dyDescent="0.25">
      <c r="C1173" s="28" t="s">
        <v>15</v>
      </c>
      <c r="D1173" s="5">
        <v>5796</v>
      </c>
      <c r="E1173" s="5">
        <v>24472</v>
      </c>
      <c r="F1173" s="28" t="s">
        <v>24526</v>
      </c>
      <c r="G1173" s="2" t="s">
        <v>24526</v>
      </c>
      <c r="H1173" s="51">
        <v>2161221352</v>
      </c>
      <c r="I1173" s="28" t="s">
        <v>24520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24429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24528</v>
      </c>
      <c r="Z1173" s="90" t="s">
        <v>24428</v>
      </c>
    </row>
    <row r="1174" spans="3:26" ht="14.25" customHeight="1" x14ac:dyDescent="0.25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24529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24429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24530</v>
      </c>
      <c r="Z1174" s="90" t="s">
        <v>24428</v>
      </c>
    </row>
    <row r="1175" spans="3:26" ht="28.5" customHeight="1" x14ac:dyDescent="0.25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24506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24429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24428</v>
      </c>
    </row>
    <row r="1176" spans="3:26" ht="14.25" customHeight="1" x14ac:dyDescent="0.25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24531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24429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24532</v>
      </c>
      <c r="Z1176" s="90" t="s">
        <v>24428</v>
      </c>
    </row>
    <row r="1177" spans="3:26" ht="14.25" customHeight="1" x14ac:dyDescent="0.25">
      <c r="C1177" s="28" t="s">
        <v>15</v>
      </c>
      <c r="E1177" s="5">
        <v>42</v>
      </c>
      <c r="F1177" s="28" t="s">
        <v>24533</v>
      </c>
      <c r="G1177" s="2" t="s">
        <v>22335</v>
      </c>
      <c r="H1177" s="51" t="s">
        <v>24534</v>
      </c>
      <c r="I1177" s="28" t="s">
        <v>24535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24429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24536</v>
      </c>
      <c r="Z1177" s="90" t="s">
        <v>24428</v>
      </c>
    </row>
    <row r="1178" spans="3:26" ht="14.25" customHeight="1" x14ac:dyDescent="0.25">
      <c r="C1178" s="28" t="s">
        <v>15</v>
      </c>
      <c r="E1178" s="5">
        <v>22</v>
      </c>
      <c r="F1178" s="28" t="s">
        <v>24533</v>
      </c>
      <c r="G1178" s="2" t="s">
        <v>22335</v>
      </c>
      <c r="H1178" s="51" t="s">
        <v>24534</v>
      </c>
      <c r="I1178" s="28" t="s">
        <v>24537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24429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24538</v>
      </c>
      <c r="Z1178" s="90" t="s">
        <v>24428</v>
      </c>
    </row>
    <row r="1179" spans="3:26" ht="14.25" customHeight="1" x14ac:dyDescent="0.25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24429</v>
      </c>
      <c r="Q1179" s="24">
        <v>0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24428</v>
      </c>
    </row>
    <row r="1180" spans="3:26" ht="14.25" customHeight="1" x14ac:dyDescent="0.25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24429</v>
      </c>
      <c r="Q1180" s="24" t="s">
        <v>24427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24428</v>
      </c>
    </row>
    <row r="1181" spans="3:26" ht="14.25" customHeight="1" x14ac:dyDescent="0.25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24429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24428</v>
      </c>
    </row>
    <row r="1182" spans="3:26" ht="14.25" customHeight="1" x14ac:dyDescent="0.25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24429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24428</v>
      </c>
    </row>
    <row r="1183" spans="3:26" ht="14.25" customHeight="1" x14ac:dyDescent="0.25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24539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24429</v>
      </c>
      <c r="Q1183" s="24" t="s">
        <v>24427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4" spans="3:26" ht="14.25" customHeight="1" x14ac:dyDescent="0.25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24540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24427</v>
      </c>
      <c r="P1184" s="98" t="s">
        <v>24429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24541</v>
      </c>
      <c r="Z1184" s="90" t="s">
        <v>24428</v>
      </c>
    </row>
    <row r="1185" spans="3:26" ht="14.25" customHeight="1" x14ac:dyDescent="0.25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24542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24427</v>
      </c>
      <c r="P1185" s="98" t="s">
        <v>24429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24541</v>
      </c>
      <c r="Z1185" s="90" t="s">
        <v>24428</v>
      </c>
    </row>
    <row r="1186" spans="3:26" ht="14.25" customHeight="1" x14ac:dyDescent="0.25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24429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T1186" s="5">
        <v>66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24428</v>
      </c>
    </row>
    <row r="1187" spans="3:26" ht="14.25" customHeight="1" x14ac:dyDescent="0.25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24543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24429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T1187" s="5">
        <v>66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24428</v>
      </c>
    </row>
    <row r="1188" spans="3:26" ht="14.25" customHeight="1" x14ac:dyDescent="0.25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24430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24429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T1188" s="5">
        <v>66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24428</v>
      </c>
    </row>
    <row r="1189" spans="3:26" ht="14.25" customHeight="1" x14ac:dyDescent="0.25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24447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24429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T1189" s="5">
        <v>66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24428</v>
      </c>
    </row>
    <row r="1190" spans="3:26" ht="14.25" customHeight="1" x14ac:dyDescent="0.25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24544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24427</v>
      </c>
      <c r="P1190" s="98" t="s">
        <v>24429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24446</v>
      </c>
      <c r="Z1190" s="90" t="s">
        <v>24428</v>
      </c>
    </row>
    <row r="1191" spans="3:26" ht="14.25" customHeight="1" x14ac:dyDescent="0.25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24427</v>
      </c>
      <c r="P1191" s="98" t="s">
        <v>24429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24446</v>
      </c>
      <c r="Z1191" s="90" t="s">
        <v>24428</v>
      </c>
    </row>
    <row r="1192" spans="3:26" ht="14.25" customHeight="1" x14ac:dyDescent="0.25">
      <c r="C1192" s="28" t="s">
        <v>7</v>
      </c>
      <c r="D1192" s="5">
        <v>5715</v>
      </c>
      <c r="E1192" s="5">
        <v>24514</v>
      </c>
      <c r="F1192" s="28" t="s">
        <v>24545</v>
      </c>
      <c r="G1192" s="2" t="s">
        <v>24287</v>
      </c>
      <c r="H1192" s="51">
        <v>2115861524</v>
      </c>
      <c r="I1192" s="28" t="s">
        <v>24546</v>
      </c>
      <c r="J1192" s="91">
        <v>260</v>
      </c>
      <c r="K1192" s="88">
        <v>46294</v>
      </c>
      <c r="L1192" s="9">
        <v>260</v>
      </c>
      <c r="M1192" s="6">
        <v>46310</v>
      </c>
      <c r="N1192" s="6">
        <v>46304</v>
      </c>
      <c r="O1192" s="23">
        <v>-4</v>
      </c>
      <c r="P1192" s="98" t="s">
        <v>24429</v>
      </c>
      <c r="Q1192" s="24">
        <v>0</v>
      </c>
      <c r="R1192" s="24"/>
      <c r="S1192" s="5">
        <v>3450</v>
      </c>
      <c r="T1192" s="5">
        <v>61</v>
      </c>
      <c r="U1192" s="134">
        <v>16</v>
      </c>
      <c r="V1192" s="135">
        <v>4160</v>
      </c>
      <c r="W1192" s="26">
        <f>TAB_OFICINAS[[#This Row],[Data Retorno Produção]]+10</f>
        <v>46314</v>
      </c>
      <c r="X1192" s="17" t="s">
        <v>6251</v>
      </c>
      <c r="Y1192" s="27"/>
      <c r="Z1192" s="90" t="s">
        <v>24428</v>
      </c>
    </row>
    <row r="1193" spans="3:26" ht="14.25" customHeight="1" x14ac:dyDescent="0.25">
      <c r="C1193" s="28" t="s">
        <v>1</v>
      </c>
      <c r="D1193" s="5">
        <v>5715</v>
      </c>
      <c r="E1193" s="5">
        <v>24514</v>
      </c>
      <c r="F1193" s="28" t="s">
        <v>24545</v>
      </c>
      <c r="G1193" s="2" t="s">
        <v>24287</v>
      </c>
      <c r="H1193" s="51">
        <v>2101858692</v>
      </c>
      <c r="I1193" s="28" t="s">
        <v>24547</v>
      </c>
      <c r="J1193" s="91">
        <v>518</v>
      </c>
      <c r="K1193" s="88">
        <v>46297</v>
      </c>
      <c r="L1193" s="9">
        <v>518</v>
      </c>
      <c r="M1193" s="6">
        <v>46310</v>
      </c>
      <c r="N1193" s="6">
        <v>46304</v>
      </c>
      <c r="O1193" s="23">
        <v>-4</v>
      </c>
      <c r="P1193" s="98" t="s">
        <v>24429</v>
      </c>
      <c r="Q1193" s="24">
        <v>0</v>
      </c>
      <c r="R1193" s="24"/>
      <c r="S1193" s="5">
        <v>3462</v>
      </c>
      <c r="T1193" s="5">
        <v>73</v>
      </c>
      <c r="U1193" s="134">
        <v>7.5</v>
      </c>
      <c r="V1193" s="135">
        <v>3885</v>
      </c>
      <c r="W1193" s="26">
        <f>TAB_OFICINAS[[#This Row],[Data Retorno Produção]]+10</f>
        <v>46314</v>
      </c>
      <c r="X1193" s="17" t="s">
        <v>6251</v>
      </c>
      <c r="Y1193" s="27"/>
      <c r="Z1193" s="90" t="s">
        <v>24428</v>
      </c>
    </row>
    <row r="1194" spans="3:26" ht="14.25" customHeight="1" x14ac:dyDescent="0.25">
      <c r="C1194" s="28" t="s">
        <v>15</v>
      </c>
      <c r="E1194" s="5">
        <v>44</v>
      </c>
      <c r="F1194" s="28" t="s">
        <v>24548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24427</v>
      </c>
      <c r="P1194" s="98" t="s">
        <v>24429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24428</v>
      </c>
    </row>
    <row r="1195" spans="3:26" ht="14.25" customHeight="1" x14ac:dyDescent="0.25">
      <c r="C1195" s="28" t="s">
        <v>15</v>
      </c>
      <c r="E1195" s="5">
        <v>44</v>
      </c>
      <c r="F1195" s="28" t="s">
        <v>24548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24427</v>
      </c>
      <c r="P1195" s="98" t="s">
        <v>24429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T1195" s="5">
        <v>17660</v>
      </c>
      <c r="U1195" s="134">
        <v>3.85</v>
      </c>
      <c r="V1195" s="135">
        <v>585.20000000000005</v>
      </c>
      <c r="W1195" s="26">
        <v>46321</v>
      </c>
      <c r="X1195" s="17" t="s">
        <v>6251</v>
      </c>
      <c r="Y1195" s="27" t="s">
        <v>21378</v>
      </c>
      <c r="Z1195" s="90" t="s">
        <v>24428</v>
      </c>
    </row>
    <row r="1196" spans="3:26" ht="14.25" customHeight="1" x14ac:dyDescent="0.25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24549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24427</v>
      </c>
      <c r="P1196" s="98" t="s">
        <v>24429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24465</v>
      </c>
      <c r="Z1196" s="90" t="s">
        <v>24428</v>
      </c>
    </row>
    <row r="1197" spans="3:26" ht="28.5" customHeight="1" x14ac:dyDescent="0.25">
      <c r="C1197" s="28" t="s">
        <v>15</v>
      </c>
      <c r="D1197" s="5">
        <v>5796</v>
      </c>
      <c r="E1197" s="5">
        <v>24472</v>
      </c>
      <c r="F1197" s="28" t="s">
        <v>24526</v>
      </c>
      <c r="G1197" s="2" t="s">
        <v>24526</v>
      </c>
      <c r="H1197" s="51">
        <v>2161221352</v>
      </c>
      <c r="I1197" s="28" t="s">
        <v>24520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24427</v>
      </c>
      <c r="P1197" s="98" t="s">
        <v>24429</v>
      </c>
      <c r="Q1197" s="24">
        <f>IFERROR(TAB_OFICINAS[[#This Row],[Qtd pçs Enviadas]]-TAB_OFICINAS[[#This Row],[Qtd pçs Retornadas ]],"N/D ")</f>
        <v>0</v>
      </c>
      <c r="R1197" s="24"/>
      <c r="U1197" s="11" t="s">
        <v>24550</v>
      </c>
      <c r="V1197" s="25" t="s">
        <v>24550</v>
      </c>
      <c r="W1197" s="26"/>
      <c r="X1197" s="17" t="s">
        <v>6251</v>
      </c>
      <c r="Y1197" s="27" t="s">
        <v>24551</v>
      </c>
      <c r="Z1197" s="90" t="s">
        <v>24428</v>
      </c>
    </row>
    <row r="1198" spans="3:26" ht="28.5" customHeight="1" x14ac:dyDescent="0.25">
      <c r="C1198" s="28" t="s">
        <v>15</v>
      </c>
      <c r="D1198" s="5">
        <v>5796</v>
      </c>
      <c r="E1198" s="5">
        <v>24472</v>
      </c>
      <c r="F1198" s="28" t="s">
        <v>24526</v>
      </c>
      <c r="G1198" s="2" t="s">
        <v>24526</v>
      </c>
      <c r="H1198" s="51">
        <v>2161221506</v>
      </c>
      <c r="I1198" s="28" t="s">
        <v>24518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24427</v>
      </c>
      <c r="P1198" s="98" t="s">
        <v>24429</v>
      </c>
      <c r="Q1198" s="24">
        <f>IFERROR(TAB_OFICINAS[[#This Row],[Qtd pçs Enviadas]]-TAB_OFICINAS[[#This Row],[Qtd pçs Retornadas ]],"N/D ")</f>
        <v>0</v>
      </c>
      <c r="R1198" s="24"/>
      <c r="U1198" s="11" t="s">
        <v>24550</v>
      </c>
      <c r="V1198" s="25" t="s">
        <v>24550</v>
      </c>
      <c r="W1198" s="26"/>
      <c r="X1198" s="17" t="s">
        <v>6251</v>
      </c>
      <c r="Y1198" s="27" t="s">
        <v>24551</v>
      </c>
      <c r="Z1198" s="90" t="s">
        <v>24428</v>
      </c>
    </row>
    <row r="1199" spans="3:26" ht="28.5" customHeight="1" x14ac:dyDescent="0.25">
      <c r="C1199" s="28" t="s">
        <v>15</v>
      </c>
      <c r="D1199" s="5">
        <v>5796</v>
      </c>
      <c r="E1199" s="5">
        <v>24472</v>
      </c>
      <c r="F1199" s="28" t="s">
        <v>24526</v>
      </c>
      <c r="G1199" s="2" t="s">
        <v>24526</v>
      </c>
      <c r="H1199" s="51">
        <v>2161221507</v>
      </c>
      <c r="I1199" s="28" t="s">
        <v>24527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24427</v>
      </c>
      <c r="P1199" s="98" t="s">
        <v>24429</v>
      </c>
      <c r="Q1199" s="24">
        <f>IFERROR(TAB_OFICINAS[[#This Row],[Qtd pçs Enviadas]]-TAB_OFICINAS[[#This Row],[Qtd pçs Retornadas ]],"N/D ")</f>
        <v>0</v>
      </c>
      <c r="R1199" s="24"/>
      <c r="U1199" s="11" t="s">
        <v>24550</v>
      </c>
      <c r="V1199" s="25" t="s">
        <v>24550</v>
      </c>
      <c r="W1199" s="26"/>
      <c r="X1199" s="17" t="s">
        <v>6251</v>
      </c>
      <c r="Y1199" s="27" t="s">
        <v>24551</v>
      </c>
      <c r="Z1199" s="90" t="s">
        <v>24428</v>
      </c>
    </row>
    <row r="1200" spans="3:26" ht="14.25" customHeight="1" x14ac:dyDescent="0.25">
      <c r="C1200" s="28" t="s">
        <v>20</v>
      </c>
      <c r="D1200" s="5">
        <v>5715</v>
      </c>
      <c r="E1200" s="5">
        <v>24514</v>
      </c>
      <c r="F1200" s="28" t="s">
        <v>24545</v>
      </c>
      <c r="G1200" s="2" t="s">
        <v>24287</v>
      </c>
      <c r="H1200" s="51">
        <v>2101011527</v>
      </c>
      <c r="I1200" s="28" t="s">
        <v>24552</v>
      </c>
      <c r="J1200" s="91">
        <v>266</v>
      </c>
      <c r="K1200" s="88">
        <v>46300</v>
      </c>
      <c r="L1200" s="9">
        <v>266</v>
      </c>
      <c r="M1200" s="6">
        <v>46310</v>
      </c>
      <c r="N1200" s="6">
        <v>46303</v>
      </c>
      <c r="O1200" s="23">
        <v>-7</v>
      </c>
      <c r="P1200" s="98" t="s">
        <v>24429</v>
      </c>
      <c r="Q1200" s="24">
        <v>0</v>
      </c>
      <c r="R1200" s="24"/>
      <c r="S1200" s="5">
        <v>3467</v>
      </c>
      <c r="T1200" s="5">
        <v>101</v>
      </c>
      <c r="U1200" s="11">
        <v>5</v>
      </c>
      <c r="V1200" s="135">
        <v>1330</v>
      </c>
      <c r="W1200" s="26">
        <v>46321</v>
      </c>
      <c r="X1200" s="17" t="s">
        <v>6251</v>
      </c>
      <c r="Y1200" s="27"/>
      <c r="Z12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1" spans="3:26" ht="14.25" customHeight="1" x14ac:dyDescent="0.25">
      <c r="C1201" s="28" t="s">
        <v>15</v>
      </c>
      <c r="D1201" s="5">
        <v>5798</v>
      </c>
      <c r="E1201" s="5">
        <v>24456</v>
      </c>
      <c r="F1201" s="28" t="s">
        <v>24553</v>
      </c>
      <c r="G1201" s="2" t="s">
        <v>24554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24426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T1201" s="5">
        <v>17661</v>
      </c>
      <c r="U1201" s="134">
        <v>6</v>
      </c>
      <c r="V1201" s="135">
        <v>12</v>
      </c>
      <c r="W1201" s="26">
        <v>46321</v>
      </c>
      <c r="X1201" s="17" t="s">
        <v>6251</v>
      </c>
      <c r="Y1201" s="27" t="s">
        <v>24555</v>
      </c>
      <c r="Z1201" s="90" t="s">
        <v>24428</v>
      </c>
    </row>
    <row r="1202" spans="3:26" ht="14.25" customHeight="1" x14ac:dyDescent="0.25">
      <c r="C1202" s="28" t="s">
        <v>15</v>
      </c>
      <c r="D1202" s="5">
        <v>5798</v>
      </c>
      <c r="E1202" s="5">
        <v>24456</v>
      </c>
      <c r="F1202" s="28" t="s">
        <v>24553</v>
      </c>
      <c r="G1202" s="2" t="s">
        <v>24554</v>
      </c>
      <c r="H1202" s="51">
        <v>3301091213</v>
      </c>
      <c r="I1202" s="28" t="s">
        <v>24430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24426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T1202" s="5">
        <v>17661</v>
      </c>
      <c r="U1202" s="134">
        <v>6</v>
      </c>
      <c r="V1202" s="135">
        <v>24</v>
      </c>
      <c r="W1202" s="26">
        <v>46321</v>
      </c>
      <c r="X1202" s="17" t="s">
        <v>6251</v>
      </c>
      <c r="Y1202" s="27" t="s">
        <v>24555</v>
      </c>
      <c r="Z1202" s="90" t="s">
        <v>24428</v>
      </c>
    </row>
    <row r="1203" spans="3:26" ht="14.25" customHeight="1" x14ac:dyDescent="0.25">
      <c r="C1203" s="28" t="s">
        <v>15</v>
      </c>
      <c r="D1203" s="5">
        <v>5798</v>
      </c>
      <c r="E1203" s="5">
        <v>24456</v>
      </c>
      <c r="F1203" s="28" t="s">
        <v>24553</v>
      </c>
      <c r="G1203" s="2" t="s">
        <v>24554</v>
      </c>
      <c r="H1203" s="51">
        <v>3301091211</v>
      </c>
      <c r="I1203" s="28" t="s">
        <v>24447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24426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T1203" s="5">
        <v>17661</v>
      </c>
      <c r="U1203" s="134">
        <v>6</v>
      </c>
      <c r="V1203" s="135">
        <v>12</v>
      </c>
      <c r="W1203" s="26">
        <v>46321</v>
      </c>
      <c r="X1203" s="17" t="s">
        <v>6251</v>
      </c>
      <c r="Y1203" s="27" t="s">
        <v>24555</v>
      </c>
      <c r="Z1203" s="90" t="s">
        <v>24428</v>
      </c>
    </row>
    <row r="1204" spans="3:26" ht="14.25" customHeight="1" x14ac:dyDescent="0.25">
      <c r="C1204" s="28" t="s">
        <v>15</v>
      </c>
      <c r="D1204" s="5">
        <v>5825</v>
      </c>
      <c r="E1204" s="5">
        <v>24540</v>
      </c>
      <c r="F1204" s="28" t="s">
        <v>24556</v>
      </c>
      <c r="G1204" s="2" t="s">
        <v>24557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24426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T1204" s="5">
        <v>17661</v>
      </c>
      <c r="U1204" s="134">
        <v>3.2</v>
      </c>
      <c r="V1204" s="135">
        <v>195.2</v>
      </c>
      <c r="W1204" s="26">
        <v>46321</v>
      </c>
      <c r="X1204" s="17" t="s">
        <v>6251</v>
      </c>
      <c r="Y1204" s="27" t="s">
        <v>24558</v>
      </c>
      <c r="Z1204" s="90" t="s">
        <v>24428</v>
      </c>
    </row>
    <row r="1205" spans="3:26" ht="14.25" customHeight="1" x14ac:dyDescent="0.25">
      <c r="C1205" s="28" t="s">
        <v>15</v>
      </c>
      <c r="D1205" s="5">
        <v>4422</v>
      </c>
      <c r="E1205" s="5">
        <v>24319</v>
      </c>
      <c r="F1205" s="28" t="s">
        <v>24510</v>
      </c>
      <c r="G1205" s="2" t="s">
        <v>6139</v>
      </c>
      <c r="H1205" s="51">
        <v>92111016797</v>
      </c>
      <c r="I1205" s="28" t="s">
        <v>24511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24429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24559</v>
      </c>
      <c r="Z1205" s="90" t="s">
        <v>24428</v>
      </c>
    </row>
    <row r="1206" spans="3:26" ht="57" customHeight="1" x14ac:dyDescent="0.25">
      <c r="C1206" s="28" t="s">
        <v>15</v>
      </c>
      <c r="E1206" s="5">
        <v>44</v>
      </c>
      <c r="F1206" s="28" t="s">
        <v>24548</v>
      </c>
      <c r="G1206" s="2" t="s">
        <v>24548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v>46303</v>
      </c>
      <c r="O1206" s="23">
        <f>TAB_OFICINAS[[#This Row],[Data Retorno Produção]]-TAB_OFICINAS[[#This Row],[Data Prometida  Entrega]]</f>
        <v>0</v>
      </c>
      <c r="P1206" s="98" t="str">
        <f>IF(TAB_OFICINAS[[#This Row],[Dias Para Entrega]]&lt;=0,"Em dia","Dia de Atrasado")</f>
        <v>Em dia</v>
      </c>
      <c r="Q1206" s="24">
        <f>IFERROR(TAB_OFICINAS[[#This Row],[Qtd pçs Enviadas]]-TAB_OFICINAS[[#This Row],[Qtd pçs Retornadas ]],"N/D ")</f>
        <v>0</v>
      </c>
      <c r="R1206" s="24">
        <v>3</v>
      </c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25294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57" customHeight="1" x14ac:dyDescent="0.25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T1207" s="5">
        <v>17662</v>
      </c>
      <c r="U1207" s="11">
        <v>24</v>
      </c>
      <c r="V1207" s="25">
        <f>IFERROR(TAB_OFICINAS[[#This Row],[Valor Unit]]*TAB_OFICINAS[[#This Row],[Qtd pçs Enviadas]]," ")</f>
        <v>24</v>
      </c>
      <c r="W1207" s="26">
        <v>46321</v>
      </c>
      <c r="X1207" s="17" t="s">
        <v>6251</v>
      </c>
      <c r="Y1207" s="27" t="s">
        <v>25285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 ht="14.25" customHeight="1" x14ac:dyDescent="0.25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L1208" s="9">
        <v>1</v>
      </c>
      <c r="M1208" s="6">
        <v>46308</v>
      </c>
      <c r="N1208" s="6">
        <v>46308</v>
      </c>
      <c r="O1208" s="23">
        <f>TAB_OFICINAS[[#This Row],[Data Retorno Produção]]-TAB_OFICINAS[[#This Row],[Data Prometida  Entrega]]</f>
        <v>0</v>
      </c>
      <c r="P1208" s="98" t="str">
        <f>IF(TAB_OFICINAS[[#This Row],[Dias Para Entrega]]&lt;=0,"Em dia","Dia de Atrasado")</f>
        <v>Em dia</v>
      </c>
      <c r="Q1208" s="24">
        <f>IFERROR(TAB_OFICINAS[[#This Row],[Qtd pçs Enviadas]]-TAB_OFICINAS[[#This Row],[Qtd pçs Retornadas ]],"N/D ")</f>
        <v>0</v>
      </c>
      <c r="R1208" s="24"/>
      <c r="S1208" s="5">
        <v>3482</v>
      </c>
      <c r="T1208" s="5">
        <v>17662</v>
      </c>
      <c r="U1208" s="11">
        <v>12</v>
      </c>
      <c r="V1208" s="25">
        <f>IFERROR(TAB_OFICINAS[[#This Row],[Valor Unit]]*TAB_OFICINAS[[#This Row],[Qtd pçs Enviadas]]," ")</f>
        <v>12</v>
      </c>
      <c r="W1208" s="26">
        <v>46321</v>
      </c>
      <c r="X1208" s="17" t="s">
        <v>6251</v>
      </c>
      <c r="Y1208" s="27" t="s">
        <v>25287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3:26" ht="14.25" customHeight="1" x14ac:dyDescent="0.25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L1209" s="9">
        <v>5</v>
      </c>
      <c r="M1209" s="6">
        <v>46309</v>
      </c>
      <c r="N1209" s="6">
        <v>46311</v>
      </c>
      <c r="O1209" s="23">
        <f>TAB_OFICINAS[[#This Row],[Data Retorno Produção]]-TAB_OFICINAS[[#This Row],[Data Prometida  Entrega]]</f>
        <v>2</v>
      </c>
      <c r="P1209" s="98" t="str">
        <f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S1209" s="5">
        <v>3482</v>
      </c>
      <c r="T1209" s="5">
        <v>17662</v>
      </c>
      <c r="U1209" s="11">
        <v>4</v>
      </c>
      <c r="V1209" s="25">
        <f>IFERROR(TAB_OFICINAS[[#This Row],[Valor Unit]]*TAB_OFICINAS[[#This Row],[Qtd pçs Enviadas]]," ")</f>
        <v>20</v>
      </c>
      <c r="W1209" s="26">
        <v>46321</v>
      </c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3:26" ht="14.25" customHeight="1" x14ac:dyDescent="0.25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L1210" s="9">
        <v>5</v>
      </c>
      <c r="M1210" s="6">
        <v>46309</v>
      </c>
      <c r="N1210" s="6">
        <v>46311</v>
      </c>
      <c r="O1210" s="23">
        <f>TAB_OFICINAS[[#This Row],[Data Retorno Produção]]-TAB_OFICINAS[[#This Row],[Data Prometida  Entrega]]</f>
        <v>2</v>
      </c>
      <c r="P1210" s="98" t="str">
        <f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S1210" s="5">
        <v>3482</v>
      </c>
      <c r="T1210" s="5">
        <v>17662</v>
      </c>
      <c r="U1210" s="11">
        <v>4</v>
      </c>
      <c r="V1210" s="25">
        <f>IFERROR(TAB_OFICINAS[[#This Row],[Valor Unit]]*TAB_OFICINAS[[#This Row],[Qtd pçs Enviadas]]," ")</f>
        <v>20</v>
      </c>
      <c r="W1210" s="26">
        <v>46321</v>
      </c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3:26" ht="14.25" customHeight="1" x14ac:dyDescent="0.25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L1211" s="9">
        <v>5</v>
      </c>
      <c r="M1211" s="6">
        <v>46309</v>
      </c>
      <c r="N1211" s="6">
        <v>46311</v>
      </c>
      <c r="O1211" s="23">
        <f>TAB_OFICINAS[[#This Row],[Data Retorno Produção]]-TAB_OFICINAS[[#This Row],[Data Prometida  Entrega]]</f>
        <v>2</v>
      </c>
      <c r="P1211" s="98" t="str">
        <f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S1211" s="5">
        <v>3482</v>
      </c>
      <c r="T1211" s="5">
        <v>17662</v>
      </c>
      <c r="U1211" s="11">
        <v>4</v>
      </c>
      <c r="V1211" s="25">
        <f>IFERROR(TAB_OFICINAS[[#This Row],[Valor Unit]]*TAB_OFICINAS[[#This Row],[Qtd pçs Enviadas]]," ")</f>
        <v>20</v>
      </c>
      <c r="W1211" s="26">
        <v>46321</v>
      </c>
      <c r="X1211" s="17" t="s">
        <v>6251</v>
      </c>
      <c r="Y1211" s="27" t="s">
        <v>25288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3:26" ht="14.25" customHeight="1" x14ac:dyDescent="0.25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L1212" s="9">
        <v>5</v>
      </c>
      <c r="M1212" s="6">
        <v>46309</v>
      </c>
      <c r="N1212" s="6">
        <v>46311</v>
      </c>
      <c r="O1212" s="23">
        <f>TAB_OFICINAS[[#This Row],[Data Retorno Produção]]-TAB_OFICINAS[[#This Row],[Data Prometida  Entrega]]</f>
        <v>2</v>
      </c>
      <c r="P1212" s="98" t="str">
        <f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S1212" s="5">
        <v>3482</v>
      </c>
      <c r="T1212" s="5">
        <v>17662</v>
      </c>
      <c r="U1212" s="11">
        <v>4</v>
      </c>
      <c r="V1212" s="25">
        <f>IFERROR(TAB_OFICINAS[[#This Row],[Valor Unit]]*TAB_OFICINAS[[#This Row],[Qtd pçs Enviadas]]," ")</f>
        <v>20</v>
      </c>
      <c r="W1212" s="26">
        <v>46321</v>
      </c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3:26" ht="57" customHeight="1" x14ac:dyDescent="0.25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24534</v>
      </c>
      <c r="I1213" s="28" t="s">
        <v>25289</v>
      </c>
      <c r="J1213" s="91">
        <v>1</v>
      </c>
      <c r="K1213" s="88">
        <v>46303</v>
      </c>
      <c r="L1213" s="9">
        <v>1</v>
      </c>
      <c r="M1213" s="6">
        <v>46308</v>
      </c>
      <c r="N1213" s="6">
        <v>46308</v>
      </c>
      <c r="O1213" s="23">
        <f>TAB_OFICINAS[[#This Row],[Data Retorno Produção]]-TAB_OFICINAS[[#This Row],[Data Prometida  Entrega]]</f>
        <v>0</v>
      </c>
      <c r="P1213" s="98" t="str">
        <f>IF(TAB_OFICINAS[[#This Row],[Dias Para Entrega]]&lt;=0,"Em dia","Dia de Atrasado")</f>
        <v>Em dia</v>
      </c>
      <c r="Q1213" s="24">
        <f>IFERROR(TAB_OFICINAS[[#This Row],[Qtd pçs Enviadas]]-TAB_OFICINAS[[#This Row],[Qtd pçs Retornadas ]],"N/D ")</f>
        <v>0</v>
      </c>
      <c r="R1213" s="24">
        <v>1</v>
      </c>
      <c r="S1213" s="5">
        <v>3484</v>
      </c>
      <c r="T1213" s="5">
        <v>17664</v>
      </c>
      <c r="U1213" s="11">
        <v>12</v>
      </c>
      <c r="V1213" s="25">
        <f>IFERROR(TAB_OFICINAS[[#This Row],[Valor Unit]]*TAB_OFICINAS[[#This Row],[Qtd pçs Enviadas]]," ")</f>
        <v>12</v>
      </c>
      <c r="W1213" s="26">
        <v>46321</v>
      </c>
      <c r="X1213" s="17" t="s">
        <v>6251</v>
      </c>
      <c r="Y1213" s="27" t="s">
        <v>25329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 ht="14.25" customHeight="1" x14ac:dyDescent="0.25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24534</v>
      </c>
      <c r="I1214" s="28" t="s">
        <v>25290</v>
      </c>
      <c r="J1214" s="91">
        <v>1</v>
      </c>
      <c r="K1214" s="88">
        <v>46303</v>
      </c>
      <c r="L1214" s="9">
        <v>1</v>
      </c>
      <c r="M1214" s="6">
        <v>46308</v>
      </c>
      <c r="N1214" s="6">
        <v>46308</v>
      </c>
      <c r="O1214" s="23">
        <f>TAB_OFICINAS[[#This Row],[Data Retorno Produção]]-TAB_OFICINAS[[#This Row],[Data Prometida  Entrega]]</f>
        <v>0</v>
      </c>
      <c r="P1214" s="98" t="str">
        <f>IF(TAB_OFICINAS[[#This Row],[Dias Para Entrega]]&lt;=0,"Em dia","Dia de Atrasado")</f>
        <v>Em dia</v>
      </c>
      <c r="Q1214" s="24">
        <f>IFERROR(TAB_OFICINAS[[#This Row],[Qtd pçs Enviadas]]-TAB_OFICINAS[[#This Row],[Qtd pçs Retornadas ]],"N/D ")</f>
        <v>0</v>
      </c>
      <c r="R1214" s="24"/>
      <c r="S1214" s="5">
        <v>3484</v>
      </c>
      <c r="T1214" s="5">
        <v>17664</v>
      </c>
      <c r="U1214" s="11">
        <v>12</v>
      </c>
      <c r="V1214" s="25">
        <f>IFERROR(TAB_OFICINAS[[#This Row],[Valor Unit]]*TAB_OFICINAS[[#This Row],[Qtd pçs Enviadas]]," ")</f>
        <v>12</v>
      </c>
      <c r="W1214" s="26">
        <v>46321</v>
      </c>
      <c r="X1214" s="17" t="s">
        <v>6251</v>
      </c>
      <c r="Y1214" s="27" t="s">
        <v>25291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 ht="28.5" customHeight="1" x14ac:dyDescent="0.25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L1215" s="9">
        <v>361</v>
      </c>
      <c r="M1215" s="6">
        <v>46311</v>
      </c>
      <c r="N1215" s="6">
        <v>46310</v>
      </c>
      <c r="O1215" s="23">
        <f>TAB_OFICINAS[[#This Row],[Data Retorno Produção]]-TAB_OFICINAS[[#This Row],[Data Prometida  Entrega]]</f>
        <v>-1</v>
      </c>
      <c r="P1215" s="98" t="str">
        <f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0</v>
      </c>
      <c r="R1215" s="24">
        <v>7</v>
      </c>
      <c r="S1215" s="5">
        <v>3476</v>
      </c>
      <c r="T1215" s="5">
        <v>69</v>
      </c>
      <c r="U1215" s="11">
        <v>4</v>
      </c>
      <c r="V1215" s="25">
        <f>IFERROR(TAB_OFICINAS[[#This Row],[Valor Unit]]*TAB_OFICINAS[[#This Row],[Qtd pçs Enviadas]]," ")</f>
        <v>1444</v>
      </c>
      <c r="W1215" s="26">
        <v>46321</v>
      </c>
      <c r="X1215" s="17" t="s">
        <v>6251</v>
      </c>
      <c r="Y1215" s="27" t="s">
        <v>25309</v>
      </c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3:26" ht="28.5" customHeight="1" x14ac:dyDescent="0.25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L1216" s="9">
        <v>600</v>
      </c>
      <c r="M1216" s="6">
        <v>46310</v>
      </c>
      <c r="N1216" s="6">
        <v>46308</v>
      </c>
      <c r="O1216" s="23">
        <f>TAB_OFICINAS[[#This Row],[Data Retorno Produção]]-TAB_OFICINAS[[#This Row],[Data Prometida  Entrega]]</f>
        <v>-2</v>
      </c>
      <c r="P1216" s="98" t="str">
        <f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0</v>
      </c>
      <c r="R1216" s="24"/>
      <c r="S1216" s="5">
        <v>24514</v>
      </c>
      <c r="T1216" s="5" t="s">
        <v>25307</v>
      </c>
      <c r="U1216" s="11">
        <v>4</v>
      </c>
      <c r="V1216" s="25">
        <f>IFERROR(TAB_OFICINAS[[#This Row],[Valor Unit]]*TAB_OFICINAS[[#This Row],[Qtd pçs Enviadas]]," ")</f>
        <v>2400</v>
      </c>
      <c r="W1216" s="26">
        <v>46318</v>
      </c>
      <c r="X1216" s="17" t="s">
        <v>6251</v>
      </c>
      <c r="Y1216" s="27" t="s">
        <v>25308</v>
      </c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3:26" ht="14.25" customHeight="1" x14ac:dyDescent="0.25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25170</v>
      </c>
      <c r="J1217" s="91">
        <v>103</v>
      </c>
      <c r="K1217" s="88">
        <v>46308</v>
      </c>
      <c r="L1217" s="9">
        <v>103</v>
      </c>
      <c r="M1217" s="6">
        <v>46314</v>
      </c>
      <c r="N1217" s="6">
        <v>46315</v>
      </c>
      <c r="O1217" s="23">
        <f>TAB_OFICINAS[[#This Row],[Data Retorno Produção]]-TAB_OFICINAS[[#This Row],[Data Prometida  Entrega]]</f>
        <v>1</v>
      </c>
      <c r="P1217" s="98" t="str">
        <f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S1217" s="5">
        <v>3489</v>
      </c>
      <c r="T1217" s="5">
        <v>17664</v>
      </c>
      <c r="U1217" s="11">
        <v>3.2</v>
      </c>
      <c r="V1217" s="25">
        <f>IFERROR(TAB_OFICINAS[[#This Row],[Valor Unit]]*TAB_OFICINAS[[#This Row],[Qtd pçs Enviadas]]," ")</f>
        <v>329.6</v>
      </c>
      <c r="W1217" s="26">
        <v>46321</v>
      </c>
      <c r="X1217" s="17" t="s">
        <v>6251</v>
      </c>
      <c r="Y1217" s="27" t="s">
        <v>24465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3:26" ht="14.25" customHeight="1" x14ac:dyDescent="0.25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25292</v>
      </c>
      <c r="J1218" s="91">
        <v>103</v>
      </c>
      <c r="K1218" s="88">
        <v>46308</v>
      </c>
      <c r="L1218" s="9">
        <v>103</v>
      </c>
      <c r="M1218" s="6">
        <v>46314</v>
      </c>
      <c r="N1218" s="6">
        <v>46315</v>
      </c>
      <c r="O1218" s="23">
        <f>TAB_OFICINAS[[#This Row],[Data Retorno Produção]]-TAB_OFICINAS[[#This Row],[Data Prometida  Entrega]]</f>
        <v>1</v>
      </c>
      <c r="P1218" s="98" t="str">
        <f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S1218" s="5">
        <v>3489</v>
      </c>
      <c r="T1218" s="5">
        <v>17664</v>
      </c>
      <c r="U1218" s="11">
        <v>3.2</v>
      </c>
      <c r="V1218" s="25">
        <f>IFERROR(TAB_OFICINAS[[#This Row],[Valor Unit]]*TAB_OFICINAS[[#This Row],[Qtd pçs Enviadas]]," ")</f>
        <v>329.6</v>
      </c>
      <c r="W1218" s="26">
        <v>46321</v>
      </c>
      <c r="X1218" s="17" t="s">
        <v>6251</v>
      </c>
      <c r="Y1218" s="27" t="s">
        <v>24465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3:26" ht="14.25" customHeight="1" x14ac:dyDescent="0.25">
      <c r="C1219" s="28" t="s">
        <v>15</v>
      </c>
      <c r="D1219" s="5">
        <v>2533</v>
      </c>
      <c r="E1219" s="5">
        <v>525</v>
      </c>
      <c r="F1219" s="28" t="str">
        <f>IFERROR(VLOOKUP(TAB_OFICINAS[[#This Row],[Cliente]],LISTA_DE_CLIENTES[[Código]:[Nome Fantasia]],2,FALSE),"")</f>
        <v>WESTWING COMERCIO VAREJISTA S.A.</v>
      </c>
      <c r="G1219" s="2" t="str">
        <f>IFERROR(VLOOKUP(TAB_OFICINAS[[#This Row],[Cliente]],LISTA_DE_CLIENTES[[Código]:[Nome Fantasia]],3,FALSE),"")</f>
        <v>WESTWING - CORRETO</v>
      </c>
      <c r="H1219" s="51" t="s">
        <v>25295</v>
      </c>
      <c r="I1219" s="28" t="s">
        <v>25296</v>
      </c>
      <c r="J1219" s="91">
        <v>1</v>
      </c>
      <c r="K1219" s="88">
        <v>46308</v>
      </c>
      <c r="L1219" s="9">
        <v>1</v>
      </c>
      <c r="M1219" s="6">
        <v>46309</v>
      </c>
      <c r="N1219" s="6">
        <v>46308</v>
      </c>
      <c r="O1219" s="23">
        <f>TAB_OFICINAS[[#This Row],[Data Retorno Produção]]-TAB_OFICINAS[[#This Row],[Data Prometida  Entrega]]</f>
        <v>-1</v>
      </c>
      <c r="P1219" s="98" t="str">
        <f>IF(TAB_OFICINAS[[#This Row],[Dias Para Entrega]]&lt;=0,"Em dia","Dia de Atrasado")</f>
        <v>Em dia</v>
      </c>
      <c r="Q1219" s="24">
        <f>IFERROR(TAB_OFICINAS[[#This Row],[Qtd pçs Enviadas]]-TAB_OFICINAS[[#This Row],[Qtd pçs Retornadas ]],"N/D ")</f>
        <v>0</v>
      </c>
      <c r="R1219" s="24"/>
      <c r="S1219" s="5">
        <v>3492</v>
      </c>
      <c r="T1219" s="5">
        <v>17664</v>
      </c>
      <c r="U1219" s="11">
        <v>12</v>
      </c>
      <c r="V1219" s="25">
        <f>IFERROR(TAB_OFICINAS[[#This Row],[Valor Unit]]*TAB_OFICINAS[[#This Row],[Qtd pçs Enviadas]]," ")</f>
        <v>12</v>
      </c>
      <c r="W1219" s="26">
        <v>46321</v>
      </c>
      <c r="X1219" s="17" t="s">
        <v>6251</v>
      </c>
      <c r="Y1219" s="27" t="s">
        <v>25299</v>
      </c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3:26" ht="28.5" customHeight="1" x14ac:dyDescent="0.25">
      <c r="C1220" s="28" t="s">
        <v>15</v>
      </c>
      <c r="D1220" s="5">
        <v>2533</v>
      </c>
      <c r="E1220" s="5">
        <v>525</v>
      </c>
      <c r="F1220" s="28" t="str">
        <f>IFERROR(VLOOKUP(TAB_OFICINAS[[#This Row],[Cliente]],LISTA_DE_CLIENTES[[Código]:[Nome Fantasia]],2,FALSE),"")</f>
        <v>WESTWING COMERCIO VAREJISTA S.A.</v>
      </c>
      <c r="G1220" s="2" t="str">
        <f>IFERROR(VLOOKUP(TAB_OFICINAS[[#This Row],[Cliente]],LISTA_DE_CLIENTES[[Código]:[Nome Fantasia]],3,FALSE),"")</f>
        <v>WESTWING - CORRETO</v>
      </c>
      <c r="H1220" s="51" t="s">
        <v>24534</v>
      </c>
      <c r="I1220" s="28" t="s">
        <v>25297</v>
      </c>
      <c r="J1220" s="91">
        <v>1</v>
      </c>
      <c r="K1220" s="88">
        <v>46309</v>
      </c>
      <c r="L1220" s="9">
        <v>1</v>
      </c>
      <c r="M1220" s="6">
        <v>46309</v>
      </c>
      <c r="N1220" s="6">
        <v>46309</v>
      </c>
      <c r="O1220" s="23">
        <f>TAB_OFICINAS[[#This Row],[Data Retorno Produção]]-TAB_OFICINAS[[#This Row],[Data Prometida  Entrega]]</f>
        <v>0</v>
      </c>
      <c r="P1220" s="98" t="str">
        <f>IF(TAB_OFICINAS[[#This Row],[Dias Para Entrega]]&lt;=0,"Em dia","Dia de Atrasado")</f>
        <v>Em dia</v>
      </c>
      <c r="Q1220" s="24">
        <f>IFERROR(TAB_OFICINAS[[#This Row],[Qtd pçs Enviadas]]-TAB_OFICINAS[[#This Row],[Qtd pçs Retornadas ]],"N/D ")</f>
        <v>0</v>
      </c>
      <c r="R1220" s="24"/>
      <c r="S1220" s="5" t="s">
        <v>25298</v>
      </c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 t="s">
        <v>25300</v>
      </c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3:26" ht="14.25" customHeight="1" x14ac:dyDescent="0.25">
      <c r="C1221" s="28" t="s">
        <v>15</v>
      </c>
      <c r="D1221" s="5">
        <v>964</v>
      </c>
      <c r="E1221" s="5">
        <v>24592</v>
      </c>
      <c r="F1221" s="28" t="str">
        <f>IFERROR(VLOOKUP(TAB_OFICINAS[[#This Row],[Cliente]],LISTA_DE_CLIENTES[[Código]:[Nome Fantasia]],2,FALSE),"")</f>
        <v>TRU COMMERCE IMP. EXP. E COM. DE ROUPA EIRELI</v>
      </c>
      <c r="G1221" s="2" t="str">
        <f>IFERROR(VLOOKUP(TAB_OFICINAS[[#This Row],[Cliente]],LISTA_DE_CLIENTES[[Código]:[Nome Fantasia]],3,FALSE),"")</f>
        <v>TRU COMMERCE</v>
      </c>
      <c r="H1221" s="51">
        <v>3161091377</v>
      </c>
      <c r="I1221" s="28" t="s">
        <v>25301</v>
      </c>
      <c r="J1221" s="91">
        <v>1</v>
      </c>
      <c r="K1221" s="88">
        <v>46308</v>
      </c>
      <c r="L1221" s="9">
        <v>1</v>
      </c>
      <c r="M1221" s="6">
        <v>46309</v>
      </c>
      <c r="N1221" s="6">
        <v>46309</v>
      </c>
      <c r="O1221" s="23">
        <f>TAB_OFICINAS[[#This Row],[Data Retorno Produção]]-TAB_OFICINAS[[#This Row],[Data Prometida  Entrega]]</f>
        <v>0</v>
      </c>
      <c r="P1221" s="98" t="str">
        <f>IF(TAB_OFICINAS[[#This Row],[Dias Para Entrega]]&lt;=0,"Em dia","Dia de Atrasado")</f>
        <v>Em dia</v>
      </c>
      <c r="Q1221" s="24">
        <f>IFERROR(TAB_OFICINAS[[#This Row],[Qtd pçs Enviadas]]-TAB_OFICINAS[[#This Row],[Qtd pçs Retornadas ]],"N/D ")</f>
        <v>0</v>
      </c>
      <c r="R1221" s="24"/>
      <c r="S1221" s="5">
        <v>3492</v>
      </c>
      <c r="T1221" s="5">
        <v>17664</v>
      </c>
      <c r="U1221" s="11">
        <v>12</v>
      </c>
      <c r="V1221" s="25">
        <f>IFERROR(TAB_OFICINAS[[#This Row],[Valor Unit]]*TAB_OFICINAS[[#This Row],[Qtd pçs Enviadas]]," ")</f>
        <v>12</v>
      </c>
      <c r="W1221" s="26">
        <v>46321</v>
      </c>
      <c r="X1221" s="17" t="s">
        <v>6251</v>
      </c>
      <c r="Y1221" s="27" t="s">
        <v>25304</v>
      </c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3:26" ht="14.25" customHeight="1" x14ac:dyDescent="0.25">
      <c r="C1222" s="28" t="s">
        <v>15</v>
      </c>
      <c r="D1222" s="5">
        <v>964</v>
      </c>
      <c r="E1222" s="5">
        <v>24592</v>
      </c>
      <c r="F1222" s="28" t="str">
        <f>IFERROR(VLOOKUP(TAB_OFICINAS[[#This Row],[Cliente]],LISTA_DE_CLIENTES[[Código]:[Nome Fantasia]],2,FALSE),"")</f>
        <v>TRU COMMERCE IMP. EXP. E COM. DE ROUPA EIRELI</v>
      </c>
      <c r="G1222" s="2" t="str">
        <f>IFERROR(VLOOKUP(TAB_OFICINAS[[#This Row],[Cliente]],LISTA_DE_CLIENTES[[Código]:[Nome Fantasia]],3,FALSE),"")</f>
        <v>TRU COMMERCE</v>
      </c>
      <c r="H1222" s="51" t="s">
        <v>24534</v>
      </c>
      <c r="I1222" s="28" t="s">
        <v>25303</v>
      </c>
      <c r="J1222" s="91">
        <v>1</v>
      </c>
      <c r="K1222" s="88">
        <v>46308</v>
      </c>
      <c r="L1222" s="9">
        <v>1</v>
      </c>
      <c r="M1222" s="6">
        <v>46309</v>
      </c>
      <c r="N1222" s="6">
        <v>46309</v>
      </c>
      <c r="O1222" s="23">
        <f>TAB_OFICINAS[[#This Row],[Data Retorno Produção]]-TAB_OFICINAS[[#This Row],[Data Prometida  Entrega]]</f>
        <v>0</v>
      </c>
      <c r="P1222" s="98" t="str">
        <f>IF(TAB_OFICINAS[[#This Row],[Dias Para Entrega]]&lt;=0,"Em dia","Dia de Atrasado")</f>
        <v>Em dia</v>
      </c>
      <c r="Q1222" s="24">
        <f>IFERROR(TAB_OFICINAS[[#This Row],[Qtd pçs Enviadas]]-TAB_OFICINAS[[#This Row],[Qtd pçs Retornadas ]],"N/D ")</f>
        <v>0</v>
      </c>
      <c r="R1222" s="24"/>
      <c r="S1222" s="5">
        <v>3493</v>
      </c>
      <c r="T1222" s="5">
        <v>17664</v>
      </c>
      <c r="U1222" s="11">
        <v>12</v>
      </c>
      <c r="V1222" s="25">
        <f>IFERROR(TAB_OFICINAS[[#This Row],[Valor Unit]]*TAB_OFICINAS[[#This Row],[Qtd pçs Enviadas]]," ")</f>
        <v>12</v>
      </c>
      <c r="W1222" s="26">
        <v>46321</v>
      </c>
      <c r="X1222" s="17" t="s">
        <v>6251</v>
      </c>
      <c r="Y1222" s="27" t="s">
        <v>25305</v>
      </c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3:26" ht="14.25" customHeight="1" x14ac:dyDescent="0.25">
      <c r="C1223" s="28" t="s">
        <v>15</v>
      </c>
      <c r="D1223" s="5">
        <v>964</v>
      </c>
      <c r="E1223" s="5">
        <v>24592</v>
      </c>
      <c r="F1223" s="28" t="str">
        <f>IFERROR(VLOOKUP(TAB_OFICINAS[[#This Row],[Cliente]],LISTA_DE_CLIENTES[[Código]:[Nome Fantasia]],2,FALSE),"")</f>
        <v>TRU COMMERCE IMP. EXP. E COM. DE ROUPA EIRELI</v>
      </c>
      <c r="G1223" s="2" t="str">
        <f>IFERROR(VLOOKUP(TAB_OFICINAS[[#This Row],[Cliente]],LISTA_DE_CLIENTES[[Código]:[Nome Fantasia]],3,FALSE),"")</f>
        <v>TRU COMMERCE</v>
      </c>
      <c r="H1223" s="51" t="s">
        <v>24534</v>
      </c>
      <c r="I1223" s="28" t="s">
        <v>25302</v>
      </c>
      <c r="J1223" s="91">
        <v>1</v>
      </c>
      <c r="K1223" s="88">
        <v>46308</v>
      </c>
      <c r="L1223" s="9">
        <v>1</v>
      </c>
      <c r="M1223" s="6">
        <v>46309</v>
      </c>
      <c r="N1223" s="6">
        <v>46309</v>
      </c>
      <c r="O1223" s="23">
        <f>TAB_OFICINAS[[#This Row],[Data Retorno Produção]]-TAB_OFICINAS[[#This Row],[Data Prometida  Entrega]]</f>
        <v>0</v>
      </c>
      <c r="P1223" s="98" t="str">
        <f>IF(TAB_OFICINAS[[#This Row],[Dias Para Entrega]]&lt;=0,"Em dia","Dia de Atrasado")</f>
        <v>Em dia</v>
      </c>
      <c r="Q1223" s="24">
        <f>IFERROR(TAB_OFICINAS[[#This Row],[Qtd pçs Enviadas]]-TAB_OFICINAS[[#This Row],[Qtd pçs Retornadas ]],"N/D ")</f>
        <v>0</v>
      </c>
      <c r="R1223" s="24"/>
      <c r="S1223" s="5">
        <v>3492</v>
      </c>
      <c r="T1223" s="5">
        <v>17664</v>
      </c>
      <c r="U1223" s="11">
        <v>12</v>
      </c>
      <c r="V1223" s="25">
        <f>IFERROR(TAB_OFICINAS[[#This Row],[Valor Unit]]*TAB_OFICINAS[[#This Row],[Qtd pçs Enviadas]]," ")</f>
        <v>12</v>
      </c>
      <c r="W1223" s="26">
        <v>46321</v>
      </c>
      <c r="X1223" s="17" t="s">
        <v>6251</v>
      </c>
      <c r="Y1223" s="27" t="s">
        <v>25305</v>
      </c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3:26" ht="14.25" customHeight="1" x14ac:dyDescent="0.25">
      <c r="C1224" s="28" t="s">
        <v>3</v>
      </c>
      <c r="D1224" s="5">
        <v>5715</v>
      </c>
      <c r="E1224" s="5">
        <v>24514</v>
      </c>
      <c r="F1224" s="28" t="str">
        <f>IFERROR(VLOOKUP(TAB_OFICINAS[[#This Row],[Cliente]],LISTA_DE_CLIENTES[[Código]:[Nome Fantasia]],2,FALSE),"")</f>
        <v>HCC HOTELS GESTAO HOTELARIA</v>
      </c>
      <c r="G1224" s="2" t="str">
        <f>IFERROR(VLOOKUP(TAB_OFICINAS[[#This Row],[Cliente]],LISTA_DE_CLIENTES[[Código]:[Nome Fantasia]],3,FALSE),"")</f>
        <v>HOTEL UNNA-HOMEWOOD</v>
      </c>
      <c r="H1224" s="51">
        <v>2104850183</v>
      </c>
      <c r="I1224" s="28" t="str">
        <f>IFERROR(VLOOKUP(TAB_OFICINAS[[#This Row],[Codigo Produto ]],_000___PEDIDOS_DE_CLIENTES[[Data.Column2]:[Descrição Produto]],2,FALSE)," ")</f>
        <v>FRONHA 2 ABAS 5cm - CLASSIC - 180F MISTO PREMIUM - 0,50 X 0,70</v>
      </c>
      <c r="J1224" s="91">
        <v>339</v>
      </c>
      <c r="K1224" s="88">
        <v>46301</v>
      </c>
      <c r="L1224" s="9">
        <v>339</v>
      </c>
      <c r="M1224" s="6">
        <v>46310</v>
      </c>
      <c r="N1224" s="6">
        <v>46309</v>
      </c>
      <c r="O1224" s="23">
        <f>TAB_OFICINAS[[#This Row],[Data Retorno Produção]]-TAB_OFICINAS[[#This Row],[Data Prometida  Entrega]]</f>
        <v>-1</v>
      </c>
      <c r="P1224" s="98" t="str">
        <f>IF(TAB_OFICINAS[[#This Row],[Dias Para Entrega]]&lt;=0,"Em dia","Dia de Atrasado")</f>
        <v>Em dia</v>
      </c>
      <c r="Q1224" s="24">
        <f>IFERROR(TAB_OFICINAS[[#This Row],[Qtd pçs Enviadas]]-TAB_OFICINAS[[#This Row],[Qtd pçs Retornadas ]],"N/D ")</f>
        <v>0</v>
      </c>
      <c r="R1224" s="24"/>
      <c r="S1224" s="5">
        <v>3477</v>
      </c>
      <c r="T1224" s="5">
        <v>134</v>
      </c>
      <c r="U1224" s="11">
        <v>4</v>
      </c>
      <c r="V1224" s="25">
        <f>IFERROR(TAB_OFICINAS[[#This Row],[Valor Unit]]*TAB_OFICINAS[[#This Row],[Qtd pçs Enviadas]]," ")</f>
        <v>1356</v>
      </c>
      <c r="W1224" s="26">
        <v>46319</v>
      </c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3:26" ht="14.25" customHeight="1" x14ac:dyDescent="0.25">
      <c r="C1225" s="28" t="s">
        <v>1</v>
      </c>
      <c r="D1225" s="5">
        <v>5735</v>
      </c>
      <c r="E1225" s="5">
        <v>24271</v>
      </c>
      <c r="F1225" s="28" t="str">
        <f>IFERROR(VLOOKUP(TAB_OFICINAS[[#This Row],[Cliente]],LISTA_DE_CLIENTES[[Código]:[Nome Fantasia]],2,FALSE),"")</f>
        <v>OPERADORA HOTELEIRA RITZ LTDA</v>
      </c>
      <c r="G1225" s="2" t="str">
        <f>IFERROR(VLOOKUP(TAB_OFICINAS[[#This Row],[Cliente]],LISTA_DE_CLIENTES[[Código]:[Nome Fantasia]],3,FALSE),"")</f>
        <v>RITZ LTDA</v>
      </c>
      <c r="H1225" s="51">
        <v>2115851415</v>
      </c>
      <c r="I1225" s="28" t="str">
        <f>IFERROR(VLOOKUP(TAB_OFICINAS[[#This Row],[Codigo Produto ]],_000___PEDIDOS_DE_CLIENTES[[Data.Column2]:[Descrição Produto]],2,FALSE)," ")</f>
        <v>DUVET (CAPA) 300F MISTO CLASSIC MOD ENVELOPE 2,50 X 2,45</v>
      </c>
      <c r="J1225" s="91">
        <v>140</v>
      </c>
      <c r="K1225" s="88">
        <v>46304</v>
      </c>
      <c r="L1225" s="9">
        <v>140</v>
      </c>
      <c r="M1225" s="6">
        <v>46314</v>
      </c>
      <c r="N1225" s="6">
        <v>46314</v>
      </c>
      <c r="O1225" s="23">
        <f>TAB_OFICINAS[[#This Row],[Data Retorno Produção]]-TAB_OFICINAS[[#This Row],[Data Prometida  Entrega]]</f>
        <v>0</v>
      </c>
      <c r="P1225" s="98" t="str">
        <f>IF(TAB_OFICINAS[[#This Row],[Dias Para Entrega]]&lt;=0,"Em dia","Dia de Atrasado")</f>
        <v>Em dia</v>
      </c>
      <c r="Q1225" s="24">
        <v>0</v>
      </c>
      <c r="R1225" s="24"/>
      <c r="S1225" s="5">
        <v>3486</v>
      </c>
      <c r="T1225" s="5">
        <v>74</v>
      </c>
      <c r="U1225" s="11">
        <v>16</v>
      </c>
      <c r="V1225" s="25">
        <f>IFERROR(TAB_OFICINAS[[#This Row],[Valor Unit]]*TAB_OFICINAS[[#This Row],[Qtd pçs Enviadas]]," ")</f>
        <v>2240</v>
      </c>
      <c r="W1225" s="26">
        <f>TAB_OFICINAS[[#This Row],[Data Retorno Produção]]+10</f>
        <v>46324</v>
      </c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3:26" ht="14.25" customHeight="1" x14ac:dyDescent="0.25">
      <c r="C1226" s="28" t="s">
        <v>1</v>
      </c>
      <c r="D1226" s="5">
        <v>5735</v>
      </c>
      <c r="E1226" s="5">
        <v>24271</v>
      </c>
      <c r="F1226" s="28" t="str">
        <f>IFERROR(VLOOKUP(TAB_OFICINAS[[#This Row],[Cliente]],LISTA_DE_CLIENTES[[Código]:[Nome Fantasia]],2,FALSE),"")</f>
        <v>OPERADORA HOTELEIRA RITZ LTDA</v>
      </c>
      <c r="G1226" s="2" t="str">
        <f>IFERROR(VLOOKUP(TAB_OFICINAS[[#This Row],[Cliente]],LISTA_DE_CLIENTES[[Código]:[Nome Fantasia]],3,FALSE),"")</f>
        <v>RITZ LTDA</v>
      </c>
      <c r="H1226" s="51">
        <v>2115851414</v>
      </c>
      <c r="I1226" s="28" t="str">
        <f>IFERROR(VLOOKUP(TAB_OFICINAS[[#This Row],[Codigo Produto ]],_000___PEDIDOS_DE_CLIENTES[[Data.Column2]:[Descrição Produto]],2,FALSE)," ")</f>
        <v>DUVET (CAPA) 300F MISTO CLASSIC MOD ENVELOPE 1,60 X 2,25</v>
      </c>
      <c r="J1226" s="91">
        <v>60</v>
      </c>
      <c r="K1226" s="88">
        <v>46304</v>
      </c>
      <c r="L1226" s="9">
        <v>60</v>
      </c>
      <c r="M1226" s="6">
        <v>46314</v>
      </c>
      <c r="N1226" s="6">
        <v>46314</v>
      </c>
      <c r="O1226" s="23">
        <f>TAB_OFICINAS[[#This Row],[Data Retorno Produção]]-TAB_OFICINAS[[#This Row],[Data Prometida  Entrega]]</f>
        <v>0</v>
      </c>
      <c r="P1226" s="98" t="str">
        <f>IF(TAB_OFICINAS[[#This Row],[Dias Para Entrega]]&lt;=0,"Em dia","Dia de Atrasado")</f>
        <v>Em dia</v>
      </c>
      <c r="Q1226" s="24">
        <f>IFERROR(TAB_OFICINAS[[#This Row],[Qtd pçs Enviadas]]-TAB_OFICINAS[[#This Row],[Qtd pçs Retornadas ]],"N/D ")</f>
        <v>0</v>
      </c>
      <c r="R1226" s="24"/>
      <c r="S1226" s="5">
        <v>3486</v>
      </c>
      <c r="T1226" s="5">
        <v>74</v>
      </c>
      <c r="U1226" s="11">
        <v>14</v>
      </c>
      <c r="V1226" s="25">
        <f>IFERROR(TAB_OFICINAS[[#This Row],[Valor Unit]]*TAB_OFICINAS[[#This Row],[Qtd pçs Enviadas]]," ")</f>
        <v>840</v>
      </c>
      <c r="W1226" s="26">
        <v>46324</v>
      </c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3:26" ht="14.25" customHeight="1" x14ac:dyDescent="0.25">
      <c r="C1227" s="28" t="s">
        <v>7</v>
      </c>
      <c r="D1227" s="5">
        <v>5735</v>
      </c>
      <c r="E1227" s="5">
        <v>24271</v>
      </c>
      <c r="F1227" s="28" t="str">
        <f>IFERROR(VLOOKUP(TAB_OFICINAS[[#This Row],[Cliente]],LISTA_DE_CLIENTES[[Código]:[Nome Fantasia]],2,FALSE),"")</f>
        <v>OPERADORA HOTELEIRA RITZ LTDA</v>
      </c>
      <c r="G1227" s="2" t="str">
        <f>IFERROR(VLOOKUP(TAB_OFICINAS[[#This Row],[Cliente]],LISTA_DE_CLIENTES[[Código]:[Nome Fantasia]],3,FALSE),"")</f>
        <v>RITZ LTDA</v>
      </c>
      <c r="H1227" s="51">
        <v>2101029863</v>
      </c>
      <c r="I1227" s="28" t="str">
        <f>IFERROR(VLOOKUP(TAB_OFICINAS[[#This Row],[Codigo Produto ]],_000___PEDIDOS_DE_CLIENTES[[Data.Column2]:[Descrição Produto]],2,FALSE)," ")</f>
        <v>LENÇOL BAIXO BARRA ESTREITA - 300F MISTO - 2,50 X 2,90</v>
      </c>
      <c r="J1227" s="91">
        <v>243</v>
      </c>
      <c r="K1227" s="88">
        <v>46308</v>
      </c>
      <c r="L1227" s="9">
        <v>243</v>
      </c>
      <c r="M1227" s="6">
        <v>46314</v>
      </c>
      <c r="N1227" s="6">
        <v>46315</v>
      </c>
      <c r="O1227" s="23">
        <f>TAB_OFICINAS[[#This Row],[Data Retorno Produção]]-TAB_OFICINAS[[#This Row],[Data Prometida  Entrega]]</f>
        <v>1</v>
      </c>
      <c r="P1227" s="98" t="str">
        <f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S1227" s="5">
        <v>3490</v>
      </c>
      <c r="T1227" s="5">
        <v>63</v>
      </c>
      <c r="U1227" s="11">
        <v>7.5</v>
      </c>
      <c r="V1227" s="25">
        <f>IFERROR(TAB_OFICINAS[[#This Row],[Valor Unit]]*TAB_OFICINAS[[#This Row],[Qtd pçs Enviadas]]," ")</f>
        <v>1822.5</v>
      </c>
      <c r="W1227" s="26">
        <f>TAB_OFICINAS[[#This Row],[Data Retorno Produção]]+9</f>
        <v>46324</v>
      </c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3:26" ht="14.25" customHeight="1" x14ac:dyDescent="0.25">
      <c r="C1228" s="28" t="s">
        <v>7</v>
      </c>
      <c r="D1228" s="5">
        <v>5845</v>
      </c>
      <c r="E1228" s="5">
        <v>24575</v>
      </c>
      <c r="F1228" s="28" t="str">
        <f>IFERROR(VLOOKUP(TAB_OFICINAS[[#This Row],[Cliente]],LISTA_DE_CLIENTES[[Código]:[Nome Fantasia]],2,FALSE),"")</f>
        <v>EVELYN MAGALHÃES DEL BUSSO</v>
      </c>
      <c r="G1228" s="2" t="str">
        <f>IFERROR(VLOOKUP(TAB_OFICINAS[[#This Row],[Cliente]],LISTA_DE_CLIENTES[[Código]:[Nome Fantasia]],3,FALSE),"")</f>
        <v>EVELYN MAGALHÃES DEL</v>
      </c>
      <c r="H1228" s="51">
        <v>3105019629</v>
      </c>
      <c r="I1228" s="28" t="str">
        <f>IFERROR(VLOOKUP(TAB_OFICINAS[[#This Row],[Codigo Produto ]],_000___PEDIDOS_DE_CLIENTES[[Data.Column2]:[Descrição Produto]],2,FALSE)," ")</f>
        <v>TOALHA DE BANHO BRANCA C/ CAPUZ BABY - CORDONÊ C/ MONOGRAMA COR DO CORDONÊ ( ROSÊ ) - 0,70 X 0,90</v>
      </c>
      <c r="J1228" s="91">
        <v>1</v>
      </c>
      <c r="K1228" s="88">
        <v>46301</v>
      </c>
      <c r="L1228" s="9">
        <v>1</v>
      </c>
      <c r="M1228" s="6">
        <v>46302</v>
      </c>
      <c r="N1228" s="6">
        <v>46302</v>
      </c>
      <c r="O1228" s="23">
        <f>TAB_OFICINAS[[#This Row],[Data Retorno Produção]]-TAB_OFICINAS[[#This Row],[Data Prometida  Entrega]]</f>
        <v>0</v>
      </c>
      <c r="P1228" s="98" t="str">
        <f>IF(TAB_OFICINAS[[#This Row],[Dias Para Entrega]]&lt;=0,"Em dia","Dia de Atrasado")</f>
        <v>Em dia</v>
      </c>
      <c r="Q1228" s="24">
        <f>IFERROR(TAB_OFICINAS[[#This Row],[Qtd pçs Enviadas]]-TAB_OFICINAS[[#This Row],[Qtd pçs Retornadas ]],"N/D ")</f>
        <v>0</v>
      </c>
      <c r="R1228" s="24"/>
      <c r="S1228" s="5">
        <v>3474</v>
      </c>
      <c r="T1228" s="5">
        <v>60</v>
      </c>
      <c r="U1228" s="11">
        <v>12</v>
      </c>
      <c r="V1228" s="25">
        <f>IFERROR(TAB_OFICINAS[[#This Row],[Valor Unit]]*TAB_OFICINAS[[#This Row],[Qtd pçs Enviadas]]," ")</f>
        <v>12</v>
      </c>
      <c r="W1228" s="26">
        <v>46314</v>
      </c>
      <c r="X1228" s="17" t="s">
        <v>6251</v>
      </c>
      <c r="Y1228" s="27" t="s">
        <v>25306</v>
      </c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3:26" ht="14.25" customHeight="1" x14ac:dyDescent="0.25">
      <c r="C1229" s="28" t="s">
        <v>21197</v>
      </c>
      <c r="D1229" s="5">
        <v>5735</v>
      </c>
      <c r="E1229" s="5">
        <v>24271</v>
      </c>
      <c r="F1229" s="28" t="str">
        <f>IFERROR(VLOOKUP(TAB_OFICINAS[[#This Row],[Cliente]],LISTA_DE_CLIENTES[[Código]:[Nome Fantasia]],2,FALSE),"")</f>
        <v>OPERADORA HOTELEIRA RITZ LTDA</v>
      </c>
      <c r="G1229" s="2" t="str">
        <f>IFERROR(VLOOKUP(TAB_OFICINAS[[#This Row],[Cliente]],LISTA_DE_CLIENTES[[Código]:[Nome Fantasia]],3,FALSE),"")</f>
        <v>RITZ LTDA</v>
      </c>
      <c r="H1229" s="51">
        <v>2105161417</v>
      </c>
      <c r="I1229" s="28" t="str">
        <f>IFERROR(VLOOKUP(TAB_OFICINAS[[#This Row],[Codigo Produto ]],_000___PEDIDOS_DE_CLIENTES[[Data.Column2]:[Descrição Produto]],2,FALSE)," ")</f>
        <v>FRONHA 3 ABAS 5CM 300F MISTO CLASSIC 50 X 70</v>
      </c>
      <c r="J1229" s="91">
        <v>1029</v>
      </c>
      <c r="K1229" s="88">
        <v>46310</v>
      </c>
      <c r="M1229" s="6">
        <v>46318</v>
      </c>
      <c r="N1229" s="6">
        <f t="shared" ref="N1229:N1251" ca="1" si="3">TODAY()</f>
        <v>46317</v>
      </c>
      <c r="O1229" s="23">
        <f ca="1">TAB_OFICINAS[[#This Row],[Data Retorno Produção]]-TAB_OFICINAS[[#This Row],[Data Prometida  Entrega]]</f>
        <v>-1</v>
      </c>
      <c r="P1229" s="98" t="str">
        <f ca="1">IF(TAB_OFICINAS[[#This Row],[Dias Para Entrega]]&lt;=0,"Em dia","Dia de Atrasado")</f>
        <v>Em dia</v>
      </c>
      <c r="Q1229" s="24">
        <f>IFERROR(TAB_OFICINAS[[#This Row],[Qtd pçs Enviadas]]-TAB_OFICINAS[[#This Row],[Qtd pçs Retornadas ]],"N/D ")</f>
        <v>1029</v>
      </c>
      <c r="R1229" s="24"/>
      <c r="S1229" s="5">
        <v>3493</v>
      </c>
      <c r="U1229" s="11">
        <v>4.9000000000000004</v>
      </c>
      <c r="V1229" s="25">
        <f>IFERROR(TAB_OFICINAS[[#This Row],[Valor Unit]]*TAB_OFICINAS[[#This Row],[Qtd pçs Enviadas]]," ")</f>
        <v>5042.1000000000004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1029 Pçs Pendente</v>
      </c>
    </row>
    <row r="1230" spans="3:26" ht="14.25" customHeight="1" x14ac:dyDescent="0.25">
      <c r="C1230" s="28" t="s">
        <v>3</v>
      </c>
      <c r="D1230" s="5">
        <v>5735</v>
      </c>
      <c r="E1230" s="5">
        <v>24271</v>
      </c>
      <c r="F1230" s="28" t="str">
        <f>IFERROR(VLOOKUP(TAB_OFICINAS[[#This Row],[Cliente]],LISTA_DE_CLIENTES[[Código]:[Nome Fantasia]],2,FALSE),"")</f>
        <v>OPERADORA HOTELEIRA RITZ LTDA</v>
      </c>
      <c r="G1230" s="2" t="str">
        <f>IFERROR(VLOOKUP(TAB_OFICINAS[[#This Row],[Cliente]],LISTA_DE_CLIENTES[[Código]:[Nome Fantasia]],3,FALSE),"")</f>
        <v>RITZ LTDA</v>
      </c>
      <c r="H1230" s="51">
        <v>2102861413</v>
      </c>
      <c r="I1230" s="28" t="str">
        <f>IFERROR(VLOOKUP(TAB_OFICINAS[[#This Row],[Codigo Produto ]],_000___PEDIDOS_DE_CLIENTES[[Data.Column2]:[Descrição Produto]],2,FALSE)," ")</f>
        <v>LENÇOL BAIXO BARRA ESTREITA 4 LADOS 300F MISTO 2,70 X 2,90</v>
      </c>
      <c r="J1230" s="91">
        <v>48</v>
      </c>
      <c r="K1230" s="88">
        <v>46310</v>
      </c>
      <c r="L1230" s="9">
        <v>48</v>
      </c>
      <c r="M1230" s="6">
        <v>46318</v>
      </c>
      <c r="N1230" s="6">
        <v>46316</v>
      </c>
      <c r="O1230" s="23">
        <f>TAB_OFICINAS[[#This Row],[Data Retorno Produção]]-TAB_OFICINAS[[#This Row],[Data Prometida  Entrega]]</f>
        <v>-2</v>
      </c>
      <c r="P1230" s="98" t="str">
        <f>IF(TAB_OFICINAS[[#This Row],[Dias Para Entrega]]&lt;=0,"Em dia","Dia de Atrasado")</f>
        <v>Em dia</v>
      </c>
      <c r="Q1230" s="24">
        <f>IFERROR(TAB_OFICINAS[[#This Row],[Qtd pçs Enviadas]]-TAB_OFICINAS[[#This Row],[Qtd pçs Retornadas ]],"N/D ")</f>
        <v>0</v>
      </c>
      <c r="R1230" s="24"/>
      <c r="S1230" s="5">
        <v>3494</v>
      </c>
      <c r="T1230" s="5">
        <v>135</v>
      </c>
      <c r="U1230" s="11">
        <v>7.5</v>
      </c>
      <c r="V1230" s="25">
        <f>IFERROR(TAB_OFICINAS[[#This Row],[Valor Unit]]*TAB_OFICINAS[[#This Row],[Qtd pçs Enviadas]]," ")</f>
        <v>360</v>
      </c>
      <c r="W1230" s="26">
        <f>TAB_OFICINAS[[#This Row],[Data Retorno Produção]]+9</f>
        <v>46325</v>
      </c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3:26" ht="14.25" customHeight="1" x14ac:dyDescent="0.25">
      <c r="C1231" s="28" t="s">
        <v>3</v>
      </c>
      <c r="D1231" s="5">
        <v>5735</v>
      </c>
      <c r="E1231" s="5">
        <v>24271</v>
      </c>
      <c r="F1231" s="28" t="str">
        <f>IFERROR(VLOOKUP(TAB_OFICINAS[[#This Row],[Cliente]],LISTA_DE_CLIENTES[[Código]:[Nome Fantasia]],2,FALSE),"")</f>
        <v>OPERADORA HOTELEIRA RITZ LTDA</v>
      </c>
      <c r="G1231" s="2" t="str">
        <f>IFERROR(VLOOKUP(TAB_OFICINAS[[#This Row],[Cliente]],LISTA_DE_CLIENTES[[Código]:[Nome Fantasia]],3,FALSE),"")</f>
        <v>RITZ LTDA</v>
      </c>
      <c r="H1231" s="51">
        <v>2102861412</v>
      </c>
      <c r="I1231" s="28" t="str">
        <f>IFERROR(VLOOKUP(TAB_OFICINAS[[#This Row],[Codigo Produto ]],_000___PEDIDOS_DE_CLIENTES[[Data.Column2]:[Descrição Produto]],2,FALSE)," ")</f>
        <v>LENÇOL BAIXO BARRA ESTREITA 4LADOS 300F MISTO 1,60 X 2,60</v>
      </c>
      <c r="J1231" s="91">
        <v>115</v>
      </c>
      <c r="K1231" s="88">
        <v>46310</v>
      </c>
      <c r="L1231" s="9">
        <v>115</v>
      </c>
      <c r="M1231" s="6">
        <v>46318</v>
      </c>
      <c r="N1231" s="6">
        <v>46316</v>
      </c>
      <c r="O1231" s="23">
        <f>TAB_OFICINAS[[#This Row],[Data Retorno Produção]]-TAB_OFICINAS[[#This Row],[Data Prometida  Entrega]]</f>
        <v>-2</v>
      </c>
      <c r="P1231" s="98" t="str">
        <f>IF(TAB_OFICINAS[[#This Row],[Dias Para Entrega]]&lt;=0,"Em dia","Dia de Atrasado")</f>
        <v>Em dia</v>
      </c>
      <c r="Q1231" s="24">
        <f>IFERROR(TAB_OFICINAS[[#This Row],[Qtd pçs Enviadas]]-TAB_OFICINAS[[#This Row],[Qtd pçs Retornadas ]],"N/D ")</f>
        <v>0</v>
      </c>
      <c r="R1231" s="24"/>
      <c r="S1231" s="5">
        <v>3494</v>
      </c>
      <c r="T1231" s="5">
        <v>135</v>
      </c>
      <c r="U1231" s="11">
        <v>6.5</v>
      </c>
      <c r="V1231" s="25">
        <f>IFERROR(TAB_OFICINAS[[#This Row],[Valor Unit]]*TAB_OFICINAS[[#This Row],[Qtd pçs Enviadas]]," ")</f>
        <v>747.5</v>
      </c>
      <c r="W1231" s="26">
        <v>46325</v>
      </c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3:26" ht="14.25" customHeight="1" x14ac:dyDescent="0.25">
      <c r="C1232" s="28" t="s">
        <v>7</v>
      </c>
      <c r="D1232" s="5">
        <v>245</v>
      </c>
      <c r="E1232" s="5">
        <v>24210</v>
      </c>
      <c r="F1232" s="28" t="str">
        <f>IFERROR(VLOOKUP(TAB_OFICINAS[[#This Row],[Cliente]],LISTA_DE_CLIENTES[[Código]:[Nome Fantasia]],2,FALSE),"")</f>
        <v>MELIA BRASIL ADMINISTRACAO HOTELEIRA E COMERCIAL L</v>
      </c>
      <c r="G1232" s="2" t="str">
        <f>IFERROR(VLOOKUP(TAB_OFICINAS[[#This Row],[Cliente]],LISTA_DE_CLIENTES[[Código]:[Nome Fantasia]],3,FALSE),"")</f>
        <v>MELIA PAULISTA</v>
      </c>
      <c r="H1232" s="51">
        <v>92101041103</v>
      </c>
      <c r="I1232" s="28" t="str">
        <f>IFERROR(VLOOKUP(TAB_OFICINAS[[#This Row],[Codigo Produto ]],_000___PEDIDOS_DE_CLIENTES[[Data.Column2]:[Descrição Produto]],2,FALSE)," ")</f>
        <v>LENÇOL BARRA ESTREITA 4 LADOS - 230F MSITO - 2,80 X 3,00</v>
      </c>
      <c r="J1232" s="91">
        <v>193</v>
      </c>
      <c r="K1232" s="88">
        <v>46310</v>
      </c>
      <c r="M1232" s="6">
        <v>46315</v>
      </c>
      <c r="N1232" s="6">
        <f t="shared" ca="1" si="3"/>
        <v>46317</v>
      </c>
      <c r="O1232" s="23">
        <f ca="1">TAB_OFICINAS[[#This Row],[Data Retorno Produção]]-TAB_OFICINAS[[#This Row],[Data Prometida  Entrega]]</f>
        <v>2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193</v>
      </c>
      <c r="R1232" s="24"/>
      <c r="S1232" s="5">
        <v>3497</v>
      </c>
      <c r="U1232" s="11">
        <v>8</v>
      </c>
      <c r="V1232" s="25">
        <f>IFERROR(TAB_OFICINAS[[#This Row],[Valor Unit]]*TAB_OFICINAS[[#This Row],[Qtd pçs Enviadas]]," ")</f>
        <v>1544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193 Pçs Pendente</v>
      </c>
    </row>
    <row r="1233" spans="3:26" ht="14.25" customHeight="1" x14ac:dyDescent="0.25">
      <c r="C1233" s="28" t="s">
        <v>16</v>
      </c>
      <c r="D1233" s="5">
        <v>5766</v>
      </c>
      <c r="E1233" s="5">
        <v>24593</v>
      </c>
      <c r="F1233" s="28" t="str">
        <f>IFERROR(VLOOKUP(TAB_OFICINAS[[#This Row],[Cliente]],LISTA_DE_CLIENTES[[Código]:[Nome Fantasia]],2,FALSE),"")</f>
        <v>AL BUZIOS HOTEL LTDA</v>
      </c>
      <c r="G1233" s="2" t="str">
        <f>IFERROR(VLOOKUP(TAB_OFICINAS[[#This Row],[Cliente]],LISTA_DE_CLIENTES[[Código]:[Nome Fantasia]],3,FALSE),"")</f>
        <v>AL BUZIOS HOTEL LTDA</v>
      </c>
      <c r="H1233" s="51">
        <v>92105308696</v>
      </c>
      <c r="I1233" s="28" t="s">
        <v>25310</v>
      </c>
      <c r="J1233" s="91">
        <v>60</v>
      </c>
      <c r="K1233" s="88">
        <v>46311</v>
      </c>
      <c r="L1233" s="9">
        <v>60</v>
      </c>
      <c r="M1233" s="6">
        <v>46315</v>
      </c>
      <c r="N1233" s="6">
        <f t="shared" ca="1" si="3"/>
        <v>46317</v>
      </c>
      <c r="O1233" s="23">
        <f ca="1">TAB_OFICINAS[[#This Row],[Data Retorno Produção]]-TAB_OFICINAS[[#This Row],[Data Prometida  Entrega]]</f>
        <v>2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S1233" s="5">
        <v>3500</v>
      </c>
      <c r="T1233" s="5">
        <v>70</v>
      </c>
      <c r="U1233" s="11">
        <v>3.5</v>
      </c>
      <c r="V1233" s="25">
        <f>IFERROR(TAB_OFICINAS[[#This Row],[Valor Unit]]*TAB_OFICINAS[[#This Row],[Qtd pçs Enviadas]]," ")</f>
        <v>210</v>
      </c>
      <c r="W1233" s="26">
        <v>46325</v>
      </c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3:26" ht="14.25" customHeight="1" x14ac:dyDescent="0.25">
      <c r="C1234" s="28" t="s">
        <v>15</v>
      </c>
      <c r="D1234" s="5">
        <v>5378</v>
      </c>
      <c r="E1234" s="5">
        <v>24613</v>
      </c>
      <c r="F1234" s="28" t="str">
        <f>IFERROR(VLOOKUP(TAB_OFICINAS[[#This Row],[Cliente]],LISTA_DE_CLIENTES[[Código]:[Nome Fantasia]],2,FALSE),"")</f>
        <v>ZIREH IMOVEIS E PARTICIPACOES LTDA</v>
      </c>
      <c r="G1234" s="2" t="str">
        <f>IFERROR(VLOOKUP(TAB_OFICINAS[[#This Row],[Cliente]],LISTA_DE_CLIENTES[[Código]:[Nome Fantasia]],3,FALSE),"")</f>
        <v>ZIREH IMOVEIS</v>
      </c>
      <c r="H1234" s="51" t="s">
        <v>21342</v>
      </c>
      <c r="I1234" s="28" t="s">
        <v>23418</v>
      </c>
      <c r="J1234" s="91">
        <v>6</v>
      </c>
      <c r="K1234" s="88">
        <v>46311</v>
      </c>
      <c r="L1234" s="9">
        <v>6</v>
      </c>
      <c r="M1234" s="6">
        <v>46322</v>
      </c>
      <c r="N1234" s="6">
        <v>46315</v>
      </c>
      <c r="O1234" s="23">
        <f>TAB_OFICINAS[[#This Row],[Data Retorno Produção]]-TAB_OFICINAS[[#This Row],[Data Prometida  Entrega]]</f>
        <v>-7</v>
      </c>
      <c r="P1234" s="98" t="str">
        <f>IF(TAB_OFICINAS[[#This Row],[Dias Para Entrega]]&lt;=0,"Em dia","Dia de Atrasado")</f>
        <v>Em dia</v>
      </c>
      <c r="Q1234" s="24">
        <f>IFERROR(TAB_OFICINAS[[#This Row],[Qtd pçs Enviadas]]-TAB_OFICINAS[[#This Row],[Qtd pçs Retornadas ]],"N/D ")</f>
        <v>0</v>
      </c>
      <c r="R1234" s="24"/>
      <c r="S1234" s="5">
        <v>3501</v>
      </c>
      <c r="T1234" s="5">
        <v>17665</v>
      </c>
      <c r="U1234" s="11">
        <v>3.6</v>
      </c>
      <c r="V1234" s="25">
        <f>IFERROR(TAB_OFICINAS[[#This Row],[Valor Unit]]*TAB_OFICINAS[[#This Row],[Qtd pçs Enviadas]]," ")</f>
        <v>21.6</v>
      </c>
      <c r="W1234" s="26">
        <v>46321</v>
      </c>
      <c r="X1234" s="17" t="s">
        <v>6251</v>
      </c>
      <c r="Y1234" s="27" t="s">
        <v>23417</v>
      </c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3:26" ht="14.25" customHeight="1" x14ac:dyDescent="0.25">
      <c r="C1235" s="28" t="s">
        <v>15</v>
      </c>
      <c r="D1235" s="5">
        <v>5378</v>
      </c>
      <c r="E1235" s="5">
        <v>24613</v>
      </c>
      <c r="F1235" s="28" t="str">
        <f>IFERROR(VLOOKUP(TAB_OFICINAS[[#This Row],[Cliente]],LISTA_DE_CLIENTES[[Código]:[Nome Fantasia]],2,FALSE),"")</f>
        <v>ZIREH IMOVEIS E PARTICIPACOES LTDA</v>
      </c>
      <c r="G1235" s="2" t="str">
        <f>IFERROR(VLOOKUP(TAB_OFICINAS[[#This Row],[Cliente]],LISTA_DE_CLIENTES[[Código]:[Nome Fantasia]],3,FALSE),"")</f>
        <v>ZIREH IMOVEIS</v>
      </c>
      <c r="H1235" s="51">
        <v>3301099927</v>
      </c>
      <c r="I1235" s="28" t="s">
        <v>25311</v>
      </c>
      <c r="J1235" s="91">
        <v>14</v>
      </c>
      <c r="K1235" s="88">
        <v>46311</v>
      </c>
      <c r="L1235" s="9">
        <v>14</v>
      </c>
      <c r="M1235" s="6">
        <v>46322</v>
      </c>
      <c r="N1235" s="6">
        <v>46315</v>
      </c>
      <c r="O1235" s="23">
        <f>TAB_OFICINAS[[#This Row],[Data Retorno Produção]]-TAB_OFICINAS[[#This Row],[Data Prometida  Entrega]]</f>
        <v>-7</v>
      </c>
      <c r="P1235" s="98" t="str">
        <f>IF(TAB_OFICINAS[[#This Row],[Dias Para Entrega]]&lt;=0,"Em dia","Dia de Atrasado")</f>
        <v>Em dia</v>
      </c>
      <c r="Q1235" s="24">
        <f>IFERROR(TAB_OFICINAS[[#This Row],[Qtd pçs Enviadas]]-TAB_OFICINAS[[#This Row],[Qtd pçs Retornadas ]],"N/D ")</f>
        <v>0</v>
      </c>
      <c r="R1235" s="24"/>
      <c r="S1235" s="5">
        <v>3501</v>
      </c>
      <c r="T1235" s="5">
        <v>17665</v>
      </c>
      <c r="U1235" s="11">
        <v>3.6</v>
      </c>
      <c r="V1235" s="25">
        <f>IFERROR(TAB_OFICINAS[[#This Row],[Valor Unit]]*TAB_OFICINAS[[#This Row],[Qtd pçs Enviadas]]," ")</f>
        <v>50.4</v>
      </c>
      <c r="W1235" s="26">
        <v>46321</v>
      </c>
      <c r="X1235" s="17" t="s">
        <v>6251</v>
      </c>
      <c r="Y1235" s="27" t="s">
        <v>23417</v>
      </c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3:26" ht="14.25" customHeight="1" x14ac:dyDescent="0.25">
      <c r="C1236" s="28" t="s">
        <v>15</v>
      </c>
      <c r="D1236" s="5">
        <v>5378</v>
      </c>
      <c r="E1236" s="5">
        <v>24613</v>
      </c>
      <c r="F1236" s="28" t="str">
        <f>IFERROR(VLOOKUP(TAB_OFICINAS[[#This Row],[Cliente]],LISTA_DE_CLIENTES[[Código]:[Nome Fantasia]],2,FALSE),"")</f>
        <v>ZIREH IMOVEIS E PARTICIPACOES LTDA</v>
      </c>
      <c r="G1236" s="2" t="str">
        <f>IFERROR(VLOOKUP(TAB_OFICINAS[[#This Row],[Cliente]],LISTA_DE_CLIENTES[[Código]:[Nome Fantasia]],3,FALSE),"")</f>
        <v>ZIREH IMOVEIS</v>
      </c>
      <c r="H1236" s="51">
        <v>3301091163</v>
      </c>
      <c r="I1236" s="28" t="s">
        <v>25312</v>
      </c>
      <c r="J1236" s="91">
        <v>14</v>
      </c>
      <c r="K1236" s="88">
        <v>46311</v>
      </c>
      <c r="L1236" s="9">
        <v>14</v>
      </c>
      <c r="M1236" s="6">
        <v>46322</v>
      </c>
      <c r="N1236" s="6">
        <v>46315</v>
      </c>
      <c r="O1236" s="23">
        <f>TAB_OFICINAS[[#This Row],[Data Retorno Produção]]-TAB_OFICINAS[[#This Row],[Data Prometida  Entrega]]</f>
        <v>-7</v>
      </c>
      <c r="P1236" s="98" t="str">
        <f>IF(TAB_OFICINAS[[#This Row],[Dias Para Entrega]]&lt;=0,"Em dia","Dia de Atrasado")</f>
        <v>Em dia</v>
      </c>
      <c r="Q1236" s="24">
        <f>IFERROR(TAB_OFICINAS[[#This Row],[Qtd pçs Enviadas]]-TAB_OFICINAS[[#This Row],[Qtd pçs Retornadas ]],"N/D ")</f>
        <v>0</v>
      </c>
      <c r="R1236" s="24">
        <v>4</v>
      </c>
      <c r="S1236" s="5">
        <v>3501</v>
      </c>
      <c r="T1236" s="5">
        <v>17665</v>
      </c>
      <c r="U1236" s="11">
        <v>3.6</v>
      </c>
      <c r="V1236" s="25">
        <f>IFERROR(TAB_OFICINAS[[#This Row],[Valor Unit]]*TAB_OFICINAS[[#This Row],[Qtd pçs Enviadas]]," ")</f>
        <v>50.4</v>
      </c>
      <c r="W1236" s="26">
        <v>46321</v>
      </c>
      <c r="X1236" s="17" t="s">
        <v>6251</v>
      </c>
      <c r="Y1236" s="27" t="s">
        <v>25328</v>
      </c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3:26" ht="14.25" customHeight="1" x14ac:dyDescent="0.25">
      <c r="C1237" s="28" t="s">
        <v>15</v>
      </c>
      <c r="D1237" s="5">
        <v>526</v>
      </c>
      <c r="E1237" s="5">
        <v>24492</v>
      </c>
      <c r="F1237" s="28" t="str">
        <f>IFERROR(VLOOKUP(TAB_OFICINAS[[#This Row],[Cliente]],LISTA_DE_CLIENTES[[Código]:[Nome Fantasia]],2,FALSE),"")</f>
        <v>ATMOSFERA GESTAO E HIGIENIZACAO DE TEXTEIS S.A.</v>
      </c>
      <c r="G1237" s="2" t="str">
        <f>IFERROR(VLOOKUP(TAB_OFICINAS[[#This Row],[Cliente]],LISTA_DE_CLIENTES[[Código]:[Nome Fantasia]],3,FALSE),"")</f>
        <v>ATMOSFERA ST BARBARA</v>
      </c>
      <c r="H1237" s="51">
        <v>92115472176</v>
      </c>
      <c r="I1237" s="28" t="str">
        <f>IFERROR(VLOOKUP(TAB_OFICINAS[[#This Row],[Codigo Produto ]],_000___PEDIDOS_DE_CLIENTES[[Data.Column2]:[Descrição Produto]],2,FALSE)," ")</f>
        <v>DUVET (CAPA) 230F MISTO C/ FESTONÊ "T" COR PERSA 07064 C/ LINHA DE IDENTIFICAÇÃO COR PRETA 2,85x2,55</v>
      </c>
      <c r="J1237" s="91">
        <v>51</v>
      </c>
      <c r="K1237" s="88">
        <v>46311</v>
      </c>
      <c r="M1237" s="6">
        <v>46322</v>
      </c>
      <c r="N1237" s="6">
        <f t="shared" ca="1" si="3"/>
        <v>46317</v>
      </c>
      <c r="O1237" s="23">
        <f ca="1">TAB_OFICINAS[[#This Row],[Data Retorno Produção]]-TAB_OFICINAS[[#This Row],[Data Prometida  Entrega]]</f>
        <v>-5</v>
      </c>
      <c r="P1237" s="98" t="str">
        <f ca="1">IF(TAB_OFICINAS[[#This Row],[Dias Para Entrega]]&lt;=0,"Em dia","Dia de Atrasado")</f>
        <v>Em dia</v>
      </c>
      <c r="Q1237" s="24">
        <f>IFERROR(TAB_OFICINAS[[#This Row],[Qtd pçs Enviadas]]-TAB_OFICINAS[[#This Row],[Qtd pçs Retornadas ]],"N/D ")</f>
        <v>51</v>
      </c>
      <c r="R1237" s="24"/>
      <c r="S1237" s="5">
        <v>3501</v>
      </c>
      <c r="U1237" s="11">
        <v>15</v>
      </c>
      <c r="V1237" s="25">
        <f>IFERROR(TAB_OFICINAS[[#This Row],[Valor Unit]]*TAB_OFICINAS[[#This Row],[Qtd pçs Enviadas]]," ")</f>
        <v>765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51 Pçs Pendente</v>
      </c>
    </row>
    <row r="1238" spans="3:26" ht="14.25" customHeight="1" x14ac:dyDescent="0.25">
      <c r="C1238" s="28" t="s">
        <v>15</v>
      </c>
      <c r="D1238" s="5">
        <v>526</v>
      </c>
      <c r="E1238" s="5">
        <v>24492</v>
      </c>
      <c r="F1238" s="28" t="str">
        <f>IFERROR(VLOOKUP(TAB_OFICINAS[[#This Row],[Cliente]],LISTA_DE_CLIENTES[[Código]:[Nome Fantasia]],2,FALSE),"")</f>
        <v>ATMOSFERA GESTAO E HIGIENIZACAO DE TEXTEIS S.A.</v>
      </c>
      <c r="G1238" s="2" t="str">
        <f>IFERROR(VLOOKUP(TAB_OFICINAS[[#This Row],[Cliente]],LISTA_DE_CLIENTES[[Código]:[Nome Fantasia]],3,FALSE),"")</f>
        <v>ATMOSFERA ST BARBARA</v>
      </c>
      <c r="H1238" s="51">
        <v>92104156036</v>
      </c>
      <c r="I1238" s="28" t="str">
        <f>IFERROR(VLOOKUP(TAB_OFICINAS[[#This Row],[Codigo Produto ]],_000___PEDIDOS_DE_CLIENTES[[Data.Column2]:[Descrição Produto]],2,FALSE)," ")</f>
        <v>FRONHA 2 ABAS 5cm - 230F MISTO C/ FESTONÊ T - 0,50 X 0,70</v>
      </c>
      <c r="J1238" s="91">
        <v>300</v>
      </c>
      <c r="K1238" s="88">
        <v>46311</v>
      </c>
      <c r="M1238" s="6">
        <v>46318</v>
      </c>
      <c r="N1238" s="6">
        <f t="shared" ca="1" si="3"/>
        <v>46317</v>
      </c>
      <c r="O1238" s="23">
        <f ca="1">TAB_OFICINAS[[#This Row],[Data Retorno Produção]]-TAB_OFICINAS[[#This Row],[Data Prometida  Entrega]]</f>
        <v>-1</v>
      </c>
      <c r="P1238" s="98" t="str">
        <f ca="1">IF(TAB_OFICINAS[[#This Row],[Dias Para Entrega]]&lt;=0,"Em dia","Dia de Atrasado")</f>
        <v>Em dia</v>
      </c>
      <c r="Q1238" s="24">
        <f>IFERROR(TAB_OFICINAS[[#This Row],[Qtd pçs Enviadas]]-TAB_OFICINAS[[#This Row],[Qtd pçs Retornadas ]],"N/D ")</f>
        <v>300</v>
      </c>
      <c r="R1238" s="24"/>
      <c r="S1238" s="5">
        <v>3501</v>
      </c>
      <c r="U1238" s="11">
        <v>15</v>
      </c>
      <c r="V1238" s="25">
        <f>IFERROR(TAB_OFICINAS[[#This Row],[Valor Unit]]*TAB_OFICINAS[[#This Row],[Qtd pçs Enviadas]]," ")</f>
        <v>4500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300 Pçs Pendente</v>
      </c>
    </row>
    <row r="1239" spans="3:26" ht="14.25" customHeight="1" x14ac:dyDescent="0.25">
      <c r="C1239" s="28" t="s">
        <v>15</v>
      </c>
      <c r="D1239" s="5">
        <v>526</v>
      </c>
      <c r="E1239" s="5">
        <v>24492</v>
      </c>
      <c r="F1239" s="28" t="str">
        <f>IFERROR(VLOOKUP(TAB_OFICINAS[[#This Row],[Cliente]],LISTA_DE_CLIENTES[[Código]:[Nome Fantasia]],2,FALSE),"")</f>
        <v>ATMOSFERA GESTAO E HIGIENIZACAO DE TEXTEIS S.A.</v>
      </c>
      <c r="G1239" s="2" t="str">
        <f>IFERROR(VLOOKUP(TAB_OFICINAS[[#This Row],[Cliente]],LISTA_DE_CLIENTES[[Código]:[Nome Fantasia]],3,FALSE),"")</f>
        <v>ATMOSFERA ST BARBARA</v>
      </c>
      <c r="H1239" s="51">
        <v>92102156032</v>
      </c>
      <c r="I1239" s="28" t="str">
        <f>IFERROR(VLOOKUP(TAB_OFICINAS[[#This Row],[Codigo Produto ]],_000___PEDIDOS_DE_CLIENTES[[Data.Column2]:[Descrição Produto]],2,FALSE)," ")</f>
        <v>LENÇOL CIMA  230F - FESTONE  " T  " COR PRESA 07064 - IDENTIFICAÇÃO LINHA  PRETA -  2,81 X 2,75</v>
      </c>
      <c r="J1239" s="91">
        <v>51</v>
      </c>
      <c r="K1239" s="88">
        <v>46311</v>
      </c>
      <c r="M1239" s="6">
        <v>46322</v>
      </c>
      <c r="N1239" s="6">
        <f t="shared" ca="1" si="3"/>
        <v>46317</v>
      </c>
      <c r="O1239" s="23">
        <f ca="1">TAB_OFICINAS[[#This Row],[Data Retorno Produção]]-TAB_OFICINAS[[#This Row],[Data Prometida  Entrega]]</f>
        <v>-5</v>
      </c>
      <c r="P1239" s="98" t="str">
        <f ca="1">IF(TAB_OFICINAS[[#This Row],[Dias Para Entrega]]&lt;=0,"Em dia","Dia de Atrasado")</f>
        <v>Em dia</v>
      </c>
      <c r="Q1239" s="24">
        <f>IFERROR(TAB_OFICINAS[[#This Row],[Qtd pçs Enviadas]]-TAB_OFICINAS[[#This Row],[Qtd pçs Retornadas ]],"N/D ")</f>
        <v>51</v>
      </c>
      <c r="R1239" s="24"/>
      <c r="S1239" s="5">
        <v>3501</v>
      </c>
      <c r="U1239" s="11">
        <v>15</v>
      </c>
      <c r="V1239" s="25">
        <f>IFERROR(TAB_OFICINAS[[#This Row],[Valor Unit]]*TAB_OFICINAS[[#This Row],[Qtd pçs Enviadas]]," ")</f>
        <v>765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51 Pçs Pendente</v>
      </c>
    </row>
    <row r="1240" spans="3:26" ht="14.25" customHeight="1" x14ac:dyDescent="0.25">
      <c r="C1240" s="28" t="s">
        <v>19</v>
      </c>
      <c r="D1240" s="5">
        <v>943</v>
      </c>
      <c r="E1240" s="5">
        <v>24662</v>
      </c>
      <c r="F1240" s="28" t="str">
        <f>IFERROR(VLOOKUP(TAB_OFICINAS[[#This Row],[Cliente]],LISTA_DE_CLIENTES[[Código]:[Nome Fantasia]],2,FALSE),"")</f>
        <v>REDE DOR SAO LUIZ S.A.</v>
      </c>
      <c r="G1240" s="2" t="str">
        <f>IFERROR(VLOOKUP(TAB_OFICINAS[[#This Row],[Cliente]],LISTA_DE_CLIENTES[[Código]:[Nome Fantasia]],3,FALSE),"")</f>
        <v>HOSPITAL COPA STAR</v>
      </c>
      <c r="H1240" s="51">
        <v>3301084128</v>
      </c>
      <c r="I124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1240" s="91">
        <v>30</v>
      </c>
      <c r="K1240" s="88">
        <v>46315</v>
      </c>
      <c r="M1240" s="6">
        <v>46332</v>
      </c>
      <c r="N1240" s="6">
        <f t="shared" ca="1" si="3"/>
        <v>46317</v>
      </c>
      <c r="O1240" s="23">
        <f ca="1">TAB_OFICINAS[[#This Row],[Data Retorno Produção]]-TAB_OFICINAS[[#This Row],[Data Prometida  Entrega]]</f>
        <v>-15</v>
      </c>
      <c r="P1240" s="98" t="str">
        <f ca="1">IF(TAB_OFICINAS[[#This Row],[Dias Para Entrega]]&lt;=0,"Em dia","Dia de Atrasado")</f>
        <v>Em dia</v>
      </c>
      <c r="Q1240" s="24">
        <f>IFERROR(TAB_OFICINAS[[#This Row],[Qtd pçs Enviadas]]-TAB_OFICINAS[[#This Row],[Qtd pçs Retornadas ]],"N/D ")</f>
        <v>30</v>
      </c>
      <c r="R1240" s="24"/>
      <c r="S1240" s="5">
        <v>3507</v>
      </c>
      <c r="U1240" s="11">
        <v>14</v>
      </c>
      <c r="V1240" s="25">
        <f>IFERROR(TAB_OFICINAS[[#This Row],[Valor Unit]]*TAB_OFICINAS[[#This Row],[Qtd pçs Enviadas]]," ")</f>
        <v>420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241" spans="3:26" ht="14.25" customHeight="1" x14ac:dyDescent="0.25">
      <c r="C1241" s="28" t="s">
        <v>19</v>
      </c>
      <c r="D1241" s="5">
        <v>943</v>
      </c>
      <c r="E1241" s="5">
        <v>24662</v>
      </c>
      <c r="F1241" s="28" t="str">
        <f>IFERROR(VLOOKUP(TAB_OFICINAS[[#This Row],[Cliente]],LISTA_DE_CLIENTES[[Código]:[Nome Fantasia]],2,FALSE),"")</f>
        <v>REDE DOR SAO LUIZ S.A.</v>
      </c>
      <c r="G1241" s="2" t="str">
        <f>IFERROR(VLOOKUP(TAB_OFICINAS[[#This Row],[Cliente]],LISTA_DE_CLIENTES[[Código]:[Nome Fantasia]],3,FALSE),"")</f>
        <v>HOSPITAL COPA STAR</v>
      </c>
      <c r="H1241" s="51">
        <v>3301084164</v>
      </c>
      <c r="I124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1241" s="91">
        <v>30</v>
      </c>
      <c r="K1241" s="88">
        <v>46315</v>
      </c>
      <c r="M1241" s="6">
        <v>46332</v>
      </c>
      <c r="N1241" s="6">
        <f t="shared" ca="1" si="3"/>
        <v>46317</v>
      </c>
      <c r="O1241" s="23">
        <f ca="1">TAB_OFICINAS[[#This Row],[Data Retorno Produção]]-TAB_OFICINAS[[#This Row],[Data Prometida  Entrega]]</f>
        <v>-15</v>
      </c>
      <c r="P1241" s="98" t="str">
        <f ca="1">IF(TAB_OFICINAS[[#This Row],[Dias Para Entrega]]&lt;=0,"Em dia","Dia de Atrasado")</f>
        <v>Em dia</v>
      </c>
      <c r="Q1241" s="24">
        <f>IFERROR(TAB_OFICINAS[[#This Row],[Qtd pçs Enviadas]]-TAB_OFICINAS[[#This Row],[Qtd pçs Retornadas ]],"N/D ")</f>
        <v>30</v>
      </c>
      <c r="R1241" s="24"/>
      <c r="S1241" s="5">
        <v>3507</v>
      </c>
      <c r="U1241" s="11">
        <v>14</v>
      </c>
      <c r="V1241" s="25">
        <f>IFERROR(TAB_OFICINAS[[#This Row],[Valor Unit]]*TAB_OFICINAS[[#This Row],[Qtd pçs Enviadas]]," ")</f>
        <v>420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242" spans="3:26" ht="14.25" customHeight="1" x14ac:dyDescent="0.25">
      <c r="C1242" s="28" t="s">
        <v>15</v>
      </c>
      <c r="D1242" s="5">
        <v>241</v>
      </c>
      <c r="E1242" s="5">
        <v>24461</v>
      </c>
      <c r="F1242" s="28" t="str">
        <f>IFERROR(VLOOKUP(TAB_OFICINAS[[#This Row],[Cliente]],LISTA_DE_CLIENTES[[Código]:[Nome Fantasia]],2,FALSE),"")</f>
        <v>MELIA BRASIL ADMINISTRACAO HOTELEIRA E COMERCIAL L</v>
      </c>
      <c r="G1242" s="2" t="str">
        <f>IFERROR(VLOOKUP(TAB_OFICINAS[[#This Row],[Cliente]],LISTA_DE_CLIENTES[[Código]:[Nome Fantasia]],3,FALSE),"")</f>
        <v>MELIÁ INNSIDE ITAIM</v>
      </c>
      <c r="H1242" s="51" t="s">
        <v>25314</v>
      </c>
      <c r="I1242" s="28" t="s">
        <v>25315</v>
      </c>
      <c r="J1242" s="91">
        <v>104</v>
      </c>
      <c r="K1242" s="88">
        <v>46315</v>
      </c>
      <c r="M1242" s="6">
        <v>46323</v>
      </c>
      <c r="N1242" s="6">
        <f t="shared" ca="1" si="3"/>
        <v>46317</v>
      </c>
      <c r="O1242" s="23">
        <f ca="1">TAB_OFICINAS[[#This Row],[Data Retorno Produção]]-TAB_OFICINAS[[#This Row],[Data Prometida  Entrega]]</f>
        <v>-6</v>
      </c>
      <c r="P1242" s="98" t="str">
        <f ca="1">IF(TAB_OFICINAS[[#This Row],[Dias Para Entrega]]&lt;=0,"Em dia","Dia de Atrasado")</f>
        <v>Em dia</v>
      </c>
      <c r="Q1242" s="24">
        <f>IFERROR(TAB_OFICINAS[[#This Row],[Qtd pçs Enviadas]]-TAB_OFICINAS[[#This Row],[Qtd pçs Retornadas ]],"N/D ")</f>
        <v>104</v>
      </c>
      <c r="R1242" s="24"/>
      <c r="S1242" s="5">
        <v>3509</v>
      </c>
      <c r="U1242" s="11">
        <v>17.899999999999999</v>
      </c>
      <c r="V1242" s="25">
        <f>IFERROR(TAB_OFICINAS[[#This Row],[Valor Unit]]*TAB_OFICINAS[[#This Row],[Qtd pçs Enviadas]]," ")</f>
        <v>1861.6</v>
      </c>
      <c r="W1242" s="26"/>
      <c r="X1242" s="17" t="s">
        <v>6251</v>
      </c>
      <c r="Y1242" s="27" t="s">
        <v>25316</v>
      </c>
      <c r="Z1242" s="90" t="str">
        <f>IF(TAB_OFICINAS[[#This Row],[Qtd pçs Enviadas]]=TAB_OFICINAS[[#This Row],[Qtd pçs Retornadas ]],"Produção Finalizada",TAB_OFICINAS[[#This Row],[Qtd pçs Pendetente ]] &amp; " " &amp; "Pçs Pendente")</f>
        <v>104 Pçs Pendente</v>
      </c>
    </row>
    <row r="1243" spans="3:26" ht="14.25" customHeight="1" x14ac:dyDescent="0.25">
      <c r="C1243" s="28" t="s">
        <v>15</v>
      </c>
      <c r="E1243" s="5">
        <v>60</v>
      </c>
      <c r="F1243" s="28" t="s">
        <v>25318</v>
      </c>
      <c r="G1243" s="2" t="s">
        <v>25319</v>
      </c>
      <c r="H1243" s="51" t="s">
        <v>24534</v>
      </c>
      <c r="I1243" s="28" t="s">
        <v>25317</v>
      </c>
      <c r="J1243" s="91">
        <v>12</v>
      </c>
      <c r="K1243" s="88">
        <v>46315</v>
      </c>
      <c r="M1243" s="6">
        <v>46323</v>
      </c>
      <c r="N1243" s="6">
        <f t="shared" ca="1" si="3"/>
        <v>46317</v>
      </c>
      <c r="O1243" s="23">
        <f ca="1">TAB_OFICINAS[[#This Row],[Data Retorno Produção]]-TAB_OFICINAS[[#This Row],[Data Prometida  Entrega]]</f>
        <v>-6</v>
      </c>
      <c r="P1243" s="98" t="str">
        <f ca="1">IF(TAB_OFICINAS[[#This Row],[Dias Para Entrega]]&lt;=0,"Em dia","Dia de Atrasado")</f>
        <v>Em dia</v>
      </c>
      <c r="Q1243" s="24">
        <f>IFERROR(TAB_OFICINAS[[#This Row],[Qtd pçs Enviadas]]-TAB_OFICINAS[[#This Row],[Qtd pçs Retornadas ]],"N/D ")</f>
        <v>12</v>
      </c>
      <c r="R1243" s="24"/>
      <c r="S1243" s="5">
        <v>3509</v>
      </c>
      <c r="U1243" s="11">
        <v>8</v>
      </c>
      <c r="V1243" s="25">
        <f>IFERROR(TAB_OFICINAS[[#This Row],[Valor Unit]]*TAB_OFICINAS[[#This Row],[Qtd pçs Enviadas]]," ")</f>
        <v>96</v>
      </c>
      <c r="W1243" s="26"/>
      <c r="X1243" s="17" t="s">
        <v>6251</v>
      </c>
      <c r="Y1243" s="27" t="s">
        <v>23140</v>
      </c>
      <c r="Z1243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244" spans="3:26" ht="14.25" customHeight="1" x14ac:dyDescent="0.25">
      <c r="C1244" s="28" t="s">
        <v>15</v>
      </c>
      <c r="D1244" s="5">
        <v>2298</v>
      </c>
      <c r="E1244" s="5">
        <v>24651</v>
      </c>
      <c r="F1244" s="28" t="str">
        <f>IFERROR(VLOOKUP(TAB_OFICINAS[[#This Row],[Cliente]],LISTA_DE_CLIENTES[[Código]:[Nome Fantasia]],2,FALSE),"")</f>
        <v>MUCUGE VILLAGE RESORT HOTEL S/A</v>
      </c>
      <c r="G1244" s="2" t="str">
        <f>IFERROR(VLOOKUP(TAB_OFICINAS[[#This Row],[Cliente]],LISTA_DE_CLIENTES[[Código]:[Nome Fantasia]],3,FALSE),"")</f>
        <v>KUARA HOTEL</v>
      </c>
      <c r="H1244" s="51">
        <v>3301091624</v>
      </c>
      <c r="I1244" s="28" t="s">
        <v>25320</v>
      </c>
      <c r="J1244" s="91">
        <v>5</v>
      </c>
      <c r="K1244" s="88">
        <v>46315</v>
      </c>
      <c r="M1244" s="6">
        <v>46324</v>
      </c>
      <c r="N1244" s="6">
        <f t="shared" ca="1" si="3"/>
        <v>46317</v>
      </c>
      <c r="O1244" s="23">
        <f ca="1">TAB_OFICINAS[[#This Row],[Data Retorno Produção]]-TAB_OFICINAS[[#This Row],[Data Prometida  Entrega]]</f>
        <v>-7</v>
      </c>
      <c r="P1244" s="98" t="str">
        <f ca="1">IF(TAB_OFICINAS[[#This Row],[Dias Para Entrega]]&lt;=0,"Em dia","Dia de Atrasado")</f>
        <v>Em dia</v>
      </c>
      <c r="Q1244" s="24">
        <f>IFERROR(TAB_OFICINAS[[#This Row],[Qtd pçs Enviadas]]-TAB_OFICINAS[[#This Row],[Qtd pçs Retornadas ]],"N/D ")</f>
        <v>5</v>
      </c>
      <c r="R1244" s="24"/>
      <c r="S1244" s="5">
        <v>3509</v>
      </c>
      <c r="U1244" s="11">
        <v>4.8</v>
      </c>
      <c r="V1244" s="25">
        <f>IFERROR(TAB_OFICINAS[[#This Row],[Valor Unit]]*TAB_OFICINAS[[#This Row],[Qtd pçs Enviadas]]," ")</f>
        <v>24</v>
      </c>
      <c r="W1244" s="26"/>
      <c r="X1244" s="17" t="s">
        <v>6251</v>
      </c>
      <c r="Y1244" s="27" t="s">
        <v>25322</v>
      </c>
      <c r="Z1244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45" spans="3:26" ht="14.25" customHeight="1" x14ac:dyDescent="0.25">
      <c r="C1245" s="28" t="s">
        <v>15</v>
      </c>
      <c r="D1245" s="5">
        <v>2298</v>
      </c>
      <c r="E1245" s="5">
        <v>24651</v>
      </c>
      <c r="F1245" s="28" t="str">
        <f>IFERROR(VLOOKUP(TAB_OFICINAS[[#This Row],[Cliente]],LISTA_DE_CLIENTES[[Código]:[Nome Fantasia]],2,FALSE),"")</f>
        <v>MUCUGE VILLAGE RESORT HOTEL S/A</v>
      </c>
      <c r="G1245" s="2" t="str">
        <f>IFERROR(VLOOKUP(TAB_OFICINAS[[#This Row],[Cliente]],LISTA_DE_CLIENTES[[Código]:[Nome Fantasia]],3,FALSE),"")</f>
        <v>KUARA HOTEL</v>
      </c>
      <c r="H1245" s="51">
        <v>3301091627</v>
      </c>
      <c r="I1245" s="28" t="s">
        <v>25321</v>
      </c>
      <c r="J1245" s="91">
        <v>5</v>
      </c>
      <c r="K1245" s="88">
        <v>46315</v>
      </c>
      <c r="M1245" s="6">
        <v>46324</v>
      </c>
      <c r="N1245" s="6">
        <f t="shared" ca="1" si="3"/>
        <v>46317</v>
      </c>
      <c r="O1245" s="23">
        <f ca="1">TAB_OFICINAS[[#This Row],[Data Retorno Produção]]-TAB_OFICINAS[[#This Row],[Data Prometida  Entrega]]</f>
        <v>-7</v>
      </c>
      <c r="P1245" s="98" t="str">
        <f ca="1">IF(TAB_OFICINAS[[#This Row],[Dias Para Entrega]]&lt;=0,"Em dia","Dia de Atrasado")</f>
        <v>Em dia</v>
      </c>
      <c r="Q1245" s="24">
        <f>IFERROR(TAB_OFICINAS[[#This Row],[Qtd pçs Enviadas]]-TAB_OFICINAS[[#This Row],[Qtd pçs Retornadas ]],"N/D ")</f>
        <v>5</v>
      </c>
      <c r="R1245" s="24"/>
      <c r="S1245" s="5">
        <v>3509</v>
      </c>
      <c r="U1245" s="11">
        <v>4.8</v>
      </c>
      <c r="V1245" s="25">
        <f>IFERROR(TAB_OFICINAS[[#This Row],[Valor Unit]]*TAB_OFICINAS[[#This Row],[Qtd pçs Enviadas]]," ")</f>
        <v>24</v>
      </c>
      <c r="W1245" s="26"/>
      <c r="X1245" s="17" t="s">
        <v>6251</v>
      </c>
      <c r="Y1245" s="27" t="s">
        <v>25322</v>
      </c>
      <c r="Z1245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46" spans="3:26" ht="14.25" customHeight="1" x14ac:dyDescent="0.25">
      <c r="C1246" s="28" t="s">
        <v>15</v>
      </c>
      <c r="D1246" s="5">
        <v>271</v>
      </c>
      <c r="E1246" s="5">
        <v>24656</v>
      </c>
      <c r="F1246" s="28" t="str">
        <f>IFERROR(VLOOKUP(TAB_OFICINAS[[#This Row],[Cliente]],LISTA_DE_CLIENTES[[Código]:[Nome Fantasia]],2,FALSE),"")</f>
        <v>OPERADORA HOTELEIRA VILLA ROSSA LTDA</v>
      </c>
      <c r="G1246" s="2" t="str">
        <f>IFERROR(VLOOKUP(TAB_OFICINAS[[#This Row],[Cliente]],LISTA_DE_CLIENTES[[Código]:[Nome Fantasia]],3,FALSE),"")</f>
        <v>VILLA ROSSA</v>
      </c>
      <c r="H1246" s="51">
        <v>3302011634</v>
      </c>
      <c r="I1246" s="28" t="s">
        <v>25324</v>
      </c>
      <c r="J1246" s="91">
        <v>1</v>
      </c>
      <c r="K1246" s="88">
        <v>46315</v>
      </c>
      <c r="M1246" s="6">
        <v>46324</v>
      </c>
      <c r="N1246" s="6">
        <f t="shared" ca="1" si="3"/>
        <v>46317</v>
      </c>
      <c r="O1246" s="23">
        <f ca="1">TAB_OFICINAS[[#This Row],[Data Retorno Produção]]-TAB_OFICINAS[[#This Row],[Data Prometida  Entrega]]</f>
        <v>-7</v>
      </c>
      <c r="P1246" s="98" t="str">
        <f ca="1">IF(TAB_OFICINAS[[#This Row],[Dias Para Entrega]]&lt;=0,"Em dia","Dia de Atrasado")</f>
        <v>Em dia</v>
      </c>
      <c r="Q1246" s="24">
        <f>IFERROR(TAB_OFICINAS[[#This Row],[Qtd pçs Enviadas]]-TAB_OFICINAS[[#This Row],[Qtd pçs Retornadas ]],"N/D ")</f>
        <v>1</v>
      </c>
      <c r="R1246" s="24"/>
      <c r="S1246" s="5">
        <v>3509</v>
      </c>
      <c r="U1246" s="11">
        <v>12</v>
      </c>
      <c r="V1246" s="25">
        <f>IFERROR(TAB_OFICINAS[[#This Row],[Valor Unit]]*TAB_OFICINAS[[#This Row],[Qtd pçs Enviadas]]," ")</f>
        <v>12</v>
      </c>
      <c r="W1246" s="26"/>
      <c r="X1246" s="17" t="s">
        <v>6251</v>
      </c>
      <c r="Y1246" s="27" t="s">
        <v>25325</v>
      </c>
      <c r="Z1246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47" spans="3:26" ht="14.25" customHeight="1" x14ac:dyDescent="0.25">
      <c r="C1247" s="28" t="s">
        <v>15</v>
      </c>
      <c r="D1247" s="5">
        <v>271</v>
      </c>
      <c r="E1247" s="5">
        <v>24656</v>
      </c>
      <c r="F1247" s="28" t="str">
        <f>IFERROR(VLOOKUP(TAB_OFICINAS[[#This Row],[Cliente]],LISTA_DE_CLIENTES[[Código]:[Nome Fantasia]],2,FALSE),"")</f>
        <v>OPERADORA HOTELEIRA VILLA ROSSA LTDA</v>
      </c>
      <c r="G1247" s="2" t="str">
        <f>IFERROR(VLOOKUP(TAB_OFICINAS[[#This Row],[Cliente]],LISTA_DE_CLIENTES[[Código]:[Nome Fantasia]],3,FALSE),"")</f>
        <v>VILLA ROSSA</v>
      </c>
      <c r="H1247" s="51">
        <v>3301071635</v>
      </c>
      <c r="I1247" s="28" t="s">
        <v>25323</v>
      </c>
      <c r="J1247" s="91">
        <v>1</v>
      </c>
      <c r="K1247" s="88">
        <v>46315</v>
      </c>
      <c r="M1247" s="6">
        <v>46324</v>
      </c>
      <c r="N1247" s="6">
        <f t="shared" ca="1" si="3"/>
        <v>46317</v>
      </c>
      <c r="O1247" s="23">
        <f ca="1">TAB_OFICINAS[[#This Row],[Data Retorno Produção]]-TAB_OFICINAS[[#This Row],[Data Prometida  Entrega]]</f>
        <v>-7</v>
      </c>
      <c r="P1247" s="98" t="str">
        <f ca="1">IF(TAB_OFICINAS[[#This Row],[Dias Para Entrega]]&lt;=0,"Em dia","Dia de Atrasado")</f>
        <v>Em dia</v>
      </c>
      <c r="Q1247" s="24">
        <f>IFERROR(TAB_OFICINAS[[#This Row],[Qtd pçs Enviadas]]-TAB_OFICINAS[[#This Row],[Qtd pçs Retornadas ]],"N/D ")</f>
        <v>1</v>
      </c>
      <c r="R1247" s="24"/>
      <c r="S1247" s="5">
        <v>3509</v>
      </c>
      <c r="U1247" s="11">
        <v>12</v>
      </c>
      <c r="V1247" s="25">
        <f>IFERROR(TAB_OFICINAS[[#This Row],[Valor Unit]]*TAB_OFICINAS[[#This Row],[Qtd pçs Enviadas]]," ")</f>
        <v>12</v>
      </c>
      <c r="W1247" s="26"/>
      <c r="X1247" s="17" t="s">
        <v>6251</v>
      </c>
      <c r="Y1247" s="27" t="s">
        <v>25326</v>
      </c>
      <c r="Z1247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48" spans="3:26" ht="14.25" customHeight="1" x14ac:dyDescent="0.25">
      <c r="C1248" s="28" t="s">
        <v>15</v>
      </c>
      <c r="D1248" s="5">
        <v>943</v>
      </c>
      <c r="E1248" s="5">
        <v>24662</v>
      </c>
      <c r="F1248" s="28" t="str">
        <f>IFERROR(VLOOKUP(TAB_OFICINAS[[#This Row],[Cliente]],LISTA_DE_CLIENTES[[Código]:[Nome Fantasia]],2,FALSE),"")</f>
        <v>REDE DOR SAO LUIZ S.A.</v>
      </c>
      <c r="G1248" s="2" t="str">
        <f>IFERROR(VLOOKUP(TAB_OFICINAS[[#This Row],[Cliente]],LISTA_DE_CLIENTES[[Código]:[Nome Fantasia]],3,FALSE),"")</f>
        <v>HOSPITAL COPA STAR</v>
      </c>
      <c r="H1248" s="51">
        <v>3301084128</v>
      </c>
      <c r="I124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1248" s="91">
        <v>30</v>
      </c>
      <c r="K1248" s="88">
        <v>46315</v>
      </c>
      <c r="M1248" s="6">
        <v>46325</v>
      </c>
      <c r="N1248" s="6">
        <f t="shared" ca="1" si="3"/>
        <v>46317</v>
      </c>
      <c r="O1248" s="23">
        <f ca="1">TAB_OFICINAS[[#This Row],[Data Retorno Produção]]-TAB_OFICINAS[[#This Row],[Data Prometida  Entrega]]</f>
        <v>-8</v>
      </c>
      <c r="P1248" s="98" t="str">
        <f ca="1">IF(TAB_OFICINAS[[#This Row],[Dias Para Entrega]]&lt;=0,"Em dia","Dia de Atrasado")</f>
        <v>Em dia</v>
      </c>
      <c r="Q1248" s="24">
        <f>IFERROR(TAB_OFICINAS[[#This Row],[Qtd pçs Enviadas]]-TAB_OFICINAS[[#This Row],[Qtd pçs Retornadas ]],"N/D ")</f>
        <v>30</v>
      </c>
      <c r="R1248" s="24"/>
      <c r="S1248" s="5">
        <v>3509</v>
      </c>
      <c r="U1248" s="11">
        <v>3.85</v>
      </c>
      <c r="V1248" s="25">
        <f>IFERROR(TAB_OFICINAS[[#This Row],[Valor Unit]]*TAB_OFICINAS[[#This Row],[Qtd pçs Enviadas]]," ")</f>
        <v>115.5</v>
      </c>
      <c r="W1248" s="26"/>
      <c r="X1248" s="17" t="s">
        <v>6251</v>
      </c>
      <c r="Y1248" s="27" t="s">
        <v>21341</v>
      </c>
      <c r="Z1248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249" spans="3:26" ht="14.25" customHeight="1" x14ac:dyDescent="0.25">
      <c r="C1249" s="28" t="s">
        <v>15</v>
      </c>
      <c r="D1249" s="5">
        <v>943</v>
      </c>
      <c r="E1249" s="5">
        <v>24662</v>
      </c>
      <c r="F1249" s="28" t="str">
        <f>IFERROR(VLOOKUP(TAB_OFICINAS[[#This Row],[Cliente]],LISTA_DE_CLIENTES[[Código]:[Nome Fantasia]],2,FALSE),"")</f>
        <v>REDE DOR SAO LUIZ S.A.</v>
      </c>
      <c r="G1249" s="2" t="str">
        <f>IFERROR(VLOOKUP(TAB_OFICINAS[[#This Row],[Cliente]],LISTA_DE_CLIENTES[[Código]:[Nome Fantasia]],3,FALSE),"")</f>
        <v>HOSPITAL COPA STAR</v>
      </c>
      <c r="H1249" s="51">
        <v>3301084127</v>
      </c>
      <c r="I124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1249" s="91">
        <v>50</v>
      </c>
      <c r="K1249" s="88">
        <v>46315</v>
      </c>
      <c r="M1249" s="6">
        <v>46325</v>
      </c>
      <c r="N1249" s="6">
        <f t="shared" ca="1" si="3"/>
        <v>46317</v>
      </c>
      <c r="O1249" s="23">
        <f ca="1">TAB_OFICINAS[[#This Row],[Data Retorno Produção]]-TAB_OFICINAS[[#This Row],[Data Prometida  Entrega]]</f>
        <v>-8</v>
      </c>
      <c r="P1249" s="98" t="str">
        <f ca="1">IF(TAB_OFICINAS[[#This Row],[Dias Para Entrega]]&lt;=0,"Em dia","Dia de Atrasado")</f>
        <v>Em dia</v>
      </c>
      <c r="Q1249" s="24">
        <f>IFERROR(TAB_OFICINAS[[#This Row],[Qtd pçs Enviadas]]-TAB_OFICINAS[[#This Row],[Qtd pçs Retornadas ]],"N/D ")</f>
        <v>50</v>
      </c>
      <c r="R1249" s="24"/>
      <c r="S1249" s="5">
        <v>3509</v>
      </c>
      <c r="U1249" s="11">
        <v>3.85</v>
      </c>
      <c r="V1249" s="25">
        <f>IFERROR(TAB_OFICINAS[[#This Row],[Valor Unit]]*TAB_OFICINAS[[#This Row],[Qtd pçs Enviadas]]," ")</f>
        <v>192.5</v>
      </c>
      <c r="W1249" s="26"/>
      <c r="X1249" s="17" t="s">
        <v>6251</v>
      </c>
      <c r="Y1249" s="27" t="s">
        <v>21341</v>
      </c>
      <c r="Z124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1250" spans="3:26" ht="14.25" customHeight="1" x14ac:dyDescent="0.25">
      <c r="C1250" s="28" t="s">
        <v>15</v>
      </c>
      <c r="D1250" s="5">
        <v>943</v>
      </c>
      <c r="E1250" s="5">
        <v>24662</v>
      </c>
      <c r="F1250" s="28" t="str">
        <f>IFERROR(VLOOKUP(TAB_OFICINAS[[#This Row],[Cliente]],LISTA_DE_CLIENTES[[Código]:[Nome Fantasia]],2,FALSE),"")</f>
        <v>REDE DOR SAO LUIZ S.A.</v>
      </c>
      <c r="G1250" s="2" t="str">
        <f>IFERROR(VLOOKUP(TAB_OFICINAS[[#This Row],[Cliente]],LISTA_DE_CLIENTES[[Código]:[Nome Fantasia]],3,FALSE),"")</f>
        <v>HOSPITAL COPA STAR</v>
      </c>
      <c r="H1250" s="51">
        <v>3301084164</v>
      </c>
      <c r="I125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1250" s="91">
        <v>30</v>
      </c>
      <c r="K1250" s="88">
        <v>46315</v>
      </c>
      <c r="M1250" s="6">
        <v>46325</v>
      </c>
      <c r="N1250" s="6">
        <f t="shared" ca="1" si="3"/>
        <v>46317</v>
      </c>
      <c r="O1250" s="23">
        <f ca="1">TAB_OFICINAS[[#This Row],[Data Retorno Produção]]-TAB_OFICINAS[[#This Row],[Data Prometida  Entrega]]</f>
        <v>-8</v>
      </c>
      <c r="P1250" s="98" t="str">
        <f ca="1">IF(TAB_OFICINAS[[#This Row],[Dias Para Entrega]]&lt;=0,"Em dia","Dia de Atrasado")</f>
        <v>Em dia</v>
      </c>
      <c r="Q1250" s="24">
        <f>IFERROR(TAB_OFICINAS[[#This Row],[Qtd pçs Enviadas]]-TAB_OFICINAS[[#This Row],[Qtd pçs Retornadas ]],"N/D ")</f>
        <v>30</v>
      </c>
      <c r="R1250" s="24"/>
      <c r="S1250" s="5">
        <v>3509</v>
      </c>
      <c r="U1250" s="11">
        <v>3.85</v>
      </c>
      <c r="V1250" s="25">
        <f>IFERROR(TAB_OFICINAS[[#This Row],[Valor Unit]]*TAB_OFICINAS[[#This Row],[Qtd pçs Enviadas]]," ")</f>
        <v>115.5</v>
      </c>
      <c r="W1250" s="26"/>
      <c r="X1250" s="17" t="s">
        <v>6251</v>
      </c>
      <c r="Y1250" s="27" t="s">
        <v>21341</v>
      </c>
      <c r="Z1250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251" spans="3:26" ht="14.25" customHeight="1" x14ac:dyDescent="0.25">
      <c r="C1251" s="28" t="s">
        <v>18</v>
      </c>
      <c r="D1251" s="5">
        <v>943</v>
      </c>
      <c r="E1251" s="5">
        <v>24662</v>
      </c>
      <c r="F1251" s="28" t="str">
        <f>IFERROR(VLOOKUP(TAB_OFICINAS[[#This Row],[Cliente]],LISTA_DE_CLIENTES[[Código]:[Nome Fantasia]],2,FALSE),"")</f>
        <v>REDE DOR SAO LUIZ S.A.</v>
      </c>
      <c r="G1251" s="2" t="str">
        <f>IFERROR(VLOOKUP(TAB_OFICINAS[[#This Row],[Cliente]],LISTA_DE_CLIENTES[[Código]:[Nome Fantasia]],3,FALSE),"")</f>
        <v>HOSPITAL COPA STAR</v>
      </c>
      <c r="H1251" s="51">
        <v>3301084127</v>
      </c>
      <c r="I125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1251" s="91">
        <v>50</v>
      </c>
      <c r="K1251" s="88">
        <v>46315</v>
      </c>
      <c r="M1251" s="6">
        <v>46332</v>
      </c>
      <c r="N1251" s="6">
        <f t="shared" ca="1" si="3"/>
        <v>46317</v>
      </c>
      <c r="O1251" s="23">
        <f ca="1">TAB_OFICINAS[[#This Row],[Data Retorno Produção]]-TAB_OFICINAS[[#This Row],[Data Prometida  Entrega]]</f>
        <v>-15</v>
      </c>
      <c r="P1251" s="98" t="str">
        <f ca="1">IF(TAB_OFICINAS[[#This Row],[Dias Para Entrega]]&lt;=0,"Em dia","Dia de Atrasado")</f>
        <v>Em dia</v>
      </c>
      <c r="Q1251" s="24">
        <f>IFERROR(TAB_OFICINAS[[#This Row],[Qtd pçs Enviadas]]-TAB_OFICINAS[[#This Row],[Qtd pçs Retornadas ]],"N/D ")</f>
        <v>50</v>
      </c>
      <c r="R1251" s="24"/>
      <c r="S1251" s="5">
        <v>3506</v>
      </c>
      <c r="U1251" s="11">
        <v>14</v>
      </c>
      <c r="V1251" s="25">
        <f>IFERROR(TAB_OFICINAS[[#This Row],[Valor Unit]]*TAB_OFICINAS[[#This Row],[Qtd pçs Enviadas]]," ")</f>
        <v>700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1252" spans="3:26" ht="14.25" customHeight="1" x14ac:dyDescent="0.25">
      <c r="C1252" s="28" t="s">
        <v>1</v>
      </c>
      <c r="D1252" s="5">
        <v>5766</v>
      </c>
      <c r="E1252" s="5">
        <v>24593</v>
      </c>
      <c r="F1252" s="28" t="str">
        <f>IFERROR(VLOOKUP(TAB_OFICINAS[[#This Row],[Cliente]],LISTA_DE_CLIENTES[[Código]:[Nome Fantasia]],2,FALSE),"")</f>
        <v>AL BUZIOS HOTEL LTDA</v>
      </c>
      <c r="G1252" s="2" t="str">
        <f>IFERROR(VLOOKUP(TAB_OFICINAS[[#This Row],[Cliente]],LISTA_DE_CLIENTES[[Código]:[Nome Fantasia]],3,FALSE),"")</f>
        <v>AL BUZIOS HOTEL LTDA</v>
      </c>
      <c r="H1252" s="51">
        <v>9210104159</v>
      </c>
      <c r="I1252" s="28" t="s">
        <v>25327</v>
      </c>
      <c r="J1252" s="91">
        <v>100</v>
      </c>
      <c r="K1252" s="88">
        <v>46314</v>
      </c>
      <c r="L1252" s="9">
        <v>100</v>
      </c>
      <c r="M1252" s="6">
        <v>46316</v>
      </c>
      <c r="N1252" s="6">
        <v>46315</v>
      </c>
      <c r="O1252" s="23">
        <f>TAB_OFICINAS[[#This Row],[Data Retorno Produção]]-TAB_OFICINAS[[#This Row],[Data Prometida  Entrega]]</f>
        <v>-1</v>
      </c>
      <c r="P1252" s="98" t="str">
        <f>IF(TAB_OFICINAS[[#This Row],[Dias Para Entrega]]&lt;=0,"Em dia","Dia de Atrasado")</f>
        <v>Em dia</v>
      </c>
      <c r="Q1252" s="24">
        <f>IFERROR(TAB_OFICINAS[[#This Row],[Qtd pçs Enviadas]]-TAB_OFICINAS[[#This Row],[Qtd pçs Retornadas ]],"N/D ")</f>
        <v>0</v>
      </c>
      <c r="R1252" s="24"/>
      <c r="S1252" s="5">
        <v>3504</v>
      </c>
      <c r="T1252" s="5">
        <v>76</v>
      </c>
      <c r="U1252" s="11">
        <v>4</v>
      </c>
      <c r="V1252" s="25">
        <f>IFERROR(TAB_OFICINAS[[#This Row],[Valor Unit]]*TAB_OFICINAS[[#This Row],[Qtd pçs Enviadas]]," ")</f>
        <v>400</v>
      </c>
      <c r="W1252" s="26">
        <f>TAB_OFICINAS[[#This Row],[Data Retorno Produção]]+9</f>
        <v>46324</v>
      </c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3:26" ht="14.25" customHeight="1" x14ac:dyDescent="0.25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ref="N1253:N1315" ca="1" si="4">TODAY()</f>
        <v>46317</v>
      </c>
      <c r="O1253" s="23">
        <f ca="1">TAB_OFICINAS[[#This Row],[Data Retorno Produção]]-TAB_OFICINAS[[#This Row],[Data Prometida  Entrega]]</f>
        <v>46317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3:26" ht="14.25" customHeight="1" x14ac:dyDescent="0.25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4"/>
        <v>46317</v>
      </c>
      <c r="O1254" s="23">
        <f ca="1">TAB_OFICINAS[[#This Row],[Data Retorno Produção]]-TAB_OFICINAS[[#This Row],[Data Prometida  Entrega]]</f>
        <v>46317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X1254" s="17" t="s">
        <v>6251</v>
      </c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3:26" ht="14.25" customHeight="1" x14ac:dyDescent="0.25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4"/>
        <v>46317</v>
      </c>
      <c r="O1255" s="23">
        <f ca="1">TAB_OFICINAS[[#This Row],[Data Retorno Produção]]-TAB_OFICINAS[[#This Row],[Data Prometida  Entrega]]</f>
        <v>46317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X1255" s="17" t="s">
        <v>6251</v>
      </c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3:26" ht="14.25" customHeight="1" x14ac:dyDescent="0.25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4"/>
        <v>46317</v>
      </c>
      <c r="O1256" s="23">
        <f ca="1">TAB_OFICINAS[[#This Row],[Data Retorno Produção]]-TAB_OFICINAS[[#This Row],[Data Prometida  Entrega]]</f>
        <v>46317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X1256" s="17" t="s">
        <v>6251</v>
      </c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3:26" ht="14.25" customHeight="1" x14ac:dyDescent="0.25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4"/>
        <v>46317</v>
      </c>
      <c r="O1257" s="23">
        <f ca="1">TAB_OFICINAS[[#This Row],[Data Retorno Produção]]-TAB_OFICINAS[[#This Row],[Data Prometida  Entrega]]</f>
        <v>46317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X1257" s="17" t="s">
        <v>6251</v>
      </c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3:26" ht="14.25" customHeight="1" x14ac:dyDescent="0.25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4"/>
        <v>46317</v>
      </c>
      <c r="O1258" s="23">
        <f ca="1">TAB_OFICINAS[[#This Row],[Data Retorno Produção]]-TAB_OFICINAS[[#This Row],[Data Prometida  Entrega]]</f>
        <v>46317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X1258" s="17" t="s">
        <v>6251</v>
      </c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3:26" ht="14.25" customHeight="1" x14ac:dyDescent="0.25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4"/>
        <v>46317</v>
      </c>
      <c r="O1259" s="23">
        <f ca="1">TAB_OFICINAS[[#This Row],[Data Retorno Produção]]-TAB_OFICINAS[[#This Row],[Data Prometida  Entrega]]</f>
        <v>46317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X1259" s="17" t="s">
        <v>6251</v>
      </c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3:26" ht="14.25" customHeight="1" x14ac:dyDescent="0.25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4"/>
        <v>46317</v>
      </c>
      <c r="O1260" s="23">
        <f ca="1">TAB_OFICINAS[[#This Row],[Data Retorno Produção]]-TAB_OFICINAS[[#This Row],[Data Prometida  Entrega]]</f>
        <v>46317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X1260" s="17" t="s">
        <v>6251</v>
      </c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3:26" ht="14.25" customHeight="1" x14ac:dyDescent="0.25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4"/>
        <v>46317</v>
      </c>
      <c r="O1261" s="23">
        <f ca="1">TAB_OFICINAS[[#This Row],[Data Retorno Produção]]-TAB_OFICINAS[[#This Row],[Data Prometida  Entrega]]</f>
        <v>46317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X1261" s="17" t="s">
        <v>6251</v>
      </c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3:26" ht="14.25" customHeight="1" x14ac:dyDescent="0.25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4"/>
        <v>46317</v>
      </c>
      <c r="O1262" s="23">
        <f ca="1">TAB_OFICINAS[[#This Row],[Data Retorno Produção]]-TAB_OFICINAS[[#This Row],[Data Prometida  Entrega]]</f>
        <v>46317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X1262" s="17" t="s">
        <v>6251</v>
      </c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3:26" ht="14.25" customHeight="1" x14ac:dyDescent="0.25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4"/>
        <v>46317</v>
      </c>
      <c r="O1263" s="23">
        <f ca="1">TAB_OFICINAS[[#This Row],[Data Retorno Produção]]-TAB_OFICINAS[[#This Row],[Data Prometida  Entrega]]</f>
        <v>46317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X1263" s="17" t="s">
        <v>6251</v>
      </c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3:26" ht="14.25" customHeight="1" x14ac:dyDescent="0.25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4"/>
        <v>46317</v>
      </c>
      <c r="O1264" s="23">
        <f ca="1">TAB_OFICINAS[[#This Row],[Data Retorno Produção]]-TAB_OFICINAS[[#This Row],[Data Prometida  Entrega]]</f>
        <v>46317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X1264" s="17" t="s">
        <v>6251</v>
      </c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t="14.25" customHeight="1" x14ac:dyDescent="0.25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4"/>
        <v>46317</v>
      </c>
      <c r="O1265" s="23">
        <f ca="1">TAB_OFICINAS[[#This Row],[Data Retorno Produção]]-TAB_OFICINAS[[#This Row],[Data Prometida  Entrega]]</f>
        <v>46317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X1265" s="17" t="s">
        <v>6251</v>
      </c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t="14.25" customHeight="1" x14ac:dyDescent="0.25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4"/>
        <v>46317</v>
      </c>
      <c r="O1266" s="23">
        <f ca="1">TAB_OFICINAS[[#This Row],[Data Retorno Produção]]-TAB_OFICINAS[[#This Row],[Data Prometida  Entrega]]</f>
        <v>46317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X1266" s="17" t="s">
        <v>6251</v>
      </c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t="14.25" customHeight="1" x14ac:dyDescent="0.25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4"/>
        <v>46317</v>
      </c>
      <c r="O1267" s="23">
        <f ca="1">TAB_OFICINAS[[#This Row],[Data Retorno Produção]]-TAB_OFICINAS[[#This Row],[Data Prometida  Entrega]]</f>
        <v>46317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X1267" s="17" t="s">
        <v>6251</v>
      </c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t="14.25" customHeight="1" x14ac:dyDescent="0.25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4"/>
        <v>46317</v>
      </c>
      <c r="O1268" s="23">
        <f ca="1">TAB_OFICINAS[[#This Row],[Data Retorno Produção]]-TAB_OFICINAS[[#This Row],[Data Prometida  Entrega]]</f>
        <v>46317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X1268" s="17" t="s">
        <v>6251</v>
      </c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t="14.25" customHeight="1" x14ac:dyDescent="0.25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4"/>
        <v>46317</v>
      </c>
      <c r="O1269" s="23">
        <f ca="1">TAB_OFICINAS[[#This Row],[Data Retorno Produção]]-TAB_OFICINAS[[#This Row],[Data Prometida  Entrega]]</f>
        <v>46317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X1269" s="17" t="s">
        <v>6251</v>
      </c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t="14.25" customHeight="1" x14ac:dyDescent="0.25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4"/>
        <v>46317</v>
      </c>
      <c r="O1270" s="23">
        <f ca="1">TAB_OFICINAS[[#This Row],[Data Retorno Produção]]-TAB_OFICINAS[[#This Row],[Data Prometida  Entrega]]</f>
        <v>46317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X1270" s="17" t="s">
        <v>6251</v>
      </c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t="14.25" customHeight="1" x14ac:dyDescent="0.25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4"/>
        <v>46317</v>
      </c>
      <c r="O1271" s="23">
        <f ca="1">TAB_OFICINAS[[#This Row],[Data Retorno Produção]]-TAB_OFICINAS[[#This Row],[Data Prometida  Entrega]]</f>
        <v>46317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X1271" s="17" t="s">
        <v>6251</v>
      </c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t="14.25" customHeight="1" x14ac:dyDescent="0.25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4"/>
        <v>46317</v>
      </c>
      <c r="O1272" s="23">
        <f ca="1">TAB_OFICINAS[[#This Row],[Data Retorno Produção]]-TAB_OFICINAS[[#This Row],[Data Prometida  Entrega]]</f>
        <v>46317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X1272" s="17" t="s">
        <v>6251</v>
      </c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t="14.25" customHeight="1" x14ac:dyDescent="0.25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4"/>
        <v>46317</v>
      </c>
      <c r="O1273" s="23">
        <f ca="1">TAB_OFICINAS[[#This Row],[Data Retorno Produção]]-TAB_OFICINAS[[#This Row],[Data Prometida  Entrega]]</f>
        <v>46317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X1273" s="17" t="s">
        <v>6251</v>
      </c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t="14.25" customHeight="1" x14ac:dyDescent="0.25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4"/>
        <v>46317</v>
      </c>
      <c r="O1274" s="23">
        <f ca="1">TAB_OFICINAS[[#This Row],[Data Retorno Produção]]-TAB_OFICINAS[[#This Row],[Data Prometida  Entrega]]</f>
        <v>46317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X1274" s="17" t="s">
        <v>6251</v>
      </c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t="14.25" customHeight="1" x14ac:dyDescent="0.25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4"/>
        <v>46317</v>
      </c>
      <c r="O1275" s="23">
        <f ca="1">TAB_OFICINAS[[#This Row],[Data Retorno Produção]]-TAB_OFICINAS[[#This Row],[Data Prometida  Entrega]]</f>
        <v>46317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X1275" s="17" t="s">
        <v>6251</v>
      </c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t="14.25" customHeight="1" x14ac:dyDescent="0.25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4"/>
        <v>46317</v>
      </c>
      <c r="O1276" s="23">
        <f ca="1">TAB_OFICINAS[[#This Row],[Data Retorno Produção]]-TAB_OFICINAS[[#This Row],[Data Prometida  Entrega]]</f>
        <v>46317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X1276" s="17" t="s">
        <v>6251</v>
      </c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t="14.25" customHeight="1" x14ac:dyDescent="0.25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4"/>
        <v>46317</v>
      </c>
      <c r="O1277" s="23">
        <f ca="1">TAB_OFICINAS[[#This Row],[Data Retorno Produção]]-TAB_OFICINAS[[#This Row],[Data Prometida  Entrega]]</f>
        <v>46317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X1277" s="17" t="s">
        <v>6251</v>
      </c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t="14.25" customHeight="1" x14ac:dyDescent="0.25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4"/>
        <v>46317</v>
      </c>
      <c r="O1278" s="23">
        <f ca="1">TAB_OFICINAS[[#This Row],[Data Retorno Produção]]-TAB_OFICINAS[[#This Row],[Data Prometida  Entrega]]</f>
        <v>46317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X1278" s="17" t="s">
        <v>6251</v>
      </c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t="14.25" customHeight="1" x14ac:dyDescent="0.25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4"/>
        <v>46317</v>
      </c>
      <c r="O1279" s="23">
        <f ca="1">TAB_OFICINAS[[#This Row],[Data Retorno Produção]]-TAB_OFICINAS[[#This Row],[Data Prometida  Entrega]]</f>
        <v>46317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X1279" s="17" t="s">
        <v>6251</v>
      </c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t="14.25" customHeight="1" x14ac:dyDescent="0.25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4"/>
        <v>46317</v>
      </c>
      <c r="O1280" s="23">
        <f ca="1">TAB_OFICINAS[[#This Row],[Data Retorno Produção]]-TAB_OFICINAS[[#This Row],[Data Prometida  Entrega]]</f>
        <v>46317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X1280" s="17" t="s">
        <v>6251</v>
      </c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t="14.25" customHeight="1" x14ac:dyDescent="0.25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4"/>
        <v>46317</v>
      </c>
      <c r="O1281" s="23">
        <f ca="1">TAB_OFICINAS[[#This Row],[Data Retorno Produção]]-TAB_OFICINAS[[#This Row],[Data Prometida  Entrega]]</f>
        <v>46317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X1281" s="17" t="s">
        <v>6251</v>
      </c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t="14.25" customHeight="1" x14ac:dyDescent="0.25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4"/>
        <v>46317</v>
      </c>
      <c r="O1282" s="23">
        <f ca="1">TAB_OFICINAS[[#This Row],[Data Retorno Produção]]-TAB_OFICINAS[[#This Row],[Data Prometida  Entrega]]</f>
        <v>46317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X1282" s="17" t="s">
        <v>6251</v>
      </c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t="14.25" customHeight="1" x14ac:dyDescent="0.25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4"/>
        <v>46317</v>
      </c>
      <c r="O1283" s="23">
        <f ca="1">TAB_OFICINAS[[#This Row],[Data Retorno Produção]]-TAB_OFICINAS[[#This Row],[Data Prometida  Entrega]]</f>
        <v>46317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X1283" s="17" t="s">
        <v>6251</v>
      </c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t="14.25" customHeight="1" x14ac:dyDescent="0.25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4"/>
        <v>46317</v>
      </c>
      <c r="O1284" s="23">
        <f ca="1">TAB_OFICINAS[[#This Row],[Data Retorno Produção]]-TAB_OFICINAS[[#This Row],[Data Prometida  Entrega]]</f>
        <v>46317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X1284" s="17" t="s">
        <v>6251</v>
      </c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t="14.25" customHeight="1" x14ac:dyDescent="0.25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4"/>
        <v>46317</v>
      </c>
      <c r="O1285" s="23">
        <f ca="1">TAB_OFICINAS[[#This Row],[Data Retorno Produção]]-TAB_OFICINAS[[#This Row],[Data Prometida  Entrega]]</f>
        <v>46317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X1285" s="17" t="s">
        <v>6251</v>
      </c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t="14.25" customHeight="1" x14ac:dyDescent="0.25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4"/>
        <v>46317</v>
      </c>
      <c r="O1286" s="23">
        <f ca="1">TAB_OFICINAS[[#This Row],[Data Retorno Produção]]-TAB_OFICINAS[[#This Row],[Data Prometida  Entrega]]</f>
        <v>46317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X1286" s="17" t="s">
        <v>6251</v>
      </c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t="14.25" customHeight="1" x14ac:dyDescent="0.25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4"/>
        <v>46317</v>
      </c>
      <c r="O1287" s="23">
        <f ca="1">TAB_OFICINAS[[#This Row],[Data Retorno Produção]]-TAB_OFICINAS[[#This Row],[Data Prometida  Entrega]]</f>
        <v>46317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X1287" s="17" t="s">
        <v>6251</v>
      </c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t="14.25" customHeight="1" x14ac:dyDescent="0.25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4"/>
        <v>46317</v>
      </c>
      <c r="O1288" s="23">
        <f ca="1">TAB_OFICINAS[[#This Row],[Data Retorno Produção]]-TAB_OFICINAS[[#This Row],[Data Prometida  Entrega]]</f>
        <v>46317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X1288" s="17" t="s">
        <v>6251</v>
      </c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t="14.25" customHeight="1" x14ac:dyDescent="0.25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4"/>
        <v>46317</v>
      </c>
      <c r="O1289" s="23">
        <f ca="1">TAB_OFICINAS[[#This Row],[Data Retorno Produção]]-TAB_OFICINAS[[#This Row],[Data Prometida  Entrega]]</f>
        <v>46317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X1289" s="17" t="s">
        <v>6251</v>
      </c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t="14.25" customHeight="1" x14ac:dyDescent="0.25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4"/>
        <v>46317</v>
      </c>
      <c r="O1290" s="23">
        <f ca="1">TAB_OFICINAS[[#This Row],[Data Retorno Produção]]-TAB_OFICINAS[[#This Row],[Data Prometida  Entrega]]</f>
        <v>46317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X1290" s="17" t="s">
        <v>6251</v>
      </c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t="14.25" customHeight="1" x14ac:dyDescent="0.25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4"/>
        <v>46317</v>
      </c>
      <c r="O1291" s="23">
        <f ca="1">TAB_OFICINAS[[#This Row],[Data Retorno Produção]]-TAB_OFICINAS[[#This Row],[Data Prometida  Entrega]]</f>
        <v>46317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X1291" s="17" t="s">
        <v>6251</v>
      </c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t="14.25" customHeight="1" x14ac:dyDescent="0.25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4"/>
        <v>46317</v>
      </c>
      <c r="O1292" s="23">
        <f ca="1">TAB_OFICINAS[[#This Row],[Data Retorno Produção]]-TAB_OFICINAS[[#This Row],[Data Prometida  Entrega]]</f>
        <v>46317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X1292" s="17" t="s">
        <v>6251</v>
      </c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t="14.25" customHeight="1" x14ac:dyDescent="0.25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4"/>
        <v>46317</v>
      </c>
      <c r="O1293" s="23">
        <f ca="1">TAB_OFICINAS[[#This Row],[Data Retorno Produção]]-TAB_OFICINAS[[#This Row],[Data Prometida  Entrega]]</f>
        <v>46317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X1293" s="17" t="s">
        <v>6251</v>
      </c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t="14.25" customHeight="1" x14ac:dyDescent="0.25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4"/>
        <v>46317</v>
      </c>
      <c r="O1294" s="23">
        <f ca="1">TAB_OFICINAS[[#This Row],[Data Retorno Produção]]-TAB_OFICINAS[[#This Row],[Data Prometida  Entrega]]</f>
        <v>46317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X1294" s="17" t="s">
        <v>6251</v>
      </c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t="14.25" customHeight="1" x14ac:dyDescent="0.25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4"/>
        <v>46317</v>
      </c>
      <c r="O1295" s="23">
        <f ca="1">TAB_OFICINAS[[#This Row],[Data Retorno Produção]]-TAB_OFICINAS[[#This Row],[Data Prometida  Entrega]]</f>
        <v>46317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X1295" s="17" t="s">
        <v>6251</v>
      </c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t="14.25" customHeight="1" x14ac:dyDescent="0.25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4"/>
        <v>46317</v>
      </c>
      <c r="O1296" s="23">
        <f ca="1">TAB_OFICINAS[[#This Row],[Data Retorno Produção]]-TAB_OFICINAS[[#This Row],[Data Prometida  Entrega]]</f>
        <v>46317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X1296" s="17" t="s">
        <v>6251</v>
      </c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t="14.25" customHeight="1" x14ac:dyDescent="0.25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4"/>
        <v>46317</v>
      </c>
      <c r="O1297" s="23">
        <f ca="1">TAB_OFICINAS[[#This Row],[Data Retorno Produção]]-TAB_OFICINAS[[#This Row],[Data Prometida  Entrega]]</f>
        <v>46317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X1297" s="17" t="s">
        <v>6251</v>
      </c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t="14.25" customHeight="1" x14ac:dyDescent="0.25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4"/>
        <v>46317</v>
      </c>
      <c r="O1298" s="23">
        <f ca="1">TAB_OFICINAS[[#This Row],[Data Retorno Produção]]-TAB_OFICINAS[[#This Row],[Data Prometida  Entrega]]</f>
        <v>46317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X1298" s="17" t="s">
        <v>6251</v>
      </c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t="14.25" customHeight="1" x14ac:dyDescent="0.25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4"/>
        <v>46317</v>
      </c>
      <c r="O1299" s="23">
        <f ca="1">TAB_OFICINAS[[#This Row],[Data Retorno Produção]]-TAB_OFICINAS[[#This Row],[Data Prometida  Entrega]]</f>
        <v>46317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X1299" s="17" t="s">
        <v>6251</v>
      </c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t="14.25" customHeight="1" x14ac:dyDescent="0.25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4"/>
        <v>46317</v>
      </c>
      <c r="O1300" s="23">
        <f ca="1">TAB_OFICINAS[[#This Row],[Data Retorno Produção]]-TAB_OFICINAS[[#This Row],[Data Prometida  Entrega]]</f>
        <v>46317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X1300" s="17" t="s">
        <v>6251</v>
      </c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t="14.25" customHeight="1" x14ac:dyDescent="0.25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4"/>
        <v>46317</v>
      </c>
      <c r="O1301" s="23">
        <f ca="1">TAB_OFICINAS[[#This Row],[Data Retorno Produção]]-TAB_OFICINAS[[#This Row],[Data Prometida  Entrega]]</f>
        <v>46317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X1301" s="17" t="s">
        <v>6251</v>
      </c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t="14.25" customHeight="1" x14ac:dyDescent="0.25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4"/>
        <v>46317</v>
      </c>
      <c r="O1302" s="23">
        <f ca="1">TAB_OFICINAS[[#This Row],[Data Retorno Produção]]-TAB_OFICINAS[[#This Row],[Data Prometida  Entrega]]</f>
        <v>46317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X1302" s="17" t="s">
        <v>6251</v>
      </c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t="14.25" customHeight="1" x14ac:dyDescent="0.25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4"/>
        <v>46317</v>
      </c>
      <c r="O1303" s="23">
        <f ca="1">TAB_OFICINAS[[#This Row],[Data Retorno Produção]]-TAB_OFICINAS[[#This Row],[Data Prometida  Entrega]]</f>
        <v>46317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X1303" s="17" t="s">
        <v>6251</v>
      </c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t="14.25" customHeight="1" x14ac:dyDescent="0.25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4"/>
        <v>46317</v>
      </c>
      <c r="O1304" s="23">
        <f ca="1">TAB_OFICINAS[[#This Row],[Data Retorno Produção]]-TAB_OFICINAS[[#This Row],[Data Prometida  Entrega]]</f>
        <v>46317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X1304" s="17" t="s">
        <v>6251</v>
      </c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t="14.25" customHeight="1" x14ac:dyDescent="0.25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4"/>
        <v>46317</v>
      </c>
      <c r="O1305" s="23">
        <f ca="1">TAB_OFICINAS[[#This Row],[Data Retorno Produção]]-TAB_OFICINAS[[#This Row],[Data Prometida  Entrega]]</f>
        <v>46317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X1305" s="17" t="s">
        <v>6251</v>
      </c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t="14.25" customHeight="1" x14ac:dyDescent="0.25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4"/>
        <v>46317</v>
      </c>
      <c r="O1306" s="23">
        <f ca="1">TAB_OFICINAS[[#This Row],[Data Retorno Produção]]-TAB_OFICINAS[[#This Row],[Data Prometida  Entrega]]</f>
        <v>46317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X1306" s="17" t="s">
        <v>6251</v>
      </c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t="14.25" customHeight="1" x14ac:dyDescent="0.25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4"/>
        <v>46317</v>
      </c>
      <c r="O1307" s="23">
        <f ca="1">TAB_OFICINAS[[#This Row],[Data Retorno Produção]]-TAB_OFICINAS[[#This Row],[Data Prometida  Entrega]]</f>
        <v>46317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X1307" s="17" t="s">
        <v>6251</v>
      </c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t="14.25" customHeight="1" x14ac:dyDescent="0.25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4"/>
        <v>46317</v>
      </c>
      <c r="O1308" s="23">
        <f ca="1">TAB_OFICINAS[[#This Row],[Data Retorno Produção]]-TAB_OFICINAS[[#This Row],[Data Prometida  Entrega]]</f>
        <v>46317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X1308" s="17" t="s">
        <v>6251</v>
      </c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t="14.25" customHeight="1" x14ac:dyDescent="0.25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4"/>
        <v>46317</v>
      </c>
      <c r="O1309" s="23">
        <f ca="1">TAB_OFICINAS[[#This Row],[Data Retorno Produção]]-TAB_OFICINAS[[#This Row],[Data Prometida  Entrega]]</f>
        <v>46317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X1309" s="17" t="s">
        <v>6251</v>
      </c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t="14.25" customHeight="1" x14ac:dyDescent="0.25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4"/>
        <v>46317</v>
      </c>
      <c r="O1310" s="23">
        <f ca="1">TAB_OFICINAS[[#This Row],[Data Retorno Produção]]-TAB_OFICINAS[[#This Row],[Data Prometida  Entrega]]</f>
        <v>46317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X1310" s="17" t="s">
        <v>6251</v>
      </c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t="14.25" customHeight="1" x14ac:dyDescent="0.25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4"/>
        <v>46317</v>
      </c>
      <c r="O1311" s="23">
        <f ca="1">TAB_OFICINAS[[#This Row],[Data Retorno Produção]]-TAB_OFICINAS[[#This Row],[Data Prometida  Entrega]]</f>
        <v>46317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X1311" s="17" t="s">
        <v>6251</v>
      </c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t="14.25" customHeight="1" x14ac:dyDescent="0.25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4"/>
        <v>46317</v>
      </c>
      <c r="O1312" s="23">
        <f ca="1">TAB_OFICINAS[[#This Row],[Data Retorno Produção]]-TAB_OFICINAS[[#This Row],[Data Prometida  Entrega]]</f>
        <v>46317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X1312" s="17" t="s">
        <v>6251</v>
      </c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t="14.25" customHeight="1" x14ac:dyDescent="0.25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4"/>
        <v>46317</v>
      </c>
      <c r="O1313" s="23">
        <f ca="1">TAB_OFICINAS[[#This Row],[Data Retorno Produção]]-TAB_OFICINAS[[#This Row],[Data Prometida  Entrega]]</f>
        <v>46317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t="14.25" customHeight="1" x14ac:dyDescent="0.25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4"/>
        <v>46317</v>
      </c>
      <c r="O1314" s="23">
        <f ca="1">TAB_OFICINAS[[#This Row],[Data Retorno Produção]]-TAB_OFICINAS[[#This Row],[Data Prometida  Entrega]]</f>
        <v>46317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t="14.25" customHeight="1" x14ac:dyDescent="0.25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ca="1" si="4"/>
        <v>46317</v>
      </c>
      <c r="O1315" s="23">
        <f ca="1">TAB_OFICINAS[[#This Row],[Data Retorno Produção]]-TAB_OFICINAS[[#This Row],[Data Prometida  Entrega]]</f>
        <v>46317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t="14.25" customHeight="1" x14ac:dyDescent="0.25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ref="N1316:N1362" ca="1" si="5">TODAY()</f>
        <v>46317</v>
      </c>
      <c r="O1316" s="23">
        <f ca="1">TAB_OFICINAS[[#This Row],[Data Retorno Produção]]-TAB_OFICINAS[[#This Row],[Data Prometida  Entrega]]</f>
        <v>46317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t="14.25" customHeight="1" x14ac:dyDescent="0.25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5"/>
        <v>46317</v>
      </c>
      <c r="O1317" s="23">
        <f ca="1">TAB_OFICINAS[[#This Row],[Data Retorno Produção]]-TAB_OFICINAS[[#This Row],[Data Prometida  Entrega]]</f>
        <v>46317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t="14.25" customHeight="1" x14ac:dyDescent="0.25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5"/>
        <v>46317</v>
      </c>
      <c r="O1318" s="23">
        <f ca="1">TAB_OFICINAS[[#This Row],[Data Retorno Produção]]-TAB_OFICINAS[[#This Row],[Data Prometida  Entrega]]</f>
        <v>46317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t="14.25" customHeight="1" x14ac:dyDescent="0.25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5"/>
        <v>46317</v>
      </c>
      <c r="O1319" s="23">
        <f ca="1">TAB_OFICINAS[[#This Row],[Data Retorno Produção]]-TAB_OFICINAS[[#This Row],[Data Prometida  Entrega]]</f>
        <v>46317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t="14.25" customHeight="1" x14ac:dyDescent="0.25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5"/>
        <v>46317</v>
      </c>
      <c r="O1320" s="23">
        <f ca="1">TAB_OFICINAS[[#This Row],[Data Retorno Produção]]-TAB_OFICINAS[[#This Row],[Data Prometida  Entrega]]</f>
        <v>46317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t="14.25" customHeight="1" x14ac:dyDescent="0.25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5"/>
        <v>46317</v>
      </c>
      <c r="O1321" s="23">
        <f ca="1">TAB_OFICINAS[[#This Row],[Data Retorno Produção]]-TAB_OFICINAS[[#This Row],[Data Prometida  Entrega]]</f>
        <v>46317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t="14.25" customHeight="1" x14ac:dyDescent="0.25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5"/>
        <v>46317</v>
      </c>
      <c r="O1322" s="23">
        <f ca="1">TAB_OFICINAS[[#This Row],[Data Retorno Produção]]-TAB_OFICINAS[[#This Row],[Data Prometida  Entrega]]</f>
        <v>46317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t="14.25" customHeight="1" x14ac:dyDescent="0.25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5"/>
        <v>46317</v>
      </c>
      <c r="O1323" s="23">
        <f ca="1">TAB_OFICINAS[[#This Row],[Data Retorno Produção]]-TAB_OFICINAS[[#This Row],[Data Prometida  Entrega]]</f>
        <v>46317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t="14.25" customHeight="1" x14ac:dyDescent="0.25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5"/>
        <v>46317</v>
      </c>
      <c r="O1324" s="23">
        <f ca="1">TAB_OFICINAS[[#This Row],[Data Retorno Produção]]-TAB_OFICINAS[[#This Row],[Data Prometida  Entrega]]</f>
        <v>46317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t="14.25" customHeight="1" x14ac:dyDescent="0.25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5"/>
        <v>46317</v>
      </c>
      <c r="O1325" s="23">
        <f ca="1">TAB_OFICINAS[[#This Row],[Data Retorno Produção]]-TAB_OFICINAS[[#This Row],[Data Prometida  Entrega]]</f>
        <v>46317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t="14.25" customHeight="1" x14ac:dyDescent="0.25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5"/>
        <v>46317</v>
      </c>
      <c r="O1326" s="23">
        <f ca="1">TAB_OFICINAS[[#This Row],[Data Retorno Produção]]-TAB_OFICINAS[[#This Row],[Data Prometida  Entrega]]</f>
        <v>46317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t="14.25" customHeight="1" x14ac:dyDescent="0.25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5"/>
        <v>46317</v>
      </c>
      <c r="O1327" s="23">
        <f ca="1">TAB_OFICINAS[[#This Row],[Data Retorno Produção]]-TAB_OFICINAS[[#This Row],[Data Prometida  Entrega]]</f>
        <v>46317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t="14.25" customHeight="1" x14ac:dyDescent="0.25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5"/>
        <v>46317</v>
      </c>
      <c r="O1328" s="23">
        <f ca="1">TAB_OFICINAS[[#This Row],[Data Retorno Produção]]-TAB_OFICINAS[[#This Row],[Data Prometida  Entrega]]</f>
        <v>46317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t="14.25" customHeight="1" x14ac:dyDescent="0.25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5"/>
        <v>46317</v>
      </c>
      <c r="O1329" s="23">
        <f ca="1">TAB_OFICINAS[[#This Row],[Data Retorno Produção]]-TAB_OFICINAS[[#This Row],[Data Prometida  Entrega]]</f>
        <v>46317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t="14.25" customHeight="1" x14ac:dyDescent="0.25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5"/>
        <v>46317</v>
      </c>
      <c r="O1330" s="23">
        <f ca="1">TAB_OFICINAS[[#This Row],[Data Retorno Produção]]-TAB_OFICINAS[[#This Row],[Data Prometida  Entrega]]</f>
        <v>46317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t="14.25" customHeight="1" x14ac:dyDescent="0.25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5"/>
        <v>46317</v>
      </c>
      <c r="O1331" s="23">
        <f ca="1">TAB_OFICINAS[[#This Row],[Data Retorno Produção]]-TAB_OFICINAS[[#This Row],[Data Prometida  Entrega]]</f>
        <v>46317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t="14.25" customHeight="1" x14ac:dyDescent="0.25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5"/>
        <v>46317</v>
      </c>
      <c r="O1332" s="23">
        <f ca="1">TAB_OFICINAS[[#This Row],[Data Retorno Produção]]-TAB_OFICINAS[[#This Row],[Data Prometida  Entrega]]</f>
        <v>46317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t="14.25" customHeight="1" x14ac:dyDescent="0.25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5"/>
        <v>46317</v>
      </c>
      <c r="O1333" s="23">
        <f ca="1">TAB_OFICINAS[[#This Row],[Data Retorno Produção]]-TAB_OFICINAS[[#This Row],[Data Prometida  Entrega]]</f>
        <v>46317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t="14.25" customHeight="1" x14ac:dyDescent="0.25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5"/>
        <v>46317</v>
      </c>
      <c r="O1334" s="23">
        <f ca="1">TAB_OFICINAS[[#This Row],[Data Retorno Produção]]-TAB_OFICINAS[[#This Row],[Data Prometida  Entrega]]</f>
        <v>46317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t="14.25" customHeight="1" x14ac:dyDescent="0.25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5"/>
        <v>46317</v>
      </c>
      <c r="O1335" s="23">
        <f ca="1">TAB_OFICINAS[[#This Row],[Data Retorno Produção]]-TAB_OFICINAS[[#This Row],[Data Prometida  Entrega]]</f>
        <v>46317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t="14.25" customHeight="1" x14ac:dyDescent="0.25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5"/>
        <v>46317</v>
      </c>
      <c r="O1336" s="23">
        <f ca="1">TAB_OFICINAS[[#This Row],[Data Retorno Produção]]-TAB_OFICINAS[[#This Row],[Data Prometida  Entrega]]</f>
        <v>46317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t="14.25" customHeight="1" x14ac:dyDescent="0.25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5"/>
        <v>46317</v>
      </c>
      <c r="O1337" s="23">
        <f ca="1">TAB_OFICINAS[[#This Row],[Data Retorno Produção]]-TAB_OFICINAS[[#This Row],[Data Prometida  Entrega]]</f>
        <v>46317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t="14.25" customHeight="1" x14ac:dyDescent="0.25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5"/>
        <v>46317</v>
      </c>
      <c r="O1338" s="23">
        <f ca="1">TAB_OFICINAS[[#This Row],[Data Retorno Produção]]-TAB_OFICINAS[[#This Row],[Data Prometida  Entrega]]</f>
        <v>46317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t="14.25" customHeight="1" x14ac:dyDescent="0.25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5"/>
        <v>46317</v>
      </c>
      <c r="O1339" s="23">
        <f ca="1">TAB_OFICINAS[[#This Row],[Data Retorno Produção]]-TAB_OFICINAS[[#This Row],[Data Prometida  Entrega]]</f>
        <v>46317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t="14.25" customHeight="1" x14ac:dyDescent="0.25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5"/>
        <v>46317</v>
      </c>
      <c r="O1340" s="23">
        <f ca="1">TAB_OFICINAS[[#This Row],[Data Retorno Produção]]-TAB_OFICINAS[[#This Row],[Data Prometida  Entrega]]</f>
        <v>46317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t="14.25" customHeight="1" x14ac:dyDescent="0.25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5"/>
        <v>46317</v>
      </c>
      <c r="O1341" s="23">
        <f ca="1">TAB_OFICINAS[[#This Row],[Data Retorno Produção]]-TAB_OFICINAS[[#This Row],[Data Prometida  Entrega]]</f>
        <v>46317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t="14.25" customHeight="1" x14ac:dyDescent="0.25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5"/>
        <v>46317</v>
      </c>
      <c r="O1342" s="23">
        <f ca="1">TAB_OFICINAS[[#This Row],[Data Retorno Produção]]-TAB_OFICINAS[[#This Row],[Data Prometida  Entrega]]</f>
        <v>46317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t="14.25" customHeight="1" x14ac:dyDescent="0.25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5"/>
        <v>46317</v>
      </c>
      <c r="O1343" s="23">
        <f ca="1">TAB_OFICINAS[[#This Row],[Data Retorno Produção]]-TAB_OFICINAS[[#This Row],[Data Prometida  Entrega]]</f>
        <v>46317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t="14.25" customHeight="1" x14ac:dyDescent="0.25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5"/>
        <v>46317</v>
      </c>
      <c r="O1344" s="23">
        <f ca="1">TAB_OFICINAS[[#This Row],[Data Retorno Produção]]-TAB_OFICINAS[[#This Row],[Data Prometida  Entrega]]</f>
        <v>46317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t="14.25" customHeight="1" x14ac:dyDescent="0.25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5"/>
        <v>46317</v>
      </c>
      <c r="O1345" s="23">
        <f ca="1">TAB_OFICINAS[[#This Row],[Data Retorno Produção]]-TAB_OFICINAS[[#This Row],[Data Prometida  Entrega]]</f>
        <v>46317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t="14.25" customHeight="1" x14ac:dyDescent="0.25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5"/>
        <v>46317</v>
      </c>
      <c r="O1346" s="23">
        <f ca="1">TAB_OFICINAS[[#This Row],[Data Retorno Produção]]-TAB_OFICINAS[[#This Row],[Data Prometida  Entrega]]</f>
        <v>46317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t="14.25" customHeight="1" x14ac:dyDescent="0.25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5"/>
        <v>46317</v>
      </c>
      <c r="O1347" s="23">
        <f ca="1">TAB_OFICINAS[[#This Row],[Data Retorno Produção]]-TAB_OFICINAS[[#This Row],[Data Prometida  Entrega]]</f>
        <v>46317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t="14.25" customHeight="1" x14ac:dyDescent="0.25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5"/>
        <v>46317</v>
      </c>
      <c r="O1348" s="23">
        <f ca="1">TAB_OFICINAS[[#This Row],[Data Retorno Produção]]-TAB_OFICINAS[[#This Row],[Data Prometida  Entrega]]</f>
        <v>46317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t="14.25" customHeight="1" x14ac:dyDescent="0.25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5"/>
        <v>46317</v>
      </c>
      <c r="O1349" s="23">
        <f ca="1">TAB_OFICINAS[[#This Row],[Data Retorno Produção]]-TAB_OFICINAS[[#This Row],[Data Prometida  Entrega]]</f>
        <v>46317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t="14.25" customHeight="1" x14ac:dyDescent="0.25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5"/>
        <v>46317</v>
      </c>
      <c r="O1350" s="23">
        <f ca="1">TAB_OFICINAS[[#This Row],[Data Retorno Produção]]-TAB_OFICINAS[[#This Row],[Data Prometida  Entrega]]</f>
        <v>46317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t="14.25" customHeight="1" x14ac:dyDescent="0.25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5"/>
        <v>46317</v>
      </c>
      <c r="O1351" s="23">
        <f ca="1">TAB_OFICINAS[[#This Row],[Data Retorno Produção]]-TAB_OFICINAS[[#This Row],[Data Prometida  Entrega]]</f>
        <v>46317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t="14.25" customHeight="1" x14ac:dyDescent="0.25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5"/>
        <v>46317</v>
      </c>
      <c r="O1352" s="23">
        <f ca="1">TAB_OFICINAS[[#This Row],[Data Retorno Produção]]-TAB_OFICINAS[[#This Row],[Data Prometida  Entrega]]</f>
        <v>46317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t="14.25" customHeight="1" x14ac:dyDescent="0.25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5"/>
        <v>46317</v>
      </c>
      <c r="O1353" s="23">
        <f ca="1">TAB_OFICINAS[[#This Row],[Data Retorno Produção]]-TAB_OFICINAS[[#This Row],[Data Prometida  Entrega]]</f>
        <v>46317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t="14.25" customHeight="1" x14ac:dyDescent="0.25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5"/>
        <v>46317</v>
      </c>
      <c r="O1354" s="23">
        <f ca="1">TAB_OFICINAS[[#This Row],[Data Retorno Produção]]-TAB_OFICINAS[[#This Row],[Data Prometida  Entrega]]</f>
        <v>46317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t="14.25" customHeight="1" x14ac:dyDescent="0.25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5"/>
        <v>46317</v>
      </c>
      <c r="O1355" s="23">
        <f ca="1">TAB_OFICINAS[[#This Row],[Data Retorno Produção]]-TAB_OFICINAS[[#This Row],[Data Prometida  Entrega]]</f>
        <v>46317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t="14.25" customHeight="1" x14ac:dyDescent="0.25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5"/>
        <v>46317</v>
      </c>
      <c r="O1356" s="23">
        <f ca="1">TAB_OFICINAS[[#This Row],[Data Retorno Produção]]-TAB_OFICINAS[[#This Row],[Data Prometida  Entrega]]</f>
        <v>46317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t="14.25" customHeight="1" x14ac:dyDescent="0.25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5"/>
        <v>46317</v>
      </c>
      <c r="O1357" s="23">
        <f ca="1">TAB_OFICINAS[[#This Row],[Data Retorno Produção]]-TAB_OFICINAS[[#This Row],[Data Prometida  Entrega]]</f>
        <v>46317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t="14.25" customHeight="1" x14ac:dyDescent="0.25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5"/>
        <v>46317</v>
      </c>
      <c r="O1358" s="23">
        <f ca="1">TAB_OFICINAS[[#This Row],[Data Retorno Produção]]-TAB_OFICINAS[[#This Row],[Data Prometida  Entrega]]</f>
        <v>46317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t="14.25" customHeight="1" x14ac:dyDescent="0.25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5"/>
        <v>46317</v>
      </c>
      <c r="O1359" s="23">
        <f ca="1">TAB_OFICINAS[[#This Row],[Data Retorno Produção]]-TAB_OFICINAS[[#This Row],[Data Prometida  Entrega]]</f>
        <v>46317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t="14.25" customHeight="1" x14ac:dyDescent="0.25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5"/>
        <v>46317</v>
      </c>
      <c r="O1360" s="23">
        <f ca="1">TAB_OFICINAS[[#This Row],[Data Retorno Produção]]-TAB_OFICINAS[[#This Row],[Data Prometida  Entrega]]</f>
        <v>46317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t="14.25" customHeight="1" x14ac:dyDescent="0.25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5"/>
        <v>46317</v>
      </c>
      <c r="O1361" s="23">
        <f ca="1">TAB_OFICINAS[[#This Row],[Data Retorno Produção]]-TAB_OFICINAS[[#This Row],[Data Prometida  Entrega]]</f>
        <v>46317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ht="14.25" customHeight="1" x14ac:dyDescent="0.25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I1362" s="28" t="str">
        <f>IFERROR(VLOOKUP(TAB_OFICINAS[[#This Row],[Codigo Produto ]],_000___PEDIDOS_DE_CLIENTES[[Data.Column2]:[Descrição Produto]],2,FALSE)," ")</f>
        <v xml:space="preserve"> </v>
      </c>
      <c r="J1362" s="91"/>
      <c r="K1362" s="88"/>
      <c r="N1362" s="6">
        <f t="shared" ca="1" si="5"/>
        <v>46317</v>
      </c>
      <c r="O1362" s="23">
        <f ca="1">TAB_OFICINAS[[#This Row],[Data Retorno Produção]]-TAB_OFICINAS[[#This Row],[Data Prometida  Entrega]]</f>
        <v>46317</v>
      </c>
      <c r="P1362" s="98" t="str">
        <f ca="1">IF(TAB_OFICINAS[[#This Row],[Dias Para Entrega]]&lt;=0,"Em dia","Dia de Atrasado")</f>
        <v>Dia de Atrasado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t="14.25" customHeight="1" x14ac:dyDescent="0.25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51"/>
      <c r="J1363" s="91"/>
      <c r="K1363" s="88"/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>
        <f>IFERROR(TAB_OFICINAS[[#This Row],[Qtd pçs Enviadas]]-TAB_OFICINAS[[#This Row],[Qtd pçs Retornadas ]],"N/D ")</f>
        <v>0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4" spans="6:26" ht="14.25" customHeight="1" x14ac:dyDescent="0.25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L1364" s="9" t="s">
        <v>23441</v>
      </c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 t="str">
        <f>IFERROR(TAB_OFICINAS[[#This Row],[Qtd pçs Enviadas]]-TAB_OFICINAS[[#This Row],[Qtd pçs Retornadas ]],"N/D ")</f>
        <v xml:space="preserve">N/D 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5" spans="6:26" ht="14.25" customHeight="1" x14ac:dyDescent="0.25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t="14.25" customHeight="1" x14ac:dyDescent="0.25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t="14.25" customHeight="1" x14ac:dyDescent="0.25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t="14.25" customHeight="1" x14ac:dyDescent="0.25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t="14.25" customHeight="1" x14ac:dyDescent="0.25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t="14.25" customHeight="1" x14ac:dyDescent="0.25">
      <c r="F1370" s="28" t="str">
        <f>IFERROR(VLOOKUP(TAB_OFICINAS[[#This Row],[Cliente]],LISTA_DE_CLIENTES[[Código]:[Nome Fantasia]],2,FALSE),"")</f>
        <v/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t="14.25" customHeight="1" x14ac:dyDescent="0.25">
      <c r="F1371" s="28" t="s">
        <v>21395</v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t="14.25" customHeight="1" x14ac:dyDescent="0.25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t="14.25" customHeight="1" x14ac:dyDescent="0.25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t="14.25" customHeight="1" x14ac:dyDescent="0.25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t="14.25" customHeight="1" x14ac:dyDescent="0.25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t="14.25" customHeight="1" x14ac:dyDescent="0.25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t="14.25" customHeight="1" x14ac:dyDescent="0.25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t="14.25" customHeight="1" x14ac:dyDescent="0.25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t="14.25" customHeight="1" x14ac:dyDescent="0.25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t="14.25" customHeight="1" x14ac:dyDescent="0.25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t="14.25" customHeight="1" x14ac:dyDescent="0.25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t="14.25" customHeight="1" x14ac:dyDescent="0.25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I1382" s="28" t="s">
        <v>21395</v>
      </c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t="14.25" customHeight="1" x14ac:dyDescent="0.25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t="14.25" customHeight="1" x14ac:dyDescent="0.25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t="14.25" customHeight="1" x14ac:dyDescent="0.25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t="14.25" customHeight="1" x14ac:dyDescent="0.25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t="14.25" customHeight="1" x14ac:dyDescent="0.25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t="14.25" customHeight="1" x14ac:dyDescent="0.25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t="14.25" customHeight="1" x14ac:dyDescent="0.25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t="14.25" customHeight="1" x14ac:dyDescent="0.25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t="14.25" customHeight="1" x14ac:dyDescent="0.25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t="14.25" customHeight="1" x14ac:dyDescent="0.25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t="14.25" customHeight="1" x14ac:dyDescent="0.25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t="14.25" customHeight="1" x14ac:dyDescent="0.25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t="14.25" customHeight="1" x14ac:dyDescent="0.25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t="14.25" customHeight="1" x14ac:dyDescent="0.25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t="14.25" customHeight="1" x14ac:dyDescent="0.25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t="14.25" customHeight="1" x14ac:dyDescent="0.25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t="14.25" customHeight="1" x14ac:dyDescent="0.25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t="14.25" customHeight="1" x14ac:dyDescent="0.25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t="14.25" customHeight="1" x14ac:dyDescent="0.25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t="14.25" customHeight="1" x14ac:dyDescent="0.25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t="14.25" customHeight="1" x14ac:dyDescent="0.25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t="14.25" customHeight="1" x14ac:dyDescent="0.25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t="14.25" customHeight="1" x14ac:dyDescent="0.25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t="14.25" customHeight="1" x14ac:dyDescent="0.25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t="14.25" customHeight="1" x14ac:dyDescent="0.25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t="14.25" customHeight="1" x14ac:dyDescent="0.25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t="14.25" customHeight="1" x14ac:dyDescent="0.25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t="14.25" customHeight="1" x14ac:dyDescent="0.25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t="14.25" customHeight="1" x14ac:dyDescent="0.25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t="14.25" customHeight="1" x14ac:dyDescent="0.25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t="14.25" customHeight="1" x14ac:dyDescent="0.25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t="14.25" customHeight="1" x14ac:dyDescent="0.25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t="14.25" customHeight="1" x14ac:dyDescent="0.25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t="14.25" customHeight="1" x14ac:dyDescent="0.25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t="14.25" customHeight="1" x14ac:dyDescent="0.25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t="14.25" customHeight="1" x14ac:dyDescent="0.25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t="14.25" customHeight="1" x14ac:dyDescent="0.25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t="14.25" customHeight="1" x14ac:dyDescent="0.25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t="14.25" customHeight="1" x14ac:dyDescent="0.25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t="14.25" customHeight="1" x14ac:dyDescent="0.25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t="14.25" customHeight="1" x14ac:dyDescent="0.25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t="14.25" customHeight="1" x14ac:dyDescent="0.25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t="14.25" customHeight="1" x14ac:dyDescent="0.25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t="14.25" customHeight="1" x14ac:dyDescent="0.25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t="14.25" customHeight="1" x14ac:dyDescent="0.25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t="14.25" customHeight="1" x14ac:dyDescent="0.25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t="14.25" customHeight="1" x14ac:dyDescent="0.25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t="14.25" customHeight="1" x14ac:dyDescent="0.25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t="14.25" customHeight="1" x14ac:dyDescent="0.25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t="14.25" customHeight="1" x14ac:dyDescent="0.25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t="14.25" customHeight="1" x14ac:dyDescent="0.25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t="14.25" customHeight="1" x14ac:dyDescent="0.25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t="14.25" customHeight="1" x14ac:dyDescent="0.25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t="14.25" customHeight="1" x14ac:dyDescent="0.25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t="14.25" customHeight="1" x14ac:dyDescent="0.25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t="14.25" customHeight="1" x14ac:dyDescent="0.25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t="14.25" customHeight="1" x14ac:dyDescent="0.25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t="14.25" customHeight="1" x14ac:dyDescent="0.25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t="14.25" customHeight="1" x14ac:dyDescent="0.25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t="14.25" customHeight="1" x14ac:dyDescent="0.25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t="14.25" customHeight="1" x14ac:dyDescent="0.25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t="14.25" customHeight="1" x14ac:dyDescent="0.25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t="14.25" customHeight="1" x14ac:dyDescent="0.25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t="14.25" customHeight="1" x14ac:dyDescent="0.25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t="14.25" customHeight="1" x14ac:dyDescent="0.25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t="14.25" customHeight="1" x14ac:dyDescent="0.25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t="14.25" customHeight="1" x14ac:dyDescent="0.25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t="14.25" customHeight="1" x14ac:dyDescent="0.25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t="14.25" customHeight="1" x14ac:dyDescent="0.25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t="14.25" customHeight="1" x14ac:dyDescent="0.25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t="14.25" customHeight="1" x14ac:dyDescent="0.25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t="14.25" customHeight="1" x14ac:dyDescent="0.25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t="14.25" customHeight="1" x14ac:dyDescent="0.25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t="14.25" customHeight="1" x14ac:dyDescent="0.25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t="14.25" customHeight="1" x14ac:dyDescent="0.25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t="14.25" customHeight="1" x14ac:dyDescent="0.25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t="14.25" customHeight="1" x14ac:dyDescent="0.25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t="14.25" customHeight="1" x14ac:dyDescent="0.25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t="14.25" customHeight="1" x14ac:dyDescent="0.25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t="14.25" customHeight="1" x14ac:dyDescent="0.25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t="14.25" customHeight="1" x14ac:dyDescent="0.25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t="14.25" customHeight="1" x14ac:dyDescent="0.25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t="14.25" customHeight="1" x14ac:dyDescent="0.25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t="14.25" customHeight="1" x14ac:dyDescent="0.25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t="14.25" customHeight="1" x14ac:dyDescent="0.25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t="14.25" customHeight="1" x14ac:dyDescent="0.25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t="14.25" customHeight="1" x14ac:dyDescent="0.25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t="14.25" customHeight="1" x14ac:dyDescent="0.25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t="14.25" customHeight="1" x14ac:dyDescent="0.25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t="14.25" customHeight="1" x14ac:dyDescent="0.25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t="14.25" customHeight="1" x14ac:dyDescent="0.25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t="14.25" customHeight="1" x14ac:dyDescent="0.25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t="14.25" customHeight="1" x14ac:dyDescent="0.25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t="14.25" customHeight="1" x14ac:dyDescent="0.25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t="14.25" customHeight="1" x14ac:dyDescent="0.25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t="14.25" customHeight="1" x14ac:dyDescent="0.25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t="14.25" customHeight="1" x14ac:dyDescent="0.25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t="14.25" customHeight="1" x14ac:dyDescent="0.25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t="14.25" customHeight="1" x14ac:dyDescent="0.25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t="14.25" customHeight="1" x14ac:dyDescent="0.25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t="14.25" customHeight="1" x14ac:dyDescent="0.25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t="14.25" customHeight="1" x14ac:dyDescent="0.25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t="14.25" customHeight="1" x14ac:dyDescent="0.25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t="14.25" customHeight="1" x14ac:dyDescent="0.25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t="14.25" customHeight="1" x14ac:dyDescent="0.25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t="14.25" customHeight="1" x14ac:dyDescent="0.25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t="14.25" customHeight="1" x14ac:dyDescent="0.25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t="14.25" customHeight="1" x14ac:dyDescent="0.25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t="14.25" customHeight="1" x14ac:dyDescent="0.25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t="14.25" customHeight="1" x14ac:dyDescent="0.25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t="14.25" customHeight="1" x14ac:dyDescent="0.25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t="14.25" customHeight="1" x14ac:dyDescent="0.25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t="14.25" customHeight="1" x14ac:dyDescent="0.25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t="14.25" customHeight="1" x14ac:dyDescent="0.25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t="14.25" customHeight="1" x14ac:dyDescent="0.25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t="14.25" customHeight="1" x14ac:dyDescent="0.25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t="14.25" customHeight="1" x14ac:dyDescent="0.25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t="14.25" customHeight="1" x14ac:dyDescent="0.25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t="14.25" customHeight="1" x14ac:dyDescent="0.25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t="14.25" customHeight="1" x14ac:dyDescent="0.25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t="14.25" customHeight="1" x14ac:dyDescent="0.25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t="14.25" customHeight="1" x14ac:dyDescent="0.25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t="14.25" customHeight="1" x14ac:dyDescent="0.25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t="14.25" customHeight="1" x14ac:dyDescent="0.25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t="14.25" customHeight="1" x14ac:dyDescent="0.25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t="14.25" customHeight="1" x14ac:dyDescent="0.25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t="14.25" customHeight="1" x14ac:dyDescent="0.25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t="14.25" customHeight="1" x14ac:dyDescent="0.25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t="14.25" customHeight="1" x14ac:dyDescent="0.25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t="14.25" customHeight="1" x14ac:dyDescent="0.25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t="14.25" customHeight="1" x14ac:dyDescent="0.25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t="14.25" customHeight="1" x14ac:dyDescent="0.25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t="14.25" customHeight="1" x14ac:dyDescent="0.25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t="14.25" customHeight="1" x14ac:dyDescent="0.25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t="14.25" customHeight="1" x14ac:dyDescent="0.25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t="14.25" customHeight="1" x14ac:dyDescent="0.25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t="14.25" customHeight="1" x14ac:dyDescent="0.25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t="14.25" customHeight="1" x14ac:dyDescent="0.25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t="14.25" customHeight="1" x14ac:dyDescent="0.25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t="14.25" customHeight="1" x14ac:dyDescent="0.25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t="14.25" customHeight="1" x14ac:dyDescent="0.25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t="14.25" customHeight="1" x14ac:dyDescent="0.25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t="14.25" customHeight="1" x14ac:dyDescent="0.25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t="14.25" customHeight="1" x14ac:dyDescent="0.25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t="14.25" customHeight="1" x14ac:dyDescent="0.25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t="14.25" customHeight="1" x14ac:dyDescent="0.25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t="14.25" customHeight="1" x14ac:dyDescent="0.25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t="14.25" customHeight="1" x14ac:dyDescent="0.25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t="14.25" customHeight="1" x14ac:dyDescent="0.25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t="14.25" customHeight="1" x14ac:dyDescent="0.25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t="14.25" customHeight="1" x14ac:dyDescent="0.25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t="14.25" customHeight="1" x14ac:dyDescent="0.25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t="14.25" customHeight="1" x14ac:dyDescent="0.25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t="14.25" customHeight="1" x14ac:dyDescent="0.25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t="14.25" customHeight="1" x14ac:dyDescent="0.25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t="14.25" customHeight="1" x14ac:dyDescent="0.25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t="14.25" customHeight="1" x14ac:dyDescent="0.25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t="14.25" customHeight="1" x14ac:dyDescent="0.25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t="14.25" customHeight="1" x14ac:dyDescent="0.25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t="14.25" customHeight="1" x14ac:dyDescent="0.25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t="14.25" customHeight="1" x14ac:dyDescent="0.25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t="14.25" customHeight="1" x14ac:dyDescent="0.25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t="14.25" customHeight="1" x14ac:dyDescent="0.25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t="14.25" customHeight="1" x14ac:dyDescent="0.25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t="14.25" customHeight="1" x14ac:dyDescent="0.25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t="14.25" customHeight="1" x14ac:dyDescent="0.25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t="14.25" customHeight="1" x14ac:dyDescent="0.25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t="14.25" customHeight="1" x14ac:dyDescent="0.25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t="14.25" customHeight="1" x14ac:dyDescent="0.25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t="14.25" customHeight="1" x14ac:dyDescent="0.25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t="14.25" customHeight="1" x14ac:dyDescent="0.25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t="14.25" customHeight="1" x14ac:dyDescent="0.25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t="14.25" customHeight="1" x14ac:dyDescent="0.25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t="14.25" customHeight="1" x14ac:dyDescent="0.25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t="14.25" customHeight="1" x14ac:dyDescent="0.25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t="14.25" customHeight="1" x14ac:dyDescent="0.25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t="14.25" customHeight="1" x14ac:dyDescent="0.25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t="14.25" customHeight="1" x14ac:dyDescent="0.25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t="14.25" customHeight="1" x14ac:dyDescent="0.25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t="14.25" customHeight="1" x14ac:dyDescent="0.25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t="14.25" customHeight="1" x14ac:dyDescent="0.25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t="14.25" customHeight="1" x14ac:dyDescent="0.25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t="14.25" customHeight="1" x14ac:dyDescent="0.25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t="14.25" customHeight="1" x14ac:dyDescent="0.25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t="14.25" customHeight="1" x14ac:dyDescent="0.25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t="14.25" customHeight="1" x14ac:dyDescent="0.25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t="14.25" customHeight="1" x14ac:dyDescent="0.25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t="14.25" customHeight="1" x14ac:dyDescent="0.25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t="14.25" customHeight="1" x14ac:dyDescent="0.25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t="14.25" customHeight="1" x14ac:dyDescent="0.25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t="14.25" customHeight="1" x14ac:dyDescent="0.25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t="14.25" customHeight="1" x14ac:dyDescent="0.25">
      <c r="F1574" s="28" t="str">
        <f>IFERROR(VLOOKUP(TAB_OFICINAS[[#This Row],[Cliente]],LISTA_DE_CLIENTES[[Código]:[Nome Fantasia]],2,FALSE),"")</f>
        <v/>
      </c>
      <c r="G1574" s="2" t="str">
        <f>IFERROR(VLOOKUP(TAB_OFICINAS[[#This Row],[Cliente]],LISTA_DE_CLIENTES[[Código]:[Nome Fantasia]],3,FALSE),"")</f>
        <v/>
      </c>
      <c r="H1574" s="123"/>
      <c r="J1574" s="91"/>
      <c r="K1574" s="88"/>
      <c r="O1574" s="23">
        <f>TAB_OFICINAS[[#This Row],[Data Retorno Produção]]-TAB_OFICINAS[[#This Row],[Data Prometida  Entrega]]</f>
        <v>0</v>
      </c>
      <c r="P1574" s="98" t="str">
        <f>IF(TAB_OFICINAS[[#This Row],[Dias Para Entrega]]&lt;=0,"Em dia","Dia de Atrasado")</f>
        <v>Em dia</v>
      </c>
      <c r="Q1574" s="24">
        <f>IFERROR(TAB_OFICINAS[[#This Row],[Qtd pçs Enviadas]]-TAB_OFICINAS[[#This Row],[Qtd pçs Retornadas ]],"N/D ")</f>
        <v>0</v>
      </c>
      <c r="R1574" s="24"/>
      <c r="U1574" s="11"/>
      <c r="V1574" s="25">
        <f>IFERROR(TAB_OFICINAS[[#This Row],[Valor Unit]]*TAB_OFICINAS[[#This Row],[Qtd pçs Enviadas]]," ")</f>
        <v>0</v>
      </c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t="14.25" customHeight="1" x14ac:dyDescent="0.25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t="14.25" customHeight="1" x14ac:dyDescent="0.25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t="14.25" customHeight="1" x14ac:dyDescent="0.25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t="14.25" customHeight="1" x14ac:dyDescent="0.25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t="14.25" customHeight="1" x14ac:dyDescent="0.25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t="14.25" customHeight="1" x14ac:dyDescent="0.25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t="14.25" customHeight="1" x14ac:dyDescent="0.25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t="14.25" customHeight="1" x14ac:dyDescent="0.25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t="14.25" customHeight="1" x14ac:dyDescent="0.25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t="14.25" customHeight="1" x14ac:dyDescent="0.25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 ht="14.25" customHeight="1" x14ac:dyDescent="0.25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 ht="14.25" customHeight="1" x14ac:dyDescent="0.25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 ht="14.25" customHeight="1" x14ac:dyDescent="0.25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 ht="14.25" customHeight="1" x14ac:dyDescent="0.25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 ht="14.25" customHeight="1" x14ac:dyDescent="0.25">
      <c r="H1589" s="123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0" spans="5:26" ht="14.25" customHeight="1" x14ac:dyDescent="0.25">
      <c r="H1590" s="124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/>
    </row>
    <row r="1591" spans="5:26" ht="14.25" customHeight="1" x14ac:dyDescent="0.25">
      <c r="H1591" s="125"/>
      <c r="J1591" s="91"/>
      <c r="K1591" s="88"/>
      <c r="O1591" s="23"/>
      <c r="P1591" s="98"/>
      <c r="Q1591" s="24"/>
      <c r="R1591" s="24"/>
      <c r="U1591" s="11"/>
      <c r="V1591" s="25"/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 ht="14.25" customHeight="1" x14ac:dyDescent="0.25">
      <c r="G1592" s="2" t="str">
        <f>IFERROR(VLOOKUP(TAB_OFICINAS[[#This Row],[Cliente]],LISTA_DE_CLIENTES[[Código]:[Nome Fantasia]],3,FALSE),"")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 t="str">
        <f>IF(TAB_OFICINAS[[#This Row],[Dias Para Entrega]]&lt;=0,"Em dia","Dia de Atrasado")</f>
        <v>Em dia</v>
      </c>
      <c r="Q1592" s="24">
        <f>IFERROR(TAB_OFICINAS[[#This Row],[Qtd pçs Enviadas]]-TAB_OFICINAS[[#This Row],[Qtd pçs Retornadas ]],"N/D ")</f>
        <v>0</v>
      </c>
      <c r="R1592" s="24"/>
      <c r="U1592" s="11"/>
      <c r="V1592" s="25">
        <f>IFERROR(TAB_OFICINAS[[#This Row],[Valor Unit]]*TAB_OFICINAS[[#This Row],[Qtd pçs Enviadas]]," ")</f>
        <v>0</v>
      </c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 ht="14.25" customHeight="1" x14ac:dyDescent="0.25">
      <c r="F1593" s="28" t="str">
        <f>IFERROR(VLOOKUP(TAB_OFICINAS[[#This Row],[Cliente]],LISTA_DE_CLIENTES[[Código]:[Nome Fantasia]],2,FALSE),"")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/>
      <c r="R1593" s="24"/>
      <c r="U1593" s="11"/>
      <c r="V1593" s="25"/>
      <c r="W1593" s="26"/>
      <c r="Y1593" s="27"/>
      <c r="Z15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4" spans="5:26" ht="14.25" customHeight="1" x14ac:dyDescent="0.25">
      <c r="F1594" s="28" t="str">
        <f>IFERROR(VLOOKUP(TAB_OFICINAS[[#This Row],[Cliente]],LISTA_DE_CLIENTES[[Código]:[Nome Fantasia]],2,FALSE),"")</f>
        <v/>
      </c>
      <c r="G1594" s="2" t="str">
        <f>IFERROR(VLOOKUP(TAB_OFICINAS[[#This Row],[Cliente]],LISTA_DE_CLIENTES[[Código]:[Nome Fantasia]],3,FALSE),"")</f>
        <v/>
      </c>
      <c r="H1594" s="133"/>
      <c r="J1594" s="91"/>
      <c r="K1594" s="88"/>
      <c r="O1594" s="23">
        <f>TAB_OFICINAS[[#This Row],[Data Retorno Produção]]-TAB_OFICINAS[[#This Row],[Data Prometida  Entrega]]</f>
        <v>0</v>
      </c>
      <c r="P1594" s="98"/>
      <c r="Q1594" s="24">
        <v>0</v>
      </c>
      <c r="R1594" s="24"/>
      <c r="U1594" s="11"/>
      <c r="V1594" s="25"/>
      <c r="W1594" s="26"/>
      <c r="Y1594" s="27"/>
      <c r="Z1594" s="90"/>
    </row>
    <row r="1595" spans="5:26" x14ac:dyDescent="0.25">
      <c r="U1595" s="136"/>
    </row>
    <row r="1596" spans="5:26" x14ac:dyDescent="0.25">
      <c r="E1596" s="28"/>
    </row>
    <row r="1597" spans="5:26" x14ac:dyDescent="0.25">
      <c r="Z1597" s="27" t="s">
        <v>21395</v>
      </c>
    </row>
    <row r="1606" spans="2:2" x14ac:dyDescent="0.25">
      <c r="B1606" t="s">
        <v>21395</v>
      </c>
    </row>
    <row r="1042667" spans="5:5" x14ac:dyDescent="0.25">
      <c r="E1042667" s="5">
        <v>77</v>
      </c>
    </row>
    <row r="1042682" spans="1:1" x14ac:dyDescent="0.25">
      <c r="A1042682" t="s">
        <v>6256</v>
      </c>
    </row>
  </sheetData>
  <autoFilter ref="B4:AA14" xr:uid="{00000000-0009-0000-0000-000003000000}"/>
  <phoneticPr fontId="2" type="noConversion"/>
  <conditionalFormatting sqref="Q21:Q1580 Q1582:Q1591">
    <cfRule type="cellIs" dxfId="2" priority="19" operator="equal">
      <formula>0</formula>
    </cfRule>
  </conditionalFormatting>
  <conditionalFormatting sqref="Q21:R1580 Q1582:R1591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3:J1574 N1582:O1048576 V1582:V1048576 J1583:J1592 J1594:J1048576 V756:V1580 N752:O1580" xr:uid="{00000000-0002-0000-0300-000000000000}">
      <formula1>46023</formula1>
      <formula2>47848</formula2>
    </dataValidation>
    <dataValidation type="date" allowBlank="1" showInputMessage="1" showErrorMessage="1" sqref="K21:K230" xr:uid="{00000000-0002-0000-0300-000001000000}">
      <formula1>45658</formula1>
      <formula2>47848</formula2>
    </dataValidation>
    <dataValidation type="list" allowBlank="1" showInputMessage="1" showErrorMessage="1" sqref="B5" xr:uid="{00000000-0002-0000-0300-000002000000}">
      <formula1>$T$21:$T$1594</formula1>
    </dataValidation>
  </dataValidations>
  <hyperlinks>
    <hyperlink ref="Y151" location="Planilha5!A1" display="Planilha5!A1" xr:uid="{00000000-0004-0000-0300-000000000000}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 xr:uid="{00000000-0002-0000-0300-000003000000}">
          <x14:formula1>
            <xm:f>Listas!$D$4:$D$26</xm:f>
          </x14:formula1>
          <xm:sqref>C1:C3 C21:C464 C466:C750 F770 C6:C19 C1582:C1048576 C752:C1580</xm:sqref>
        </x14:dataValidation>
        <x14:dataValidation type="list" errorStyle="warning" allowBlank="1" showInputMessage="1" showErrorMessage="1" errorTitle="Atenção" error="Deseja cadastrar essa nova oficina?" xr:uid="{00000000-0002-0000-0300-000004000000}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8F67E-770B-40F6-B7F3-52C6B29D00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 a Fio Operacional 3</cp:lastModifiedBy>
  <cp:revision/>
  <dcterms:created xsi:type="dcterms:W3CDTF">2026-02-08T19:53:02Z</dcterms:created>
  <dcterms:modified xsi:type="dcterms:W3CDTF">2026-10-22T13:49:04Z</dcterms:modified>
  <cp:category/>
  <cp:contentStatus/>
</cp:coreProperties>
</file>